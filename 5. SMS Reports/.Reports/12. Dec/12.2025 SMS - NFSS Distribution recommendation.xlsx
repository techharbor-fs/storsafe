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0_)"/>
    <numFmt numFmtId="165" formatCode="&quot;$&quot;#,##0.00"/>
  </numFmts>
  <fonts count="3">
    <font>
      <name val="Calibri"/>
      <family val="2"/>
      <color theme="1"/>
      <sz val="11"/>
      <scheme val="minor"/>
    </font>
    <font>
      <name val="Aptos Narrow"/>
      <b val="1"/>
    </font>
    <font>
      <name val="Aptos Narrow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2" borderId="0" pivotButton="0" quotePrefix="0" xfId="0"/>
    <xf numFmtId="0" fontId="2" fillId="2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34.14" customWidth="1" min="2" max="2"/>
    <col width="13" customWidth="1" min="3" max="3"/>
    <col width="9.140000000000001" customWidth="1" min="4" max="4"/>
    <col width="9.289999999999999" customWidth="1" min="5" max="5"/>
  </cols>
  <sheetData>
    <row r="1">
      <c r="A1" s="1" t="inlineStr">
        <is>
          <t>NFSS</t>
        </is>
      </c>
    </row>
    <row r="2">
      <c r="A2" s="2" t="inlineStr">
        <is>
          <t>Book Balance</t>
        </is>
      </c>
    </row>
    <row r="3">
      <c r="A3" s="3" t="n">
        <v>-2910.19</v>
      </c>
      <c r="B3" s="2">
        <f>"as of "&amp;TEXT(DATE(2025,12,31),"mm.dd.yyyy")</f>
        <v/>
      </c>
    </row>
    <row r="4">
      <c r="A4" s="3" t="n">
        <v>-10000</v>
      </c>
      <c r="B4" s="2" t="inlineStr">
        <is>
          <t>Operating hold</t>
        </is>
      </c>
    </row>
    <row r="5">
      <c r="A5" s="3">
        <f>SUM(A3:A4)</f>
        <v/>
      </c>
      <c r="B5" s="2" t="inlineStr">
        <is>
          <t>Cash available for distribution</t>
        </is>
      </c>
    </row>
    <row r="6" ht="6.75" customHeight="1"/>
    <row r="7">
      <c r="A7" s="3">
        <f>1936.98-596.53</f>
        <v/>
      </c>
      <c r="B7" s="2">
        <f>TEXT(DATE(2025,12,1),"mmmm")&amp;" Net Income after Note 1 Principal"</f>
        <v/>
      </c>
    </row>
    <row r="8">
      <c r="A8" s="3" t="n">
        <v>2000</v>
      </c>
      <c r="B8" s="2" t="inlineStr">
        <is>
          <t>Crown Castle payment</t>
        </is>
      </c>
    </row>
    <row r="9" ht="7.5" customHeight="1">
      <c r="A9" s="4">
        <f>IF(A8&gt;0,MAX(0,MIN(A7,A5))+A8,MAX(0,MIN(A7,A5)))</f>
        <v/>
      </c>
      <c r="B9" s="5" t="inlineStr">
        <is>
          <t>Total Net Income recommended for distribution</t>
        </is>
      </c>
    </row>
    <row r="10"/>
    <row r="11"/>
    <row r="12"/>
    <row r="13"/>
    <row r="14"/>
    <row r="15">
      <c r="A15" s="2">
        <f>"Current Balance @ "&amp;TEXT(DATE(2025,12,31),"mm.dd.yyyy")</f>
        <v/>
      </c>
      <c r="B15" s="6" t="n">
        <v>4320.38</v>
      </c>
    </row>
    <row r="16">
      <c r="A16" s="2">
        <f>"includes "&amp;TEXT(DATE(2025,12,1),"mmm")&amp;" income"</f>
        <v/>
      </c>
    </row>
    <row r="17"/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2026-01-28T14:32:02Z</dcterms:created>
  <dcterms:modified xmlns:dcterms="http://purl.org/dc/terms/" xmlns:xsi="http://www.w3.org/2001/XMLSchema-instance" xsi:type="dcterms:W3CDTF">2026-01-28T14:32:02Z</dcterms:modified>
</cp:coreProperties>
</file>