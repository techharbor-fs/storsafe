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Ledger" sheetId="1" state="visible" r:id="rId1"/>
    <sheet name="Cash Flow" sheetId="2" state="visible" r:id="rId2"/>
    <sheet name="12 Month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yyyy"/>
  </numFmts>
  <fonts count="10">
    <font>
      <name val="Calibri"/>
      <family val="2"/>
      <color theme="1"/>
      <sz val="11"/>
      <scheme val="minor"/>
    </font>
    <font>
      <name val="Tahoma"/>
      <family val="2"/>
      <color rgb="FF505050"/>
      <sz val="8"/>
    </font>
    <font>
      <name val="Tahoma"/>
      <family val="2"/>
      <b val="1"/>
      <sz val="12"/>
    </font>
    <font>
      <name val="Tahoma"/>
      <family val="2"/>
      <b val="1"/>
      <sz val="8"/>
    </font>
    <font>
      <name val="Tahoma"/>
      <family val="2"/>
      <sz val="8"/>
    </font>
    <font>
      <name val="Tahoma"/>
      <family val="2"/>
      <b val="1"/>
      <i val="1"/>
      <sz val="8"/>
    </font>
    <font>
      <name val="Tahoma"/>
      <family val="2"/>
      <b val="1"/>
      <sz val="10"/>
    </font>
    <font>
      <name val="Tahoma"/>
      <family val="2"/>
      <sz val="10"/>
    </font>
    <font>
      <name val="Arial"/>
      <family val="2"/>
      <sz val="10"/>
    </font>
    <font>
      <name val="Tahoma"/>
      <family val="2"/>
      <b val="1"/>
      <i val="1"/>
      <sz val="10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EEEE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CCCCCC"/>
      </top>
      <bottom style="double">
        <color rgb="FFCCCCCC"/>
      </bottom>
    </border>
    <border>
      <left/>
      <right/>
      <top style="double">
        <color rgb="FFCCCCCC"/>
      </top>
      <bottom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right" vertical="center"/>
    </xf>
    <xf numFmtId="4" fontId="3" fillId="3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14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right" vertical="center"/>
    </xf>
    <xf numFmtId="4" fontId="3" fillId="3" borderId="0" applyAlignment="1" pivotButton="0" quotePrefix="0" xfId="0">
      <alignment horizontal="right" vertical="center"/>
    </xf>
    <xf numFmtId="0" fontId="4" fillId="0" borderId="3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1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4" fontId="3" fillId="0" borderId="2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0" fontId="4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4" fontId="5" fillId="0" borderId="6" applyAlignment="1" pivotButton="0" quotePrefix="0" xfId="0">
      <alignment horizontal="right" vertical="center"/>
    </xf>
    <xf numFmtId="4" fontId="4" fillId="0" borderId="7" applyAlignment="1" pivotButton="0" quotePrefix="0" xfId="0">
      <alignment horizontal="right" vertical="center"/>
    </xf>
    <xf numFmtId="4" fontId="3" fillId="0" borderId="6" applyAlignment="1" pivotButton="0" quotePrefix="0" xfId="0">
      <alignment horizontal="right" vertical="center"/>
    </xf>
    <xf numFmtId="0" fontId="4" fillId="0" borderId="7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4" fontId="3" fillId="0" borderId="0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4" fontId="7" fillId="0" borderId="2" applyAlignment="1" pivotButton="0" quotePrefix="0" xfId="0">
      <alignment horizontal="right" vertical="center"/>
    </xf>
    <xf numFmtId="0" fontId="7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6" fillId="0" borderId="0" applyAlignment="1" pivotButton="0" quotePrefix="0" xfId="0">
      <alignment horizontal="left" vertical="center"/>
    </xf>
    <xf numFmtId="4" fontId="6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4" fontId="7" fillId="0" borderId="5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4" fontId="9" fillId="0" borderId="9" applyAlignment="1" pivotButton="0" quotePrefix="0" xfId="0">
      <alignment horizontal="right" vertical="center"/>
    </xf>
    <xf numFmtId="4" fontId="6" fillId="0" borderId="9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4"/>
  <sheetViews>
    <sheetView workbookViewId="0">
      <selection activeCell="A1" sqref="A1"/>
    </sheetView>
  </sheetViews>
  <sheetFormatPr baseColWidth="8" defaultRowHeight="15"/>
  <cols>
    <col width="11.4285714285714" customWidth="1" min="1" max="1"/>
    <col width="15.7142857142857" customWidth="1" min="2" max="2"/>
    <col width="10" customWidth="1" min="3" max="3"/>
    <col width="7.14285714285714" customWidth="1" min="4" max="4"/>
    <col width="28.5714285714286" customWidth="1" min="5" max="5"/>
    <col width="8.571428571428569" customWidth="1" min="6" max="6"/>
    <col width="11.4285714285714" customWidth="1" min="8" max="8"/>
    <col width="14.2857142857143" customWidth="1" min="10" max="10"/>
    <col width="40" customWidth="1" min="11" max="11"/>
  </cols>
  <sheetData>
    <row r="1" ht="15" customHeight="1">
      <c r="A1" s="1" t="inlineStr">
        <is>
          <t>Storsafe Management Solutions - Crystal Lake (sms-crys)</t>
        </is>
      </c>
    </row>
    <row r="2" ht="15.75" customHeight="1">
      <c r="A2" s="2" t="inlineStr">
        <is>
          <t>General Ledger</t>
        </is>
      </c>
    </row>
    <row r="3" ht="15" customHeight="1">
      <c r="A3" s="1" t="inlineStr">
        <is>
          <t>Period = Nov 2025</t>
        </is>
      </c>
    </row>
    <row r="4" ht="15" customHeight="1">
      <c r="A4" s="1" t="inlineStr">
        <is>
          <t>Book = Accrual</t>
        </is>
      </c>
    </row>
    <row r="5" ht="15" customHeight="1">
      <c r="A5" s="1" t="inlineStr">
        <is>
          <t xml:space="preserve">Sort On = </t>
        </is>
      </c>
    </row>
    <row r="6" ht="15" customHeight="1">
      <c r="A6" s="3" t="inlineStr">
        <is>
          <t>Property</t>
        </is>
      </c>
      <c r="B6" s="3" t="inlineStr">
        <is>
          <t>Property Name</t>
        </is>
      </c>
      <c r="C6" s="3" t="inlineStr">
        <is>
          <t>Date</t>
        </is>
      </c>
      <c r="D6" s="3" t="inlineStr">
        <is>
          <t>Period</t>
        </is>
      </c>
      <c r="E6" s="3" t="inlineStr">
        <is>
          <t>Person/Description</t>
        </is>
      </c>
      <c r="F6" s="3" t="inlineStr">
        <is>
          <t>Control</t>
        </is>
      </c>
      <c r="G6" s="3" t="inlineStr">
        <is>
          <t>Reference</t>
        </is>
      </c>
      <c r="H6" s="4" t="inlineStr">
        <is>
          <t>Debit</t>
        </is>
      </c>
      <c r="I6" s="4" t="inlineStr">
        <is>
          <t>Credit</t>
        </is>
      </c>
      <c r="J6" s="4" t="inlineStr">
        <is>
          <t>Balance</t>
        </is>
      </c>
      <c r="K6" s="3" t="inlineStr">
        <is>
          <t>Remarks</t>
        </is>
      </c>
    </row>
    <row r="7" ht="15" customHeight="1">
      <c r="A7" s="5" t="inlineStr">
        <is>
          <t>1110-4974</t>
        </is>
      </c>
      <c r="B7" s="6" t="n"/>
      <c r="C7" s="6" t="n"/>
      <c r="D7" s="6" t="n"/>
      <c r="E7" s="5" t="inlineStr">
        <is>
          <t>Storsafe Management Solutions - Crystal Lake</t>
        </is>
      </c>
      <c r="F7" s="6" t="n"/>
      <c r="G7" s="6" t="n"/>
      <c r="H7" s="7" t="n"/>
      <c r="I7" s="7" t="n"/>
      <c r="J7" s="8" t="n">
        <v>21750.98</v>
      </c>
      <c r="K7" s="5">
        <f> Beginning Balance =</f>
        <v/>
      </c>
    </row>
    <row r="8" ht="15" customHeight="1">
      <c r="A8" s="9" t="inlineStr">
        <is>
          <t>sms-crys</t>
        </is>
      </c>
      <c r="B8" s="9" t="inlineStr">
        <is>
          <t>Storsafe Management Solutions - Crystal Lake</t>
        </is>
      </c>
      <c r="C8" s="10" t="n">
        <v>45962</v>
      </c>
      <c r="D8" s="11" t="n">
        <v>45962</v>
      </c>
      <c r="E8" s="9" t="inlineStr">
        <is>
          <t>11.01.2025 ACH debit</t>
        </is>
      </c>
      <c r="F8" s="9" t="inlineStr">
        <is>
          <t>J-75693</t>
        </is>
      </c>
      <c r="G8" s="9" t="n"/>
      <c r="H8" s="12" t="n">
        <v>1876.48</v>
      </c>
      <c r="I8" s="12" t="n">
        <v>0</v>
      </c>
      <c r="J8" s="12" t="n">
        <v>23627.46</v>
      </c>
      <c r="K8" s="13" t="inlineStr">
        <is>
          <t>11.01.2025 ACH debit</t>
        </is>
      </c>
    </row>
    <row r="9" ht="15" customHeight="1">
      <c r="A9" s="9" t="inlineStr">
        <is>
          <t>sms-crys</t>
        </is>
      </c>
      <c r="B9" s="9" t="inlineStr">
        <is>
          <t>Storsafe Management Solutions - Crystal Lake</t>
        </is>
      </c>
      <c r="C9" s="10" t="n">
        <v>45962</v>
      </c>
      <c r="D9" s="11" t="n">
        <v>45962</v>
      </c>
      <c r="E9" s="9" t="inlineStr">
        <is>
          <t>11.01.2025 cc receipts</t>
        </is>
      </c>
      <c r="F9" s="9" t="inlineStr">
        <is>
          <t>J-75694</t>
        </is>
      </c>
      <c r="G9" s="9" t="n"/>
      <c r="H9" s="12" t="n">
        <v>22928.75</v>
      </c>
      <c r="I9" s="12" t="n">
        <v>0</v>
      </c>
      <c r="J9" s="12" t="n">
        <v>46556.21</v>
      </c>
      <c r="K9" s="13" t="inlineStr">
        <is>
          <t>11.01.2025 cc receipts</t>
        </is>
      </c>
    </row>
    <row r="10" ht="15" customHeight="1">
      <c r="A10" s="9" t="inlineStr">
        <is>
          <t>sms-crys</t>
        </is>
      </c>
      <c r="B10" s="9" t="inlineStr">
        <is>
          <t>Storsafe Management Solutions - Crystal Lake</t>
        </is>
      </c>
      <c r="C10" s="10" t="n">
        <v>45963</v>
      </c>
      <c r="D10" s="11" t="n">
        <v>45962</v>
      </c>
      <c r="E10" s="9" t="inlineStr">
        <is>
          <t>11.02.2025 cc receipts</t>
        </is>
      </c>
      <c r="F10" s="9" t="inlineStr">
        <is>
          <t>J-75722</t>
        </is>
      </c>
      <c r="G10" s="9" t="n"/>
      <c r="H10" s="12" t="n">
        <v>1900</v>
      </c>
      <c r="I10" s="12" t="n">
        <v>0</v>
      </c>
      <c r="J10" s="12" t="n">
        <v>48456.21</v>
      </c>
      <c r="K10" s="13" t="inlineStr">
        <is>
          <t>11.02.2025 cc receipts</t>
        </is>
      </c>
    </row>
    <row r="11" ht="15" customHeight="1">
      <c r="A11" s="9" t="inlineStr">
        <is>
          <t>sms-crys</t>
        </is>
      </c>
      <c r="B11" s="9" t="inlineStr">
        <is>
          <t>Storsafe Management Solutions - Crystal Lake</t>
        </is>
      </c>
      <c r="C11" s="10" t="n">
        <v>45964</v>
      </c>
      <c r="D11" s="11" t="n">
        <v>45962</v>
      </c>
      <c r="E11" s="9" t="inlineStr">
        <is>
          <t>AI Lean Inc. (ailean)</t>
        </is>
      </c>
      <c r="F11" s="9" t="inlineStr">
        <is>
          <t>K-74382</t>
        </is>
      </c>
      <c r="G11" s="9" t="inlineStr">
        <is>
          <t>1252</t>
        </is>
      </c>
      <c r="H11" s="12" t="n">
        <v>0</v>
      </c>
      <c r="I11" s="12" t="n">
        <v>272.12</v>
      </c>
      <c r="J11" s="12" t="n">
        <v>48184.09</v>
      </c>
      <c r="K11" s="13" t="inlineStr">
        <is>
          <t>09/2025 Sept Saas Fees</t>
        </is>
      </c>
    </row>
    <row r="12" ht="15" customHeight="1">
      <c r="A12" s="9" t="inlineStr">
        <is>
          <t>sms-crys</t>
        </is>
      </c>
      <c r="B12" s="9" t="inlineStr">
        <is>
          <t>Storsafe Management Solutions - Crystal Lake</t>
        </is>
      </c>
      <c r="C12" s="10" t="n">
        <v>45964</v>
      </c>
      <c r="D12" s="11" t="n">
        <v>45962</v>
      </c>
      <c r="E12" s="9" t="inlineStr">
        <is>
          <t>AI Lean Inc. (ailean)</t>
        </is>
      </c>
      <c r="F12" s="9" t="inlineStr">
        <is>
          <t>K-74382</t>
        </is>
      </c>
      <c r="G12" s="9" t="inlineStr">
        <is>
          <t>1252</t>
        </is>
      </c>
      <c r="H12" s="12" t="n">
        <v>0</v>
      </c>
      <c r="I12" s="12" t="n">
        <v>10</v>
      </c>
      <c r="J12" s="12" t="n">
        <v>48174.09</v>
      </c>
      <c r="K12" s="13" t="inlineStr">
        <is>
          <t>09/2025 TMS Charges</t>
        </is>
      </c>
    </row>
    <row r="13" ht="15" customHeight="1">
      <c r="A13" s="9" t="inlineStr">
        <is>
          <t>sms-crys</t>
        </is>
      </c>
      <c r="B13" s="9" t="inlineStr">
        <is>
          <t>Storsafe Management Solutions - Crystal Lake</t>
        </is>
      </c>
      <c r="C13" s="10" t="n">
        <v>45964</v>
      </c>
      <c r="D13" s="11" t="n">
        <v>45962</v>
      </c>
      <c r="E13" s="9" t="inlineStr">
        <is>
          <t>BirdEye Inc (birdeyeinc)</t>
        </is>
      </c>
      <c r="F13" s="9" t="inlineStr">
        <is>
          <t>K-74383</t>
        </is>
      </c>
      <c r="G13" s="9" t="inlineStr">
        <is>
          <t>1253</t>
        </is>
      </c>
      <c r="H13" s="12" t="n">
        <v>0</v>
      </c>
      <c r="I13" s="12" t="n">
        <v>185.61</v>
      </c>
      <c r="J13" s="12" t="n">
        <v>47988.48</v>
      </c>
      <c r="K13" s="13" t="inlineStr">
        <is>
          <t>09/08-10/08/2025 Standard Monthly plus Carrier Texting Fee - Standard</t>
        </is>
      </c>
    </row>
    <row r="14" ht="15" customHeight="1">
      <c r="A14" s="9" t="inlineStr">
        <is>
          <t>sms-crys</t>
        </is>
      </c>
      <c r="B14" s="9" t="inlineStr">
        <is>
          <t>Storsafe Management Solutions - Crystal Lake</t>
        </is>
      </c>
      <c r="C14" s="10" t="n">
        <v>45964</v>
      </c>
      <c r="D14" s="11" t="n">
        <v>45962</v>
      </c>
      <c r="E14" s="9" t="inlineStr">
        <is>
          <t>Dumpsters.com (dumspters)</t>
        </is>
      </c>
      <c r="F14" s="9" t="inlineStr">
        <is>
          <t>K-74384</t>
        </is>
      </c>
      <c r="G14" s="9" t="inlineStr">
        <is>
          <t>1254</t>
        </is>
      </c>
      <c r="H14" s="12" t="n">
        <v>0</v>
      </c>
      <c r="I14" s="12" t="n">
        <v>575</v>
      </c>
      <c r="J14" s="12" t="n">
        <v>47413.48</v>
      </c>
      <c r="K14" s="13" t="inlineStr">
        <is>
          <t>10/13-19/2025 Waste removal service - 30 yard dumpster Mixed Debris -3 ton weight limit</t>
        </is>
      </c>
    </row>
    <row r="15" ht="15" customHeight="1">
      <c r="A15" s="9" t="inlineStr">
        <is>
          <t>sms-crys</t>
        </is>
      </c>
      <c r="B15" s="9" t="inlineStr">
        <is>
          <t>Storsafe Management Solutions - Crystal Lake</t>
        </is>
      </c>
      <c r="C15" s="10" t="n">
        <v>45964</v>
      </c>
      <c r="D15" s="11" t="n">
        <v>45962</v>
      </c>
      <c r="E15" s="9" t="inlineStr">
        <is>
          <t>Jack's Service Inc. (jackservice)</t>
        </is>
      </c>
      <c r="F15" s="9" t="inlineStr">
        <is>
          <t>K-74385</t>
        </is>
      </c>
      <c r="G15" s="9" t="inlineStr">
        <is>
          <t>1255</t>
        </is>
      </c>
      <c r="H15" s="12" t="n">
        <v>0</v>
      </c>
      <c r="I15" s="12" t="n">
        <v>984</v>
      </c>
      <c r="J15" s="12" t="n">
        <v>46429.48</v>
      </c>
      <c r="K15" s="13" t="inlineStr">
        <is>
          <t>Billing service per management 102425 Storsafe 920 Cog Circle Crystal Lake, IL installed 220 amp outlet and 50 amp breaker in panel  in unit 6 main building back wall</t>
        </is>
      </c>
    </row>
    <row r="16" ht="15" customHeight="1">
      <c r="A16" s="9" t="inlineStr">
        <is>
          <t>sms-crys</t>
        </is>
      </c>
      <c r="B16" s="9" t="inlineStr">
        <is>
          <t>Storsafe Management Solutions - Crystal Lake</t>
        </is>
      </c>
      <c r="C16" s="10" t="n">
        <v>45964</v>
      </c>
      <c r="D16" s="11" t="n">
        <v>45962</v>
      </c>
      <c r="E16" s="9" t="inlineStr">
        <is>
          <t>Mid-America Asset Management, Inc. (midamerica)</t>
        </is>
      </c>
      <c r="F16" s="9" t="inlineStr">
        <is>
          <t>K-74386</t>
        </is>
      </c>
      <c r="G16" s="9" t="inlineStr">
        <is>
          <t>1256</t>
        </is>
      </c>
      <c r="H16" s="12" t="n">
        <v>0</v>
      </c>
      <c r="I16" s="12" t="n">
        <v>250</v>
      </c>
      <c r="J16" s="12" t="n">
        <v>46179.48</v>
      </c>
      <c r="K16" s="13" t="inlineStr">
        <is>
          <t>09/2025 StorSafe/Elmdale Portfolio Maintenance Fee</t>
        </is>
      </c>
    </row>
    <row r="17" ht="15" customHeight="1">
      <c r="A17" s="9" t="inlineStr">
        <is>
          <t>sms-crys</t>
        </is>
      </c>
      <c r="B17" s="9" t="inlineStr">
        <is>
          <t>Storsafe Management Solutions - Crystal Lake</t>
        </is>
      </c>
      <c r="C17" s="10" t="n">
        <v>45964</v>
      </c>
      <c r="D17" s="11" t="n">
        <v>45962</v>
      </c>
      <c r="E17" s="9" t="inlineStr">
        <is>
          <t>11.03.2025 cc receipts</t>
        </is>
      </c>
      <c r="F17" s="9" t="inlineStr">
        <is>
          <t>J-75749</t>
        </is>
      </c>
      <c r="G17" s="9" t="n"/>
      <c r="H17" s="12" t="n">
        <v>262</v>
      </c>
      <c r="I17" s="12" t="n">
        <v>0</v>
      </c>
      <c r="J17" s="12" t="n">
        <v>46441.48</v>
      </c>
      <c r="K17" s="13" t="inlineStr">
        <is>
          <t>11.03.2025 cc receipts</t>
        </is>
      </c>
    </row>
    <row r="18" ht="15" customHeight="1">
      <c r="A18" s="9" t="inlineStr">
        <is>
          <t>sms-crys</t>
        </is>
      </c>
      <c r="B18" s="9" t="inlineStr">
        <is>
          <t>Storsafe Management Solutions - Crystal Lake</t>
        </is>
      </c>
      <c r="C18" s="10" t="n">
        <v>45965</v>
      </c>
      <c r="D18" s="11" t="n">
        <v>45962</v>
      </c>
      <c r="E18" s="9" t="inlineStr">
        <is>
          <t>MDC Environmental Services Inc (mdcmgt)</t>
        </is>
      </c>
      <c r="F18" s="9" t="inlineStr">
        <is>
          <t>K-74282</t>
        </is>
      </c>
      <c r="G18" s="9" t="inlineStr">
        <is>
          <t>20251104001</t>
        </is>
      </c>
      <c r="H18" s="12" t="n">
        <v>0</v>
      </c>
      <c r="I18" s="12" t="n">
        <v>277.48</v>
      </c>
      <c r="J18" s="12" t="n">
        <v>46164</v>
      </c>
      <c r="K18" s="13" t="inlineStr">
        <is>
          <t>11/01/25-11/30/25 - 920 COG CIR,SKOKIE,IL,60077 - 3084516550</t>
        </is>
      </c>
    </row>
    <row r="19" ht="15" customHeight="1">
      <c r="A19" s="9" t="inlineStr">
        <is>
          <t>sms-crys</t>
        </is>
      </c>
      <c r="B19" s="9" t="inlineStr">
        <is>
          <t>Storsafe Management Solutions - Crystal Lake</t>
        </is>
      </c>
      <c r="C19" s="10" t="n">
        <v>45965</v>
      </c>
      <c r="D19" s="11" t="n">
        <v>45962</v>
      </c>
      <c r="E19" s="9" t="inlineStr">
        <is>
          <t>OpenTech Alliance, Inc. (opentechalli)</t>
        </is>
      </c>
      <c r="F19" s="9" t="inlineStr">
        <is>
          <t>K-74570</t>
        </is>
      </c>
      <c r="G19" s="9" t="inlineStr">
        <is>
          <t>1257</t>
        </is>
      </c>
      <c r="H19" s="12" t="n">
        <v>0</v>
      </c>
      <c r="I19" s="12" t="n">
        <v>124.78</v>
      </c>
      <c r="J19" s="12" t="n">
        <v>46039.22</v>
      </c>
      <c r="K19" s="13" t="inlineStr">
        <is>
          <t>CIA Lifetime Services</t>
        </is>
      </c>
    </row>
    <row r="20" ht="15" customHeight="1">
      <c r="A20" s="9" t="inlineStr">
        <is>
          <t>sms-crys</t>
        </is>
      </c>
      <c r="B20" s="9" t="inlineStr">
        <is>
          <t>Storsafe Management Solutions - Crystal Lake</t>
        </is>
      </c>
      <c r="C20" s="10" t="n">
        <v>45965</v>
      </c>
      <c r="D20" s="11" t="n">
        <v>45962</v>
      </c>
      <c r="E20" s="9" t="inlineStr">
        <is>
          <t>ORKIN (orkin)</t>
        </is>
      </c>
      <c r="F20" s="9" t="inlineStr">
        <is>
          <t>K-74571</t>
        </is>
      </c>
      <c r="G20" s="9" t="inlineStr">
        <is>
          <t>1258</t>
        </is>
      </c>
      <c r="H20" s="12" t="n">
        <v>0</v>
      </c>
      <c r="I20" s="12" t="n">
        <v>139</v>
      </c>
      <c r="J20" s="12" t="n">
        <v>45900.22</v>
      </c>
      <c r="K20" s="13" t="inlineStr">
        <is>
          <t>07/16/25 Pest Control 20502654</t>
        </is>
      </c>
    </row>
    <row r="21" ht="15" customHeight="1">
      <c r="A21" s="9" t="inlineStr">
        <is>
          <t>sms-crys</t>
        </is>
      </c>
      <c r="B21" s="9" t="inlineStr">
        <is>
          <t>Storsafe Management Solutions - Crystal Lake</t>
        </is>
      </c>
      <c r="C21" s="10" t="n">
        <v>45965</v>
      </c>
      <c r="D21" s="11" t="n">
        <v>45962</v>
      </c>
      <c r="E21" s="9" t="inlineStr">
        <is>
          <t>Rick Pristera (rickpri)</t>
        </is>
      </c>
      <c r="F21" s="9" t="inlineStr">
        <is>
          <t>K-74572</t>
        </is>
      </c>
      <c r="G21" s="9" t="inlineStr">
        <is>
          <t>1259</t>
        </is>
      </c>
      <c r="H21" s="12" t="n">
        <v>0</v>
      </c>
      <c r="I21" s="12" t="n">
        <v>1200</v>
      </c>
      <c r="J21" s="12" t="n">
        <v>44700.22</v>
      </c>
      <c r="K21" s="13" t="inlineStr">
        <is>
          <t>Refund</t>
        </is>
      </c>
    </row>
    <row r="22" ht="15" customHeight="1">
      <c r="A22" s="9" t="inlineStr">
        <is>
          <t>sms-crys</t>
        </is>
      </c>
      <c r="B22" s="9" t="inlineStr">
        <is>
          <t>Storsafe Management Solutions - Crystal Lake</t>
        </is>
      </c>
      <c r="C22" s="10" t="n">
        <v>45965</v>
      </c>
      <c r="D22" s="11" t="n">
        <v>45962</v>
      </c>
      <c r="E22" s="9" t="inlineStr">
        <is>
          <t>SMS Resources, LLC (smsresources)</t>
        </is>
      </c>
      <c r="F22" s="9" t="inlineStr">
        <is>
          <t>K-74573</t>
        </is>
      </c>
      <c r="G22" s="9" t="inlineStr">
        <is>
          <t>1260</t>
        </is>
      </c>
      <c r="H22" s="12" t="n">
        <v>0</v>
      </c>
      <c r="I22" s="12" t="n">
        <v>13.44</v>
      </c>
      <c r="J22" s="12" t="n">
        <v>44686.78</v>
      </c>
      <c r="K22" s="13" t="inlineStr">
        <is>
          <t>08/2025</t>
        </is>
      </c>
    </row>
    <row r="23" ht="15" customHeight="1">
      <c r="A23" s="9" t="inlineStr">
        <is>
          <t>sms-crys</t>
        </is>
      </c>
      <c r="B23" s="9" t="inlineStr">
        <is>
          <t>Storsafe Management Solutions - Crystal Lake</t>
        </is>
      </c>
      <c r="C23" s="10" t="n">
        <v>45965</v>
      </c>
      <c r="D23" s="11" t="n">
        <v>45962</v>
      </c>
      <c r="E23" s="9" t="inlineStr">
        <is>
          <t>SpareBox Technologies (sparebox)</t>
        </is>
      </c>
      <c r="F23" s="9" t="inlineStr">
        <is>
          <t>K-74574</t>
        </is>
      </c>
      <c r="G23" s="9" t="inlineStr">
        <is>
          <t>1261</t>
        </is>
      </c>
      <c r="H23" s="12" t="n">
        <v>0</v>
      </c>
      <c r="I23" s="12" t="n">
        <v>99</v>
      </c>
      <c r="J23" s="12" t="n">
        <v>44587.78</v>
      </c>
      <c r="K23" s="13" t="inlineStr">
        <is>
          <t>08/2025 RaFA Subscription</t>
        </is>
      </c>
    </row>
    <row r="24" ht="15" customHeight="1">
      <c r="A24" s="9" t="inlineStr">
        <is>
          <t>sms-crys</t>
        </is>
      </c>
      <c r="B24" s="9" t="inlineStr">
        <is>
          <t>Storsafe Management Solutions - Crystal Lake</t>
        </is>
      </c>
      <c r="C24" s="10" t="n">
        <v>45965</v>
      </c>
      <c r="D24" s="11" t="n">
        <v>45962</v>
      </c>
      <c r="E24" s="9" t="inlineStr">
        <is>
          <t>STORAGEPUG, LLC (storagepug)</t>
        </is>
      </c>
      <c r="F24" s="9" t="inlineStr">
        <is>
          <t>K-74575</t>
        </is>
      </c>
      <c r="G24" s="9" t="inlineStr">
        <is>
          <t>1262</t>
        </is>
      </c>
      <c r="H24" s="12" t="n">
        <v>0</v>
      </c>
      <c r="I24" s="12" t="n">
        <v>300</v>
      </c>
      <c r="J24" s="12" t="n">
        <v>44287.78</v>
      </c>
      <c r="K24" s="13" t="inlineStr">
        <is>
          <t>Insights is backed by powerful tools that help you attract new tenants and rent more units. Insights includes</t>
        </is>
      </c>
    </row>
    <row r="25" ht="15" customHeight="1">
      <c r="A25" s="9" t="inlineStr">
        <is>
          <t>sms-crys</t>
        </is>
      </c>
      <c r="B25" s="9" t="inlineStr">
        <is>
          <t>Storsafe Management Solutions - Crystal Lake</t>
        </is>
      </c>
      <c r="C25" s="10" t="n">
        <v>45965</v>
      </c>
      <c r="D25" s="11" t="n">
        <v>45962</v>
      </c>
      <c r="E25" s="9" t="inlineStr">
        <is>
          <t>United Door &amp; Dock (unidoor)</t>
        </is>
      </c>
      <c r="F25" s="9" t="inlineStr">
        <is>
          <t>K-74576</t>
        </is>
      </c>
      <c r="G25" s="9" t="inlineStr">
        <is>
          <t>1263</t>
        </is>
      </c>
      <c r="H25" s="12" t="n">
        <v>0</v>
      </c>
      <c r="I25" s="12" t="n">
        <v>892.34</v>
      </c>
      <c r="J25" s="12" t="n">
        <v>43395.44</v>
      </c>
      <c r="K25" s="13" t="inlineStr">
        <is>
          <t>Repairs and Maintenance</t>
        </is>
      </c>
    </row>
    <row r="26" ht="15" customHeight="1">
      <c r="A26" s="9" t="inlineStr">
        <is>
          <t>sms-crys</t>
        </is>
      </c>
      <c r="B26" s="9" t="inlineStr">
        <is>
          <t>Storsafe Management Solutions - Crystal Lake</t>
        </is>
      </c>
      <c r="C26" s="10" t="n">
        <v>45965</v>
      </c>
      <c r="D26" s="11" t="n">
        <v>45962</v>
      </c>
      <c r="E26" s="9" t="inlineStr">
        <is>
          <t>SITELINK SOFTWARE LLC (sitelink)</t>
        </is>
      </c>
      <c r="F26" s="9" t="inlineStr">
        <is>
          <t>K-74757</t>
        </is>
      </c>
      <c r="G26" s="9" t="inlineStr">
        <is>
          <t>11042025</t>
        </is>
      </c>
      <c r="H26" s="12" t="n">
        <v>0</v>
      </c>
      <c r="I26" s="12" t="n">
        <v>198.04</v>
      </c>
      <c r="J26" s="12" t="n">
        <v>43197.4</v>
      </c>
      <c r="K26" s="13" t="inlineStr">
        <is>
          <t>11/2025 Sitelink Web Edition</t>
        </is>
      </c>
    </row>
    <row r="27" ht="15" customHeight="1">
      <c r="A27" s="9" t="inlineStr">
        <is>
          <t>sms-crys</t>
        </is>
      </c>
      <c r="B27" s="9" t="inlineStr">
        <is>
          <t>Storsafe Management Solutions - Crystal Lake</t>
        </is>
      </c>
      <c r="C27" s="10" t="n">
        <v>45965</v>
      </c>
      <c r="D27" s="11" t="n">
        <v>45962</v>
      </c>
      <c r="E27" s="9" t="inlineStr">
        <is>
          <t>SITELINK SOFTWARE LLC (sitelink)</t>
        </is>
      </c>
      <c r="F27" s="9" t="inlineStr">
        <is>
          <t>K-74757</t>
        </is>
      </c>
      <c r="G27" s="9" t="inlineStr">
        <is>
          <t>11042025</t>
        </is>
      </c>
      <c r="H27" s="12" t="n">
        <v>0</v>
      </c>
      <c r="I27" s="12" t="n">
        <v>198.04</v>
      </c>
      <c r="J27" s="12" t="n">
        <v>42999.36</v>
      </c>
      <c r="K27" s="13" t="inlineStr">
        <is>
          <t>12/2025 Sitelink Web Edition</t>
        </is>
      </c>
    </row>
    <row r="28" ht="15" customHeight="1">
      <c r="A28" s="9" t="inlineStr">
        <is>
          <t>sms-crys</t>
        </is>
      </c>
      <c r="B28" s="9" t="inlineStr">
        <is>
          <t>Storsafe Management Solutions - Crystal Lake</t>
        </is>
      </c>
      <c r="C28" s="10" t="n">
        <v>45965</v>
      </c>
      <c r="D28" s="11" t="n">
        <v>45962</v>
      </c>
      <c r="E28" s="9" t="inlineStr">
        <is>
          <t>SITELINK SOFTWARE LLC (sitelink)</t>
        </is>
      </c>
      <c r="F28" s="9" t="inlineStr">
        <is>
          <t>K-74757</t>
        </is>
      </c>
      <c r="G28" s="9" t="inlineStr">
        <is>
          <t>11042025</t>
        </is>
      </c>
      <c r="H28" s="12" t="n">
        <v>0</v>
      </c>
      <c r="I28" s="12" t="n">
        <v>198.04</v>
      </c>
      <c r="J28" s="12" t="n">
        <v>42801.32</v>
      </c>
      <c r="K28" s="13" t="inlineStr">
        <is>
          <t>01/2026 Sitelink Web Edition</t>
        </is>
      </c>
    </row>
    <row r="29" ht="15" customHeight="1">
      <c r="A29" s="9" t="inlineStr">
        <is>
          <t>sms-crys</t>
        </is>
      </c>
      <c r="B29" s="9" t="inlineStr">
        <is>
          <t>Storsafe Management Solutions - Crystal Lake</t>
        </is>
      </c>
      <c r="C29" s="10" t="n">
        <v>45965</v>
      </c>
      <c r="D29" s="11" t="n">
        <v>45962</v>
      </c>
      <c r="E29" s="9" t="inlineStr">
        <is>
          <t>11.04.2025 cc receipts</t>
        </is>
      </c>
      <c r="F29" s="9" t="inlineStr">
        <is>
          <t>J-75787</t>
        </is>
      </c>
      <c r="G29" s="9" t="n"/>
      <c r="H29" s="12" t="n">
        <v>61</v>
      </c>
      <c r="I29" s="12" t="n">
        <v>0</v>
      </c>
      <c r="J29" s="12" t="n">
        <v>42862.32</v>
      </c>
      <c r="K29" s="13" t="inlineStr">
        <is>
          <t>11.04.2025 cc receipts</t>
        </is>
      </c>
    </row>
    <row r="30" ht="15" customHeight="1">
      <c r="A30" s="9" t="inlineStr">
        <is>
          <t>sms-crys</t>
        </is>
      </c>
      <c r="B30" s="9" t="inlineStr">
        <is>
          <t>Storsafe Management Solutions - Crystal Lake</t>
        </is>
      </c>
      <c r="C30" s="10" t="n">
        <v>45966</v>
      </c>
      <c r="D30" s="11" t="n">
        <v>45962</v>
      </c>
      <c r="E30" s="9" t="inlineStr">
        <is>
          <t>StorSafe Self Storage Management LLC  (storsafe)</t>
        </is>
      </c>
      <c r="F30" s="9" t="inlineStr">
        <is>
          <t>K-74686</t>
        </is>
      </c>
      <c r="G30" s="9" t="inlineStr">
        <is>
          <t>1264</t>
        </is>
      </c>
      <c r="H30" s="12" t="n">
        <v>0</v>
      </c>
      <c r="I30" s="12" t="n">
        <v>928.36</v>
      </c>
      <c r="J30" s="12" t="n">
        <v>41933.96</v>
      </c>
      <c r="K30" s="13" t="inlineStr">
        <is>
          <t>10.2025 Tenant Insurance - SMS Crystal</t>
        </is>
      </c>
    </row>
    <row r="31" ht="15" customHeight="1">
      <c r="A31" s="9" t="inlineStr">
        <is>
          <t>sms-crys</t>
        </is>
      </c>
      <c r="B31" s="9" t="inlineStr">
        <is>
          <t>Storsafe Management Solutions - Crystal Lake</t>
        </is>
      </c>
      <c r="C31" s="10" t="n">
        <v>45966</v>
      </c>
      <c r="D31" s="11" t="n">
        <v>45962</v>
      </c>
      <c r="E31" s="9" t="inlineStr">
        <is>
          <t>StorSafe Self Storage Management LLC  (storsafe)</t>
        </is>
      </c>
      <c r="F31" s="9" t="inlineStr">
        <is>
          <t>K-74686</t>
        </is>
      </c>
      <c r="G31" s="9" t="inlineStr">
        <is>
          <t>1264</t>
        </is>
      </c>
      <c r="H31" s="12" t="n">
        <v>122.8</v>
      </c>
      <c r="I31" s="12" t="n">
        <v>0</v>
      </c>
      <c r="J31" s="12" t="n">
        <v>42056.76</v>
      </c>
      <c r="K31" s="13" t="inlineStr">
        <is>
          <t>10.2025 Tenant Insurance - SMS Crystal</t>
        </is>
      </c>
    </row>
    <row r="32" ht="15" customHeight="1">
      <c r="A32" s="9" t="inlineStr">
        <is>
          <t>sms-crys</t>
        </is>
      </c>
      <c r="B32" s="9" t="inlineStr">
        <is>
          <t>Storsafe Management Solutions - Crystal Lake</t>
        </is>
      </c>
      <c r="C32" s="10" t="n">
        <v>45966</v>
      </c>
      <c r="D32" s="11" t="n">
        <v>45962</v>
      </c>
      <c r="E32" s="9" t="inlineStr">
        <is>
          <t>StorSafe Self Storage Management LLC  (storsafe)</t>
        </is>
      </c>
      <c r="F32" s="9" t="inlineStr">
        <is>
          <t>K-74686</t>
        </is>
      </c>
      <c r="G32" s="9" t="inlineStr">
        <is>
          <t>1264</t>
        </is>
      </c>
      <c r="H32" s="12" t="n">
        <v>0</v>
      </c>
      <c r="I32" s="12" t="n">
        <v>1783.01</v>
      </c>
      <c r="J32" s="12" t="n">
        <v>40273.75</v>
      </c>
      <c r="K32" s="13" t="inlineStr">
        <is>
          <t>Management Fees</t>
        </is>
      </c>
    </row>
    <row r="33" ht="15" customHeight="1">
      <c r="A33" s="9" t="inlineStr">
        <is>
          <t>sms-crys</t>
        </is>
      </c>
      <c r="B33" s="9" t="inlineStr">
        <is>
          <t>Storsafe Management Solutions - Crystal Lake</t>
        </is>
      </c>
      <c r="C33" s="10" t="n">
        <v>45966</v>
      </c>
      <c r="D33" s="11" t="n">
        <v>45962</v>
      </c>
      <c r="E33" s="9" t="inlineStr">
        <is>
          <t>11.05.2025 cc receipts</t>
        </is>
      </c>
      <c r="F33" s="9" t="inlineStr">
        <is>
          <t>J-75953</t>
        </is>
      </c>
      <c r="G33" s="9" t="n"/>
      <c r="H33" s="12" t="n">
        <v>616</v>
      </c>
      <c r="I33" s="12" t="n">
        <v>0</v>
      </c>
      <c r="J33" s="12" t="n">
        <v>40889.75</v>
      </c>
      <c r="K33" s="13" t="inlineStr">
        <is>
          <t>11.05.2025 cc receipts</t>
        </is>
      </c>
    </row>
    <row r="34" ht="15" customHeight="1">
      <c r="A34" s="9" t="inlineStr">
        <is>
          <t>sms-crys</t>
        </is>
      </c>
      <c r="B34" s="9" t="inlineStr">
        <is>
          <t>Storsafe Management Solutions - Crystal Lake</t>
        </is>
      </c>
      <c r="C34" s="10" t="n">
        <v>45967</v>
      </c>
      <c r="D34" s="11" t="n">
        <v>45962</v>
      </c>
      <c r="E34" s="9" t="inlineStr">
        <is>
          <t>ComEd (comed)</t>
        </is>
      </c>
      <c r="F34" s="9" t="inlineStr">
        <is>
          <t>K-74671</t>
        </is>
      </c>
      <c r="G34" s="9" t="inlineStr">
        <is>
          <t>20251106001</t>
        </is>
      </c>
      <c r="H34" s="12" t="n">
        <v>0</v>
      </c>
      <c r="I34" s="12" t="n">
        <v>9.210000000000001</v>
      </c>
      <c r="J34" s="12" t="n">
        <v>40880.54</v>
      </c>
      <c r="K34" s="13" t="inlineStr">
        <is>
          <t>09/20/25-10/21/25 - 6905 COG CIR,CRYSTAL LAKE,IL,60014 - 7291453000</t>
        </is>
      </c>
    </row>
    <row r="35" ht="15" customHeight="1">
      <c r="A35" s="9" t="inlineStr">
        <is>
          <t>sms-crys</t>
        </is>
      </c>
      <c r="B35" s="9" t="inlineStr">
        <is>
          <t>Storsafe Management Solutions - Crystal Lake</t>
        </is>
      </c>
      <c r="C35" s="10" t="n">
        <v>45967</v>
      </c>
      <c r="D35" s="11" t="n">
        <v>45962</v>
      </c>
      <c r="E35" s="9" t="inlineStr">
        <is>
          <t>StorSafe Self Storage Management LLC  (storsafe)</t>
        </is>
      </c>
      <c r="F35" s="9" t="inlineStr">
        <is>
          <t>K-74722</t>
        </is>
      </c>
      <c r="G35" s="9" t="inlineStr">
        <is>
          <t>1265</t>
        </is>
      </c>
      <c r="H35" s="12" t="n">
        <v>0</v>
      </c>
      <c r="I35" s="12" t="n">
        <v>192.31</v>
      </c>
      <c r="J35" s="12" t="n">
        <v>40688.23</v>
      </c>
      <c r="K35" s="13" t="inlineStr">
        <is>
          <t>11.07 Payroll - Crystal</t>
        </is>
      </c>
    </row>
    <row r="36" ht="15" customHeight="1">
      <c r="A36" s="9" t="inlineStr">
        <is>
          <t>sms-crys</t>
        </is>
      </c>
      <c r="B36" s="9" t="inlineStr">
        <is>
          <t>Storsafe Management Solutions - Crystal Lake</t>
        </is>
      </c>
      <c r="C36" s="10" t="n">
        <v>45967</v>
      </c>
      <c r="D36" s="11" t="n">
        <v>45962</v>
      </c>
      <c r="E36" s="9" t="inlineStr">
        <is>
          <t>StorSafe Self Storage Management LLC  (storsafe)</t>
        </is>
      </c>
      <c r="F36" s="9" t="inlineStr">
        <is>
          <t>K-74722</t>
        </is>
      </c>
      <c r="G36" s="9" t="inlineStr">
        <is>
          <t>1265</t>
        </is>
      </c>
      <c r="H36" s="12" t="n">
        <v>0</v>
      </c>
      <c r="I36" s="12" t="n">
        <v>166.15</v>
      </c>
      <c r="J36" s="12" t="n">
        <v>40522.08</v>
      </c>
      <c r="K36" s="13" t="inlineStr">
        <is>
          <t>11.07 Payroll - Crystal</t>
        </is>
      </c>
    </row>
    <row r="37" ht="15" customHeight="1">
      <c r="A37" s="9" t="inlineStr">
        <is>
          <t>sms-crys</t>
        </is>
      </c>
      <c r="B37" s="9" t="inlineStr">
        <is>
          <t>Storsafe Management Solutions - Crystal Lake</t>
        </is>
      </c>
      <c r="C37" s="10" t="n">
        <v>45967</v>
      </c>
      <c r="D37" s="11" t="n">
        <v>45962</v>
      </c>
      <c r="E37" s="9" t="inlineStr">
        <is>
          <t>Storsafe Self Storage Management Internet Advertising (sssmia)</t>
        </is>
      </c>
      <c r="F37" s="9" t="inlineStr">
        <is>
          <t>K-74789</t>
        </is>
      </c>
      <c r="G37" s="9" t="inlineStr">
        <is>
          <t>110625</t>
        </is>
      </c>
      <c r="H37" s="12" t="n">
        <v>0</v>
      </c>
      <c r="I37" s="12" t="n">
        <v>118.82</v>
      </c>
      <c r="J37" s="12" t="n">
        <v>40403.26</v>
      </c>
      <c r="K37" s="13" t="inlineStr">
        <is>
          <t>Oct 16-31 Google Ads.2</t>
        </is>
      </c>
    </row>
    <row r="38" ht="15" customHeight="1">
      <c r="A38" s="9" t="inlineStr">
        <is>
          <t>sms-crys</t>
        </is>
      </c>
      <c r="B38" s="9" t="inlineStr">
        <is>
          <t>Storsafe Management Solutions - Crystal Lake</t>
        </is>
      </c>
      <c r="C38" s="10" t="n">
        <v>45967</v>
      </c>
      <c r="D38" s="11" t="n">
        <v>45962</v>
      </c>
      <c r="E38" s="9" t="inlineStr">
        <is>
          <t>11.06.2025 cc receipts</t>
        </is>
      </c>
      <c r="F38" s="9" t="inlineStr">
        <is>
          <t>J-75978</t>
        </is>
      </c>
      <c r="G38" s="9" t="n"/>
      <c r="H38" s="12" t="n">
        <v>1290.94</v>
      </c>
      <c r="I38" s="12" t="n">
        <v>0</v>
      </c>
      <c r="J38" s="12" t="n">
        <v>41694.2</v>
      </c>
      <c r="K38" s="13" t="inlineStr">
        <is>
          <t>11.06.2025 cc receipts</t>
        </is>
      </c>
    </row>
    <row r="39" ht="15" customHeight="1">
      <c r="A39" s="9" t="inlineStr">
        <is>
          <t>sms-crys</t>
        </is>
      </c>
      <c r="B39" s="9" t="inlineStr">
        <is>
          <t>Storsafe Management Solutions - Crystal Lake</t>
        </is>
      </c>
      <c r="C39" s="10" t="n">
        <v>45967</v>
      </c>
      <c r="D39" s="11" t="n">
        <v>45962</v>
      </c>
      <c r="E39" s="9" t="inlineStr">
        <is>
          <t>Credit Card Processing Fees 112025</t>
        </is>
      </c>
      <c r="F39" s="9" t="inlineStr">
        <is>
          <t>J-76700</t>
        </is>
      </c>
      <c r="G39" s="9" t="n"/>
      <c r="H39" s="12" t="n">
        <v>0</v>
      </c>
      <c r="I39" s="12" t="n">
        <v>616.42</v>
      </c>
      <c r="J39" s="12" t="n">
        <v>41077.78</v>
      </c>
      <c r="K39" s="13" t="inlineStr">
        <is>
          <t>Credit Card Processing Fees 112025</t>
        </is>
      </c>
    </row>
    <row r="40" ht="15" customHeight="1">
      <c r="A40" s="9" t="inlineStr">
        <is>
          <t>sms-crys</t>
        </is>
      </c>
      <c r="B40" s="9" t="inlineStr">
        <is>
          <t>Storsafe Management Solutions - Crystal Lake</t>
        </is>
      </c>
      <c r="C40" s="10" t="n">
        <v>45969</v>
      </c>
      <c r="D40" s="11" t="n">
        <v>45962</v>
      </c>
      <c r="E40" s="9" t="inlineStr">
        <is>
          <t>11.08.2025 cc receipts</t>
        </is>
      </c>
      <c r="F40" s="9" t="inlineStr">
        <is>
          <t>J-76024</t>
        </is>
      </c>
      <c r="G40" s="9" t="n"/>
      <c r="H40" s="12" t="n">
        <v>90.8</v>
      </c>
      <c r="I40" s="12" t="n">
        <v>0</v>
      </c>
      <c r="J40" s="12" t="n">
        <v>41168.58</v>
      </c>
      <c r="K40" s="13" t="inlineStr">
        <is>
          <t>11.08.2025 cc receipts</t>
        </is>
      </c>
    </row>
    <row r="41" ht="15" customHeight="1">
      <c r="A41" s="9" t="inlineStr">
        <is>
          <t>sms-crys</t>
        </is>
      </c>
      <c r="B41" s="9" t="inlineStr">
        <is>
          <t>Storsafe Management Solutions - Crystal Lake</t>
        </is>
      </c>
      <c r="C41" s="10" t="n">
        <v>45970</v>
      </c>
      <c r="D41" s="11" t="n">
        <v>45962</v>
      </c>
      <c r="E41" s="9" t="inlineStr">
        <is>
          <t>11.09.2025 cc receipts</t>
        </is>
      </c>
      <c r="F41" s="9" t="inlineStr">
        <is>
          <t>J-76040</t>
        </is>
      </c>
      <c r="G41" s="9" t="n"/>
      <c r="H41" s="12" t="n">
        <v>305</v>
      </c>
      <c r="I41" s="12" t="n">
        <v>0</v>
      </c>
      <c r="J41" s="12" t="n">
        <v>41473.58</v>
      </c>
      <c r="K41" s="13" t="inlineStr">
        <is>
          <t>11.09.2025 cc receipts</t>
        </is>
      </c>
    </row>
    <row r="42" ht="15" customHeight="1">
      <c r="A42" s="9" t="inlineStr">
        <is>
          <t>sms-crys</t>
        </is>
      </c>
      <c r="B42" s="9" t="inlineStr">
        <is>
          <t>Storsafe Management Solutions - Crystal Lake</t>
        </is>
      </c>
      <c r="C42" s="10" t="n">
        <v>45971</v>
      </c>
      <c r="D42" s="11" t="n">
        <v>45962</v>
      </c>
      <c r="E42" s="9" t="inlineStr">
        <is>
          <t>11.10.2025 cc receipts</t>
        </is>
      </c>
      <c r="F42" s="9" t="inlineStr">
        <is>
          <t>J-76103</t>
        </is>
      </c>
      <c r="G42" s="9" t="n"/>
      <c r="H42" s="12" t="n">
        <v>226</v>
      </c>
      <c r="I42" s="12" t="n">
        <v>0</v>
      </c>
      <c r="J42" s="12" t="n">
        <v>41699.58</v>
      </c>
      <c r="K42" s="13" t="inlineStr">
        <is>
          <t>11.10.2025 cc receipts</t>
        </is>
      </c>
    </row>
    <row r="43" ht="15" customHeight="1">
      <c r="A43" s="9" t="inlineStr">
        <is>
          <t>sms-crys</t>
        </is>
      </c>
      <c r="B43" s="9" t="inlineStr">
        <is>
          <t>Storsafe Management Solutions - Crystal Lake</t>
        </is>
      </c>
      <c r="C43" s="10" t="n">
        <v>45971</v>
      </c>
      <c r="D43" s="11" t="n">
        <v>45962</v>
      </c>
      <c r="E43" s="9" t="inlineStr">
        <is>
          <t>Refunds_Edwards, Vincent **6521_Unit P40</t>
        </is>
      </c>
      <c r="F43" s="9" t="inlineStr">
        <is>
          <t>J-76699</t>
        </is>
      </c>
      <c r="G43" s="9" t="n"/>
      <c r="H43" s="12" t="n">
        <v>0</v>
      </c>
      <c r="I43" s="12" t="n">
        <v>139.55</v>
      </c>
      <c r="J43" s="12" t="n">
        <v>41560.03</v>
      </c>
      <c r="K43" s="13" t="inlineStr">
        <is>
          <t>Refunds_Edwards, Vincent **6521_Unit P40</t>
        </is>
      </c>
    </row>
    <row r="44" ht="15" customHeight="1">
      <c r="A44" s="9" t="inlineStr">
        <is>
          <t>sms-crys</t>
        </is>
      </c>
      <c r="B44" s="9" t="inlineStr">
        <is>
          <t>Storsafe Management Solutions - Crystal Lake</t>
        </is>
      </c>
      <c r="C44" s="10" t="n">
        <v>45971</v>
      </c>
      <c r="D44" s="11" t="n">
        <v>45962</v>
      </c>
      <c r="E44" s="9" t="inlineStr">
        <is>
          <t>ATT ACH 112025</t>
        </is>
      </c>
      <c r="F44" s="9" t="inlineStr">
        <is>
          <t>J-76701</t>
        </is>
      </c>
      <c r="G44" s="9" t="n"/>
      <c r="H44" s="12" t="n">
        <v>0</v>
      </c>
      <c r="I44" s="12" t="n">
        <v>123.57</v>
      </c>
      <c r="J44" s="12" t="n">
        <v>41436.46</v>
      </c>
      <c r="K44" s="13" t="inlineStr">
        <is>
          <t>ATT ACH 112025</t>
        </is>
      </c>
    </row>
    <row r="45" ht="15" customHeight="1">
      <c r="A45" s="9" t="inlineStr">
        <is>
          <t>sms-crys</t>
        </is>
      </c>
      <c r="B45" s="9" t="inlineStr">
        <is>
          <t>Storsafe Management Solutions - Crystal Lake</t>
        </is>
      </c>
      <c r="C45" s="10" t="n">
        <v>45972</v>
      </c>
      <c r="D45" s="11" t="n">
        <v>45962</v>
      </c>
      <c r="E45" s="9" t="inlineStr">
        <is>
          <t>11.11.2025 cc receipts</t>
        </is>
      </c>
      <c r="F45" s="9" t="inlineStr">
        <is>
          <t>J-76118</t>
        </is>
      </c>
      <c r="G45" s="9" t="n"/>
      <c r="H45" s="12" t="n">
        <v>470</v>
      </c>
      <c r="I45" s="12" t="n">
        <v>0</v>
      </c>
      <c r="J45" s="12" t="n">
        <v>41906.46</v>
      </c>
      <c r="K45" s="13" t="inlineStr">
        <is>
          <t>11.11.2025 cc receipts</t>
        </is>
      </c>
    </row>
    <row r="46" ht="15" customHeight="1">
      <c r="A46" s="9" t="inlineStr">
        <is>
          <t>sms-crys</t>
        </is>
      </c>
      <c r="B46" s="9" t="inlineStr">
        <is>
          <t>Storsafe Management Solutions - Crystal Lake</t>
        </is>
      </c>
      <c r="C46" s="10" t="n">
        <v>45973</v>
      </c>
      <c r="D46" s="11" t="n">
        <v>45962</v>
      </c>
      <c r="E46" s="9" t="inlineStr">
        <is>
          <t>AI Lean Inc. (ailean)</t>
        </is>
      </c>
      <c r="F46" s="9" t="inlineStr">
        <is>
          <t>K-74851</t>
        </is>
      </c>
      <c r="G46" s="9" t="inlineStr">
        <is>
          <t>1266</t>
        </is>
      </c>
      <c r="H46" s="12" t="n">
        <v>0</v>
      </c>
      <c r="I46" s="12" t="n">
        <v>272.12</v>
      </c>
      <c r="J46" s="12" t="n">
        <v>41634.34</v>
      </c>
      <c r="K46" s="13" t="inlineStr">
        <is>
          <t>10/2025  Saas Fees</t>
        </is>
      </c>
    </row>
    <row r="47" ht="15" customHeight="1">
      <c r="A47" s="9" t="inlineStr">
        <is>
          <t>sms-crys</t>
        </is>
      </c>
      <c r="B47" s="9" t="inlineStr">
        <is>
          <t>Storsafe Management Solutions - Crystal Lake</t>
        </is>
      </c>
      <c r="C47" s="10" t="n">
        <v>45973</v>
      </c>
      <c r="D47" s="11" t="n">
        <v>45962</v>
      </c>
      <c r="E47" s="9" t="inlineStr">
        <is>
          <t>AI Lean Inc. (ailean)</t>
        </is>
      </c>
      <c r="F47" s="9" t="inlineStr">
        <is>
          <t>K-74851</t>
        </is>
      </c>
      <c r="G47" s="9" t="inlineStr">
        <is>
          <t>1266</t>
        </is>
      </c>
      <c r="H47" s="12" t="n">
        <v>0</v>
      </c>
      <c r="I47" s="12" t="n">
        <v>10</v>
      </c>
      <c r="J47" s="12" t="n">
        <v>41624.34</v>
      </c>
      <c r="K47" s="13" t="inlineStr">
        <is>
          <t>October TMS Charges</t>
        </is>
      </c>
    </row>
    <row r="48" ht="15" customHeight="1">
      <c r="A48" s="9" t="inlineStr">
        <is>
          <t>sms-crys</t>
        </is>
      </c>
      <c r="B48" s="9" t="inlineStr">
        <is>
          <t>Storsafe Management Solutions - Crystal Lake</t>
        </is>
      </c>
      <c r="C48" s="10" t="n">
        <v>45973</v>
      </c>
      <c r="D48" s="11" t="n">
        <v>45962</v>
      </c>
      <c r="E48" s="9" t="inlineStr">
        <is>
          <t>Venn US, Inc. (venn)</t>
        </is>
      </c>
      <c r="F48" s="9" t="inlineStr">
        <is>
          <t>K-74852</t>
        </is>
      </c>
      <c r="G48" s="9" t="inlineStr">
        <is>
          <t>1267</t>
        </is>
      </c>
      <c r="H48" s="12" t="n">
        <v>0</v>
      </c>
      <c r="I48" s="12" t="n">
        <v>50</v>
      </c>
      <c r="J48" s="12" t="n">
        <v>41574.34</v>
      </c>
      <c r="K48" s="13" t="inlineStr">
        <is>
          <t>09/2025 Software for the Comm Center VAs</t>
        </is>
      </c>
    </row>
    <row r="49" ht="15" customHeight="1">
      <c r="A49" s="9" t="inlineStr">
        <is>
          <t>sms-crys</t>
        </is>
      </c>
      <c r="B49" s="9" t="inlineStr">
        <is>
          <t>Storsafe Management Solutions - Crystal Lake</t>
        </is>
      </c>
      <c r="C49" s="10" t="n">
        <v>45973</v>
      </c>
      <c r="D49" s="11" t="n">
        <v>45962</v>
      </c>
      <c r="E49" s="9" t="inlineStr">
        <is>
          <t>11.12.2025 ACH debit</t>
        </is>
      </c>
      <c r="F49" s="9" t="inlineStr">
        <is>
          <t>J-76141</t>
        </is>
      </c>
      <c r="G49" s="9" t="n"/>
      <c r="H49" s="12" t="n">
        <v>743</v>
      </c>
      <c r="I49" s="12" t="n">
        <v>0</v>
      </c>
      <c r="J49" s="12" t="n">
        <v>42317.34</v>
      </c>
      <c r="K49" s="13" t="inlineStr">
        <is>
          <t>11.12.2025 ACH debit</t>
        </is>
      </c>
    </row>
    <row r="50" ht="15" customHeight="1">
      <c r="A50" s="9" t="inlineStr">
        <is>
          <t>sms-crys</t>
        </is>
      </c>
      <c r="B50" s="9" t="inlineStr">
        <is>
          <t>Storsafe Management Solutions - Crystal Lake</t>
        </is>
      </c>
      <c r="C50" s="10" t="n">
        <v>45973</v>
      </c>
      <c r="D50" s="11" t="n">
        <v>45962</v>
      </c>
      <c r="E50" s="9" t="inlineStr">
        <is>
          <t>11.12.2025 cc receipts</t>
        </is>
      </c>
      <c r="F50" s="9" t="inlineStr">
        <is>
          <t>J-76142</t>
        </is>
      </c>
      <c r="G50" s="9" t="n"/>
      <c r="H50" s="12" t="n">
        <v>80</v>
      </c>
      <c r="I50" s="12" t="n">
        <v>0</v>
      </c>
      <c r="J50" s="12" t="n">
        <v>42397.34</v>
      </c>
      <c r="K50" s="13" t="inlineStr">
        <is>
          <t>11.12.2025 cc receipts</t>
        </is>
      </c>
    </row>
    <row r="51" ht="15" customHeight="1">
      <c r="A51" s="9" t="inlineStr">
        <is>
          <t>sms-crys</t>
        </is>
      </c>
      <c r="B51" s="9" t="inlineStr">
        <is>
          <t>Storsafe Management Solutions - Crystal Lake</t>
        </is>
      </c>
      <c r="C51" s="10" t="n">
        <v>45975</v>
      </c>
      <c r="D51" s="11" t="n">
        <v>45962</v>
      </c>
      <c r="E51" s="9" t="inlineStr">
        <is>
          <t>10.2025 CapOne payment</t>
        </is>
      </c>
      <c r="F51" s="9" t="inlineStr">
        <is>
          <t>J-76676</t>
        </is>
      </c>
      <c r="G51" s="9" t="n"/>
      <c r="H51" s="12" t="n">
        <v>0</v>
      </c>
      <c r="I51" s="12" t="n">
        <v>673.54</v>
      </c>
      <c r="J51" s="12" t="n">
        <v>41723.8</v>
      </c>
      <c r="K51" s="13" t="inlineStr">
        <is>
          <t>10.2025 CapOne payment</t>
        </is>
      </c>
    </row>
    <row r="52" ht="15" customHeight="1">
      <c r="A52" s="9" t="inlineStr">
        <is>
          <t>sms-crys</t>
        </is>
      </c>
      <c r="B52" s="9" t="inlineStr">
        <is>
          <t>Storsafe Management Solutions - Crystal Lake</t>
        </is>
      </c>
      <c r="C52" s="10" t="n">
        <v>45976</v>
      </c>
      <c r="D52" s="11" t="n">
        <v>45962</v>
      </c>
      <c r="E52" s="9" t="inlineStr">
        <is>
          <t>SafeLease 11.2025</t>
        </is>
      </c>
      <c r="F52" s="9" t="inlineStr">
        <is>
          <t>J-76522</t>
        </is>
      </c>
      <c r="G52" s="9" t="n"/>
      <c r="H52" s="12" t="n">
        <v>0</v>
      </c>
      <c r="I52" s="12" t="n">
        <v>259.94</v>
      </c>
      <c r="J52" s="12" t="n">
        <v>41463.86</v>
      </c>
      <c r="K52" s="13" t="inlineStr">
        <is>
          <t>SafeLease 11.2025</t>
        </is>
      </c>
    </row>
    <row r="53" ht="15" customHeight="1">
      <c r="A53" s="9" t="inlineStr">
        <is>
          <t>sms-crys</t>
        </is>
      </c>
      <c r="B53" s="9" t="inlineStr">
        <is>
          <t>Storsafe Management Solutions - Crystal Lake</t>
        </is>
      </c>
      <c r="C53" s="10" t="n">
        <v>45977</v>
      </c>
      <c r="D53" s="11" t="n">
        <v>45962</v>
      </c>
      <c r="E53" s="9" t="inlineStr">
        <is>
          <t>11.16.2025 ACH debit</t>
        </is>
      </c>
      <c r="F53" s="9" t="inlineStr">
        <is>
          <t>J-76221</t>
        </is>
      </c>
      <c r="G53" s="9" t="n"/>
      <c r="H53" s="12" t="n">
        <v>196</v>
      </c>
      <c r="I53" s="12" t="n">
        <v>0</v>
      </c>
      <c r="J53" s="12" t="n">
        <v>41659.86</v>
      </c>
      <c r="K53" s="13" t="inlineStr">
        <is>
          <t>11.16.2025 ACH debit</t>
        </is>
      </c>
    </row>
    <row r="54" ht="15" customHeight="1">
      <c r="A54" s="9" t="inlineStr">
        <is>
          <t>sms-crys</t>
        </is>
      </c>
      <c r="B54" s="9" t="inlineStr">
        <is>
          <t>Storsafe Management Solutions - Crystal Lake</t>
        </is>
      </c>
      <c r="C54" s="10" t="n">
        <v>45978</v>
      </c>
      <c r="D54" s="11" t="n">
        <v>45962</v>
      </c>
      <c r="E54" s="9" t="inlineStr">
        <is>
          <t>Storsafe Self Storage Management Internet Advertising (sssmia)</t>
        </is>
      </c>
      <c r="F54" s="9" t="inlineStr">
        <is>
          <t>K-74943</t>
        </is>
      </c>
      <c r="G54" s="9" t="inlineStr">
        <is>
          <t>1268</t>
        </is>
      </c>
      <c r="H54" s="12" t="n">
        <v>0</v>
      </c>
      <c r="I54" s="12" t="n">
        <v>113.45</v>
      </c>
      <c r="J54" s="12" t="n">
        <v>41546.41</v>
      </c>
      <c r="K54" s="13" t="inlineStr">
        <is>
          <t>11.2025 Google Ads.1</t>
        </is>
      </c>
    </row>
    <row r="55" ht="15" customHeight="1">
      <c r="A55" s="9" t="inlineStr">
        <is>
          <t>sms-crys</t>
        </is>
      </c>
      <c r="B55" s="9" t="inlineStr">
        <is>
          <t>Storsafe Management Solutions - Crystal Lake</t>
        </is>
      </c>
      <c r="C55" s="10" t="n">
        <v>45978</v>
      </c>
      <c r="D55" s="11" t="n">
        <v>45962</v>
      </c>
      <c r="E55" s="9" t="inlineStr">
        <is>
          <t>Account Analysis Charge</t>
        </is>
      </c>
      <c r="F55" s="9" t="inlineStr">
        <is>
          <t>J-76702</t>
        </is>
      </c>
      <c r="G55" s="9" t="n"/>
      <c r="H55" s="12" t="n">
        <v>0</v>
      </c>
      <c r="I55" s="12" t="n">
        <v>254.61</v>
      </c>
      <c r="J55" s="12" t="n">
        <v>41291.8</v>
      </c>
      <c r="K55" s="13" t="inlineStr">
        <is>
          <t>Account Analysis Charge</t>
        </is>
      </c>
    </row>
    <row r="56" ht="15" customHeight="1">
      <c r="A56" s="9" t="inlineStr">
        <is>
          <t>sms-crys</t>
        </is>
      </c>
      <c r="B56" s="9" t="inlineStr">
        <is>
          <t>Storsafe Management Solutions - Crystal Lake</t>
        </is>
      </c>
      <c r="C56" s="10" t="n">
        <v>45979</v>
      </c>
      <c r="D56" s="11" t="n">
        <v>45962</v>
      </c>
      <c r="E56" s="9" t="inlineStr">
        <is>
          <t>The Cincinnati Insurance Company (cincin)</t>
        </is>
      </c>
      <c r="F56" s="9" t="inlineStr">
        <is>
          <t>J-76704</t>
        </is>
      </c>
      <c r="G56" s="9" t="n"/>
      <c r="H56" s="12" t="n">
        <v>0</v>
      </c>
      <c r="I56" s="12" t="n">
        <v>2215</v>
      </c>
      <c r="J56" s="12" t="n">
        <v>39076.8</v>
      </c>
      <c r="K56" s="13" t="inlineStr">
        <is>
          <t>Insurance Expense</t>
        </is>
      </c>
    </row>
    <row r="57" ht="15" customHeight="1">
      <c r="A57" s="9" t="inlineStr">
        <is>
          <t>sms-crys</t>
        </is>
      </c>
      <c r="B57" s="9" t="inlineStr">
        <is>
          <t>Storsafe Management Solutions - Crystal Lake</t>
        </is>
      </c>
      <c r="C57" s="10" t="n">
        <v>45981</v>
      </c>
      <c r="D57" s="11" t="n">
        <v>45962</v>
      </c>
      <c r="E57" s="9" t="inlineStr">
        <is>
          <t>StorSafe Self Storage Management LLC  (storsafe)</t>
        </is>
      </c>
      <c r="F57" s="9" t="inlineStr">
        <is>
          <t>K-74998</t>
        </is>
      </c>
      <c r="G57" s="9" t="inlineStr">
        <is>
          <t>1269</t>
        </is>
      </c>
      <c r="H57" s="12" t="n">
        <v>0</v>
      </c>
      <c r="I57" s="12" t="n">
        <v>192.31</v>
      </c>
      <c r="J57" s="12" t="n">
        <v>38884.49</v>
      </c>
      <c r="K57" s="13" t="inlineStr">
        <is>
          <t>11.21 Payroll - Crystal</t>
        </is>
      </c>
    </row>
    <row r="58" ht="15" customHeight="1">
      <c r="A58" s="9" t="inlineStr">
        <is>
          <t>sms-crys</t>
        </is>
      </c>
      <c r="B58" s="9" t="inlineStr">
        <is>
          <t>Storsafe Management Solutions - Crystal Lake</t>
        </is>
      </c>
      <c r="C58" s="10" t="n">
        <v>45981</v>
      </c>
      <c r="D58" s="11" t="n">
        <v>45962</v>
      </c>
      <c r="E58" s="9" t="inlineStr">
        <is>
          <t>StorSafe Self Storage Management LLC  (storsafe)</t>
        </is>
      </c>
      <c r="F58" s="9" t="inlineStr">
        <is>
          <t>K-74998</t>
        </is>
      </c>
      <c r="G58" s="9" t="inlineStr">
        <is>
          <t>1269</t>
        </is>
      </c>
      <c r="H58" s="12" t="n">
        <v>0</v>
      </c>
      <c r="I58" s="12" t="n">
        <v>166.15</v>
      </c>
      <c r="J58" s="12" t="n">
        <v>38718.34</v>
      </c>
      <c r="K58" s="13" t="inlineStr">
        <is>
          <t>11.21 Payroll - Crystal</t>
        </is>
      </c>
    </row>
    <row r="59" ht="15" customHeight="1">
      <c r="A59" s="9" t="inlineStr">
        <is>
          <t>sms-crys</t>
        </is>
      </c>
      <c r="B59" s="9" t="inlineStr">
        <is>
          <t>Storsafe Management Solutions - Crystal Lake</t>
        </is>
      </c>
      <c r="C59" s="10" t="n">
        <v>45981</v>
      </c>
      <c r="D59" s="11" t="n">
        <v>45962</v>
      </c>
      <c r="E59" s="9" t="inlineStr">
        <is>
          <t>11.20.2025 cc receipts</t>
        </is>
      </c>
      <c r="F59" s="9" t="inlineStr">
        <is>
          <t>J-76288</t>
        </is>
      </c>
      <c r="G59" s="9" t="n"/>
      <c r="H59" s="12" t="n">
        <v>4.8</v>
      </c>
      <c r="I59" s="12" t="n">
        <v>0</v>
      </c>
      <c r="J59" s="12" t="n">
        <v>38723.14</v>
      </c>
      <c r="K59" s="13" t="inlineStr">
        <is>
          <t>11.20.2025 cc receipts</t>
        </is>
      </c>
    </row>
    <row r="60" ht="15" customHeight="1">
      <c r="A60" s="9" t="inlineStr">
        <is>
          <t>sms-crys</t>
        </is>
      </c>
      <c r="B60" s="9" t="inlineStr">
        <is>
          <t>Storsafe Management Solutions - Crystal Lake</t>
        </is>
      </c>
      <c r="C60" s="10" t="n">
        <v>45981</v>
      </c>
      <c r="D60" s="11" t="n">
        <v>45962</v>
      </c>
      <c r="E60" s="9" t="inlineStr">
        <is>
          <t>11/2025 Loan Payment</t>
        </is>
      </c>
      <c r="F60" s="9" t="inlineStr">
        <is>
          <t>J-76710</t>
        </is>
      </c>
      <c r="G60" s="9" t="n"/>
      <c r="H60" s="12" t="n">
        <v>0</v>
      </c>
      <c r="I60" s="12" t="n">
        <v>10351.24</v>
      </c>
      <c r="J60" s="12" t="n">
        <v>28371.9</v>
      </c>
      <c r="K60" s="13" t="inlineStr">
        <is>
          <t>11/2025 Loan Payment</t>
        </is>
      </c>
    </row>
    <row r="61" ht="15" customHeight="1">
      <c r="A61" s="9" t="inlineStr">
        <is>
          <t>sms-crys</t>
        </is>
      </c>
      <c r="B61" s="9" t="inlineStr">
        <is>
          <t>Storsafe Management Solutions - Crystal Lake</t>
        </is>
      </c>
      <c r="C61" s="10" t="n">
        <v>45982</v>
      </c>
      <c r="D61" s="11" t="n">
        <v>45962</v>
      </c>
      <c r="E61" s="9" t="inlineStr">
        <is>
          <t>11.21.2025 cc receipts</t>
        </is>
      </c>
      <c r="F61" s="9" t="inlineStr">
        <is>
          <t>J-76309</t>
        </is>
      </c>
      <c r="G61" s="9" t="n"/>
      <c r="H61" s="12" t="n">
        <v>64</v>
      </c>
      <c r="I61" s="12" t="n">
        <v>0</v>
      </c>
      <c r="J61" s="12" t="n">
        <v>28435.9</v>
      </c>
      <c r="K61" s="13" t="inlineStr">
        <is>
          <t>11.21.2025 cc receipts</t>
        </is>
      </c>
    </row>
    <row r="62" ht="15" customHeight="1">
      <c r="A62" s="9" t="inlineStr">
        <is>
          <t>sms-crys</t>
        </is>
      </c>
      <c r="B62" s="9" t="inlineStr">
        <is>
          <t>Storsafe Management Solutions - Crystal Lake</t>
        </is>
      </c>
      <c r="C62" s="10" t="n">
        <v>45982</v>
      </c>
      <c r="D62" s="11" t="n">
        <v>45962</v>
      </c>
      <c r="E62" s="9" t="inlineStr">
        <is>
          <t>Comcast ACH 112025</t>
        </is>
      </c>
      <c r="F62" s="9" t="inlineStr">
        <is>
          <t>J-76703</t>
        </is>
      </c>
      <c r="G62" s="9" t="n"/>
      <c r="H62" s="12" t="n">
        <v>0</v>
      </c>
      <c r="I62" s="12" t="n">
        <v>88.95</v>
      </c>
      <c r="J62" s="12" t="n">
        <v>28346.95</v>
      </c>
      <c r="K62" s="13" t="inlineStr">
        <is>
          <t>Comcast ACH 112025</t>
        </is>
      </c>
    </row>
    <row r="63" ht="15" customHeight="1">
      <c r="A63" s="9" t="inlineStr">
        <is>
          <t>sms-crys</t>
        </is>
      </c>
      <c r="B63" s="9" t="inlineStr">
        <is>
          <t>Storsafe Management Solutions - Crystal Lake</t>
        </is>
      </c>
      <c r="C63" s="10" t="n">
        <v>45983</v>
      </c>
      <c r="D63" s="11" t="n">
        <v>45962</v>
      </c>
      <c r="E63" s="9" t="inlineStr">
        <is>
          <t>11.22.2025 cc receipts</t>
        </is>
      </c>
      <c r="F63" s="9" t="inlineStr">
        <is>
          <t>J-76346</t>
        </is>
      </c>
      <c r="G63" s="9" t="n"/>
      <c r="H63" s="12" t="n">
        <v>83</v>
      </c>
      <c r="I63" s="12" t="n">
        <v>0</v>
      </c>
      <c r="J63" s="12" t="n">
        <v>28429.95</v>
      </c>
      <c r="K63" s="13" t="inlineStr">
        <is>
          <t>11.22.2025 cc receipts</t>
        </is>
      </c>
    </row>
    <row r="64" ht="15" customHeight="1">
      <c r="A64" s="9" t="inlineStr">
        <is>
          <t>sms-crys</t>
        </is>
      </c>
      <c r="B64" s="9" t="inlineStr">
        <is>
          <t>Storsafe Management Solutions - Crystal Lake</t>
        </is>
      </c>
      <c r="C64" s="10" t="n">
        <v>45986</v>
      </c>
      <c r="D64" s="11" t="n">
        <v>45962</v>
      </c>
      <c r="E64" s="9" t="inlineStr">
        <is>
          <t>11.25.2025 cc receipts</t>
        </is>
      </c>
      <c r="F64" s="9" t="inlineStr">
        <is>
          <t>J-76396</t>
        </is>
      </c>
      <c r="G64" s="9" t="n"/>
      <c r="H64" s="12" t="n">
        <v>25</v>
      </c>
      <c r="I64" s="12" t="n">
        <v>0</v>
      </c>
      <c r="J64" s="12" t="n">
        <v>28454.95</v>
      </c>
      <c r="K64" s="13" t="inlineStr">
        <is>
          <t>11.25.2025 cc receipts</t>
        </is>
      </c>
    </row>
    <row r="65" ht="15" customHeight="1">
      <c r="A65" s="9" t="inlineStr">
        <is>
          <t>sms-crys</t>
        </is>
      </c>
      <c r="B65" s="9" t="inlineStr">
        <is>
          <t>Storsafe Management Solutions - Crystal Lake</t>
        </is>
      </c>
      <c r="C65" s="10" t="n">
        <v>45986</v>
      </c>
      <c r="D65" s="11" t="n">
        <v>45962</v>
      </c>
      <c r="E65" s="9" t="inlineStr">
        <is>
          <t>T-Mobile_ACH 112025</t>
        </is>
      </c>
      <c r="F65" s="9" t="inlineStr">
        <is>
          <t>J-76708</t>
        </is>
      </c>
      <c r="G65" s="9" t="n"/>
      <c r="H65" s="12" t="n">
        <v>0</v>
      </c>
      <c r="I65" s="12" t="n">
        <v>78</v>
      </c>
      <c r="J65" s="12" t="n">
        <v>28376.95</v>
      </c>
      <c r="K65" s="13" t="inlineStr">
        <is>
          <t>T-Mobile_ACH 112025</t>
        </is>
      </c>
    </row>
    <row r="66" ht="15" customHeight="1">
      <c r="A66" s="9" t="inlineStr">
        <is>
          <t>sms-crys</t>
        </is>
      </c>
      <c r="B66" s="9" t="inlineStr">
        <is>
          <t>Storsafe Management Solutions - Crystal Lake</t>
        </is>
      </c>
      <c r="C66" s="10" t="n">
        <v>45987</v>
      </c>
      <c r="D66" s="11" t="n">
        <v>45962</v>
      </c>
      <c r="E66" s="9" t="inlineStr">
        <is>
          <t>Owner Distributions</t>
        </is>
      </c>
      <c r="F66" s="9" t="inlineStr">
        <is>
          <t>J-76709</t>
        </is>
      </c>
      <c r="G66" s="9" t="n"/>
      <c r="H66" s="12" t="n">
        <v>0</v>
      </c>
      <c r="I66" s="12" t="n">
        <v>15427.82</v>
      </c>
      <c r="J66" s="12" t="n">
        <v>12949.13</v>
      </c>
      <c r="K66" s="13" t="inlineStr">
        <is>
          <t>Owner Distributions</t>
        </is>
      </c>
    </row>
    <row r="67" ht="15" customHeight="1">
      <c r="A67" s="9" t="inlineStr">
        <is>
          <t>sms-crys</t>
        </is>
      </c>
      <c r="B67" s="9" t="inlineStr">
        <is>
          <t>Storsafe Management Solutions - Crystal Lake</t>
        </is>
      </c>
      <c r="C67" s="10" t="n">
        <v>45989</v>
      </c>
      <c r="D67" s="11" t="n">
        <v>45962</v>
      </c>
      <c r="E67" s="9" t="inlineStr">
        <is>
          <t>11.28.2025 cc receipts</t>
        </is>
      </c>
      <c r="F67" s="9" t="inlineStr">
        <is>
          <t>J-76454</t>
        </is>
      </c>
      <c r="G67" s="9" t="n"/>
      <c r="H67" s="12" t="n">
        <v>243</v>
      </c>
      <c r="I67" s="12" t="n">
        <v>0</v>
      </c>
      <c r="J67" s="12" t="n">
        <v>13192.13</v>
      </c>
      <c r="K67" s="13" t="inlineStr">
        <is>
          <t>11.28.2025 cc receipts</t>
        </is>
      </c>
    </row>
    <row r="68" ht="15" customHeight="1">
      <c r="A68" s="9" t="inlineStr">
        <is>
          <t>sms-crys</t>
        </is>
      </c>
      <c r="B68" s="9" t="inlineStr">
        <is>
          <t>Storsafe Management Solutions - Crystal Lake</t>
        </is>
      </c>
      <c r="C68" s="10" t="n">
        <v>45990</v>
      </c>
      <c r="D68" s="11" t="n">
        <v>45962</v>
      </c>
      <c r="E68" s="9" t="inlineStr">
        <is>
          <t>11.29.2025 cc receipts</t>
        </is>
      </c>
      <c r="F68" s="9" t="inlineStr">
        <is>
          <t>J-76478</t>
        </is>
      </c>
      <c r="G68" s="9" t="n"/>
      <c r="H68" s="12" t="n">
        <v>1405</v>
      </c>
      <c r="I68" s="12" t="n">
        <v>0</v>
      </c>
      <c r="J68" s="12" t="n">
        <v>14597.13</v>
      </c>
      <c r="K68" s="13" t="inlineStr">
        <is>
          <t>11.29.2025 cc receipts</t>
        </is>
      </c>
    </row>
    <row r="69" ht="15" customHeight="1">
      <c r="A69" s="9" t="inlineStr">
        <is>
          <t>sms-crys</t>
        </is>
      </c>
      <c r="B69" s="9" t="inlineStr">
        <is>
          <t>Storsafe Management Solutions - Crystal Lake</t>
        </is>
      </c>
      <c r="C69" s="10" t="n">
        <v>45991</v>
      </c>
      <c r="D69" s="11" t="n">
        <v>45962</v>
      </c>
      <c r="E69" s="9" t="inlineStr">
        <is>
          <t>11.30.2025 cc receipts</t>
        </is>
      </c>
      <c r="F69" s="9" t="inlineStr">
        <is>
          <t>J-76500</t>
        </is>
      </c>
      <c r="G69" s="9" t="n"/>
      <c r="H69" s="12" t="n">
        <v>1448</v>
      </c>
      <c r="I69" s="12" t="n">
        <v>0</v>
      </c>
      <c r="J69" s="12" t="n">
        <v>16045.13</v>
      </c>
      <c r="K69" s="13" t="inlineStr">
        <is>
          <t>11.30.2025 cc receipts</t>
        </is>
      </c>
    </row>
    <row r="70" ht="15" customHeight="1">
      <c r="A70" s="14" t="n"/>
      <c r="B70" s="14" t="n"/>
      <c r="C70" s="15" t="n"/>
      <c r="D70" s="15" t="n"/>
      <c r="E70" s="16" t="inlineStr">
        <is>
          <t xml:space="preserve">  Net Change=-5,705.85</t>
        </is>
      </c>
      <c r="F70" s="14" t="n"/>
      <c r="G70" s="14" t="n"/>
      <c r="H70" s="17" t="inlineStr">
        <is>
          <t>34,441.57</t>
        </is>
      </c>
      <c r="I70" s="17" t="inlineStr">
        <is>
          <t>40,147.42</t>
        </is>
      </c>
      <c r="J70" s="17" t="inlineStr">
        <is>
          <t xml:space="preserve">  16,045.13</t>
        </is>
      </c>
      <c r="K70" s="16">
        <f> Ending Balance =</f>
        <v/>
      </c>
    </row>
    <row r="71" ht="15" customHeight="1">
      <c r="A71" s="9" t="n"/>
      <c r="B71" s="9" t="n"/>
      <c r="C71" s="9" t="n"/>
      <c r="D71" s="9" t="n"/>
      <c r="E71" s="9" t="n"/>
      <c r="F71" s="9" t="n"/>
      <c r="G71" s="9" t="n"/>
      <c r="H71" s="18" t="n"/>
      <c r="I71" s="18" t="n"/>
      <c r="J71" s="18" t="n"/>
      <c r="K71" s="9" t="n"/>
    </row>
    <row r="72" ht="15" customHeight="1">
      <c r="A72" s="16" t="inlineStr">
        <is>
          <t>1300-0000</t>
        </is>
      </c>
      <c r="B72" s="14" t="n"/>
      <c r="C72" s="14" t="n"/>
      <c r="D72" s="14" t="n"/>
      <c r="E72" s="16" t="inlineStr">
        <is>
          <t>Accounts Receivable</t>
        </is>
      </c>
      <c r="F72" s="14" t="n"/>
      <c r="G72" s="14" t="n"/>
      <c r="H72" s="19" t="n"/>
      <c r="I72" s="19" t="n"/>
      <c r="J72" s="20" t="n">
        <v>10916.09</v>
      </c>
      <c r="K72" s="16">
        <f> Beginning Balance =</f>
        <v/>
      </c>
    </row>
    <row r="73" ht="15" customHeight="1">
      <c r="A73" s="9" t="inlineStr">
        <is>
          <t>sms-crys</t>
        </is>
      </c>
      <c r="B73" s="9" t="inlineStr">
        <is>
          <t>Storsafe Management Solutions - Crystal Lake</t>
        </is>
      </c>
      <c r="C73" s="10" t="n">
        <v>45991</v>
      </c>
      <c r="D73" s="11" t="n">
        <v>45962</v>
      </c>
      <c r="E73" s="9" t="inlineStr">
        <is>
          <t>Revenue adj per SiteLink</t>
        </is>
      </c>
      <c r="F73" s="9" t="inlineStr">
        <is>
          <t>J-76897</t>
        </is>
      </c>
      <c r="G73" s="9" t="n"/>
      <c r="H73" s="12" t="n">
        <v>261.75</v>
      </c>
      <c r="I73" s="12" t="n">
        <v>0</v>
      </c>
      <c r="J73" s="12" t="n">
        <v>11177.84</v>
      </c>
      <c r="K73" s="13" t="inlineStr">
        <is>
          <t>Unpaid Rents</t>
        </is>
      </c>
    </row>
    <row r="74" ht="15" customHeight="1">
      <c r="A74" s="14" t="n"/>
      <c r="B74" s="14" t="n"/>
      <c r="C74" s="15" t="n"/>
      <c r="D74" s="15" t="n"/>
      <c r="E74" s="16" t="inlineStr">
        <is>
          <t xml:space="preserve">  Net Change=261.75</t>
        </is>
      </c>
      <c r="F74" s="14" t="n"/>
      <c r="G74" s="14" t="n"/>
      <c r="H74" s="17" t="inlineStr">
        <is>
          <t>261.75</t>
        </is>
      </c>
      <c r="I74" s="17" t="inlineStr">
        <is>
          <t>0.00</t>
        </is>
      </c>
      <c r="J74" s="17" t="inlineStr">
        <is>
          <t xml:space="preserve">  11,177.84</t>
        </is>
      </c>
      <c r="K74" s="16">
        <f> Ending Balance =</f>
        <v/>
      </c>
    </row>
    <row r="75" ht="15" customHeight="1">
      <c r="A75" s="9" t="n"/>
      <c r="B75" s="9" t="n"/>
      <c r="C75" s="9" t="n"/>
      <c r="D75" s="9" t="n"/>
      <c r="E75" s="9" t="n"/>
      <c r="F75" s="9" t="n"/>
      <c r="G75" s="9" t="n"/>
      <c r="H75" s="18" t="n"/>
      <c r="I75" s="18" t="n"/>
      <c r="J75" s="18" t="n"/>
      <c r="K75" s="9" t="n"/>
    </row>
    <row r="76" ht="15" customHeight="1">
      <c r="A76" s="16" t="inlineStr">
        <is>
          <t>1350-0001</t>
        </is>
      </c>
      <c r="B76" s="14" t="n"/>
      <c r="C76" s="14" t="n"/>
      <c r="D76" s="14" t="n"/>
      <c r="E76" s="16" t="inlineStr">
        <is>
          <t>Pre-Paid Insurance</t>
        </is>
      </c>
      <c r="F76" s="14" t="n"/>
      <c r="G76" s="14" t="n"/>
      <c r="H76" s="19" t="n"/>
      <c r="I76" s="19" t="n"/>
      <c r="J76" s="20" t="n">
        <v>-697.8</v>
      </c>
      <c r="K76" s="16">
        <f> Beginning Balance =</f>
        <v/>
      </c>
    </row>
    <row r="77" ht="15" customHeight="1">
      <c r="A77" s="9" t="inlineStr">
        <is>
          <t>sms-crys</t>
        </is>
      </c>
      <c r="B77" s="9" t="inlineStr">
        <is>
          <t>Storsafe Management Solutions - Crystal Lake</t>
        </is>
      </c>
      <c r="C77" s="10" t="n">
        <v>45979</v>
      </c>
      <c r="D77" s="11" t="n">
        <v>45962</v>
      </c>
      <c r="E77" s="9" t="inlineStr">
        <is>
          <t>The Cincinnati Insurance Company (cincin)</t>
        </is>
      </c>
      <c r="F77" s="9" t="inlineStr">
        <is>
          <t>J-76704</t>
        </is>
      </c>
      <c r="G77" s="9" t="n"/>
      <c r="H77" s="12" t="n">
        <v>2215</v>
      </c>
      <c r="I77" s="12" t="n">
        <v>0</v>
      </c>
      <c r="J77" s="12" t="n">
        <v>1517.2</v>
      </c>
      <c r="K77" s="13" t="inlineStr">
        <is>
          <t>Insurance Expense</t>
        </is>
      </c>
    </row>
    <row r="78" ht="15" customHeight="1">
      <c r="A78" s="9" t="inlineStr">
        <is>
          <t>sms-crys</t>
        </is>
      </c>
      <c r="B78" s="9" t="inlineStr">
        <is>
          <t>Storsafe Management Solutions - Crystal Lake</t>
        </is>
      </c>
      <c r="C78" s="10" t="n">
        <v>45991</v>
      </c>
      <c r="D78" s="11" t="n">
        <v>45962</v>
      </c>
      <c r="E78" s="9" t="inlineStr">
        <is>
          <t>:PostRecurring Monthly Insurance expense</t>
        </is>
      </c>
      <c r="F78" s="9" t="inlineStr">
        <is>
          <t>J-76608</t>
        </is>
      </c>
      <c r="G78" s="9" t="inlineStr">
        <is>
          <t>insuranceSMSCLK</t>
        </is>
      </c>
      <c r="H78" s="12" t="n">
        <v>0</v>
      </c>
      <c r="I78" s="12" t="n">
        <v>741.08</v>
      </c>
      <c r="J78" s="12" t="n">
        <v>776.12</v>
      </c>
      <c r="K78" s="13" t="inlineStr">
        <is>
          <t>Monthly Insurance expense</t>
        </is>
      </c>
    </row>
    <row r="79" ht="15" customHeight="1">
      <c r="A79" s="14" t="n"/>
      <c r="B79" s="14" t="n"/>
      <c r="C79" s="15" t="n"/>
      <c r="D79" s="15" t="n"/>
      <c r="E79" s="16" t="inlineStr">
        <is>
          <t xml:space="preserve">  Net Change=1,473.92</t>
        </is>
      </c>
      <c r="F79" s="14" t="n"/>
      <c r="G79" s="14" t="n"/>
      <c r="H79" s="17" t="inlineStr">
        <is>
          <t>2,215.00</t>
        </is>
      </c>
      <c r="I79" s="17" t="inlineStr">
        <is>
          <t>741.08</t>
        </is>
      </c>
      <c r="J79" s="17" t="inlineStr">
        <is>
          <t xml:space="preserve">  776.12</t>
        </is>
      </c>
      <c r="K79" s="16">
        <f> Ending Balance =</f>
        <v/>
      </c>
    </row>
    <row r="80" ht="15" customHeight="1">
      <c r="A80" s="9" t="n"/>
      <c r="B80" s="9" t="n"/>
      <c r="C80" s="9" t="n"/>
      <c r="D80" s="9" t="n"/>
      <c r="E80" s="9" t="n"/>
      <c r="F80" s="9" t="n"/>
      <c r="G80" s="9" t="n"/>
      <c r="H80" s="18" t="n"/>
      <c r="I80" s="18" t="n"/>
      <c r="J80" s="18" t="n"/>
      <c r="K80" s="9" t="n"/>
    </row>
    <row r="81" ht="15" customHeight="1">
      <c r="A81" s="16" t="inlineStr">
        <is>
          <t>1401-1000</t>
        </is>
      </c>
      <c r="B81" s="14" t="n"/>
      <c r="C81" s="14" t="n"/>
      <c r="D81" s="14" t="n"/>
      <c r="E81" s="16" t="inlineStr">
        <is>
          <t>Auction Funds</t>
        </is>
      </c>
      <c r="F81" s="14" t="n"/>
      <c r="G81" s="14" t="n"/>
      <c r="H81" s="19" t="n"/>
      <c r="I81" s="19" t="n"/>
      <c r="J81" s="20" t="n">
        <v>-150</v>
      </c>
      <c r="K81" s="16">
        <f> Beginning Balance =</f>
        <v/>
      </c>
    </row>
    <row r="82" ht="15" customHeight="1">
      <c r="A82" s="14" t="n"/>
      <c r="B82" s="14" t="n"/>
      <c r="C82" s="15" t="n"/>
      <c r="D82" s="15" t="n"/>
      <c r="E82" s="16" t="inlineStr">
        <is>
          <t xml:space="preserve">  Net Change=0.00</t>
        </is>
      </c>
      <c r="F82" s="14" t="n"/>
      <c r="G82" s="14" t="n"/>
      <c r="H82" s="17" t="inlineStr">
        <is>
          <t>0.00</t>
        </is>
      </c>
      <c r="I82" s="17" t="inlineStr">
        <is>
          <t>0.00</t>
        </is>
      </c>
      <c r="J82" s="17" t="inlineStr">
        <is>
          <t xml:space="preserve">  -150.00</t>
        </is>
      </c>
      <c r="K82" s="16">
        <f> Ending Balance =</f>
        <v/>
      </c>
    </row>
    <row r="83" ht="15" customHeight="1">
      <c r="A83" s="9" t="n"/>
      <c r="B83" s="9" t="n"/>
      <c r="C83" s="9" t="n"/>
      <c r="D83" s="9" t="n"/>
      <c r="E83" s="9" t="n"/>
      <c r="F83" s="9" t="n"/>
      <c r="G83" s="9" t="n"/>
      <c r="H83" s="18" t="n"/>
      <c r="I83" s="18" t="n"/>
      <c r="J83" s="18" t="n"/>
      <c r="K83" s="9" t="n"/>
    </row>
    <row r="84" ht="15" customHeight="1">
      <c r="A84" s="16" t="inlineStr">
        <is>
          <t>1600-0013</t>
        </is>
      </c>
      <c r="B84" s="14" t="n"/>
      <c r="C84" s="14" t="n"/>
      <c r="D84" s="14" t="n"/>
      <c r="E84" s="16" t="inlineStr">
        <is>
          <t>HVAC</t>
        </is>
      </c>
      <c r="F84" s="14" t="n"/>
      <c r="G84" s="14" t="n"/>
      <c r="H84" s="19" t="n"/>
      <c r="I84" s="19" t="n"/>
      <c r="J84" s="20" t="n">
        <v>8715</v>
      </c>
      <c r="K84" s="16">
        <f> Beginning Balance =</f>
        <v/>
      </c>
    </row>
    <row r="85" ht="15" customHeight="1">
      <c r="A85" s="14" t="n"/>
      <c r="B85" s="14" t="n"/>
      <c r="C85" s="15" t="n"/>
      <c r="D85" s="15" t="n"/>
      <c r="E85" s="16" t="inlineStr">
        <is>
          <t xml:space="preserve">  Net Change=0.00</t>
        </is>
      </c>
      <c r="F85" s="14" t="n"/>
      <c r="G85" s="14" t="n"/>
      <c r="H85" s="17" t="inlineStr">
        <is>
          <t>0.00</t>
        </is>
      </c>
      <c r="I85" s="17" t="inlineStr">
        <is>
          <t>0.00</t>
        </is>
      </c>
      <c r="J85" s="17" t="inlineStr">
        <is>
          <t xml:space="preserve">  8,715.00</t>
        </is>
      </c>
      <c r="K85" s="16">
        <f> Ending Balance =</f>
        <v/>
      </c>
    </row>
    <row r="86" ht="15" customHeight="1">
      <c r="A86" s="9" t="n"/>
      <c r="B86" s="9" t="n"/>
      <c r="C86" s="9" t="n"/>
      <c r="D86" s="9" t="n"/>
      <c r="E86" s="9" t="n"/>
      <c r="F86" s="9" t="n"/>
      <c r="G86" s="9" t="n"/>
      <c r="H86" s="18" t="n"/>
      <c r="I86" s="18" t="n"/>
      <c r="J86" s="18" t="n"/>
      <c r="K86" s="9" t="n"/>
    </row>
    <row r="87" ht="15" customHeight="1">
      <c r="A87" s="16" t="inlineStr">
        <is>
          <t>1910-0001</t>
        </is>
      </c>
      <c r="B87" s="14" t="n"/>
      <c r="C87" s="14" t="n"/>
      <c r="D87" s="14" t="n"/>
      <c r="E87" s="16" t="inlineStr">
        <is>
          <t>Disputed Bank Transaction</t>
        </is>
      </c>
      <c r="F87" s="14" t="n"/>
      <c r="G87" s="14" t="n"/>
      <c r="H87" s="19" t="n"/>
      <c r="I87" s="19" t="n"/>
      <c r="J87" s="20" t="n">
        <v>1516</v>
      </c>
      <c r="K87" s="16">
        <f> Beginning Balance =</f>
        <v/>
      </c>
    </row>
    <row r="88" ht="15" customHeight="1">
      <c r="A88" s="14" t="n"/>
      <c r="B88" s="14" t="n"/>
      <c r="C88" s="15" t="n"/>
      <c r="D88" s="15" t="n"/>
      <c r="E88" s="16" t="inlineStr">
        <is>
          <t xml:space="preserve">  Net Change=0.00</t>
        </is>
      </c>
      <c r="F88" s="14" t="n"/>
      <c r="G88" s="14" t="n"/>
      <c r="H88" s="17" t="inlineStr">
        <is>
          <t>0.00</t>
        </is>
      </c>
      <c r="I88" s="17" t="inlineStr">
        <is>
          <t>0.00</t>
        </is>
      </c>
      <c r="J88" s="17" t="inlineStr">
        <is>
          <t xml:space="preserve">  1,516.00</t>
        </is>
      </c>
      <c r="K88" s="16">
        <f> Ending Balance =</f>
        <v/>
      </c>
    </row>
    <row r="89" ht="15" customHeight="1">
      <c r="A89" s="9" t="n"/>
      <c r="B89" s="9" t="n"/>
      <c r="C89" s="9" t="n"/>
      <c r="D89" s="9" t="n"/>
      <c r="E89" s="9" t="n"/>
      <c r="F89" s="9" t="n"/>
      <c r="G89" s="9" t="n"/>
      <c r="H89" s="18" t="n"/>
      <c r="I89" s="18" t="n"/>
      <c r="J89" s="18" t="n"/>
      <c r="K89" s="9" t="n"/>
    </row>
    <row r="90" ht="15" customHeight="1">
      <c r="A90" s="16" t="inlineStr">
        <is>
          <t>2110-0000</t>
        </is>
      </c>
      <c r="B90" s="14" t="n"/>
      <c r="C90" s="14" t="n"/>
      <c r="D90" s="14" t="n"/>
      <c r="E90" s="16" t="inlineStr">
        <is>
          <t>Note 1 Principal</t>
        </is>
      </c>
      <c r="F90" s="14" t="n"/>
      <c r="G90" s="14" t="n"/>
      <c r="H90" s="19" t="n"/>
      <c r="I90" s="19" t="n"/>
      <c r="J90" s="20" t="n">
        <v>63419.39</v>
      </c>
      <c r="K90" s="16">
        <f> Beginning Balance =</f>
        <v/>
      </c>
    </row>
    <row r="91" ht="15" customHeight="1">
      <c r="A91" s="9" t="inlineStr">
        <is>
          <t>sms-crys</t>
        </is>
      </c>
      <c r="B91" s="9" t="inlineStr">
        <is>
          <t>Storsafe Management Solutions - Crystal Lake</t>
        </is>
      </c>
      <c r="C91" s="10" t="n">
        <v>45981</v>
      </c>
      <c r="D91" s="11" t="n">
        <v>45962</v>
      </c>
      <c r="E91" s="9" t="inlineStr">
        <is>
          <t>11/2025 Loan Payment</t>
        </is>
      </c>
      <c r="F91" s="9" t="inlineStr">
        <is>
          <t>J-76710</t>
        </is>
      </c>
      <c r="G91" s="9" t="n"/>
      <c r="H91" s="12" t="n">
        <v>1775.71</v>
      </c>
      <c r="I91" s="12" t="n">
        <v>0</v>
      </c>
      <c r="J91" s="12" t="n">
        <v>65195.1</v>
      </c>
      <c r="K91" s="13" t="inlineStr">
        <is>
          <t>11/2025 Loan Payment</t>
        </is>
      </c>
    </row>
    <row r="92" ht="15" customHeight="1">
      <c r="A92" s="14" t="n"/>
      <c r="B92" s="14" t="n"/>
      <c r="C92" s="15" t="n"/>
      <c r="D92" s="15" t="n"/>
      <c r="E92" s="16" t="inlineStr">
        <is>
          <t xml:space="preserve">  Net Change=1,775.71</t>
        </is>
      </c>
      <c r="F92" s="14" t="n"/>
      <c r="G92" s="14" t="n"/>
      <c r="H92" s="17" t="inlineStr">
        <is>
          <t>1,775.71</t>
        </is>
      </c>
      <c r="I92" s="17" t="inlineStr">
        <is>
          <t>0.00</t>
        </is>
      </c>
      <c r="J92" s="17" t="inlineStr">
        <is>
          <t xml:space="preserve">  65,195.10</t>
        </is>
      </c>
      <c r="K92" s="16">
        <f> Ending Balance =</f>
        <v/>
      </c>
    </row>
    <row r="93" ht="15" customHeight="1">
      <c r="A93" s="9" t="n"/>
      <c r="B93" s="9" t="n"/>
      <c r="C93" s="9" t="n"/>
      <c r="D93" s="9" t="n"/>
      <c r="E93" s="9" t="n"/>
      <c r="F93" s="9" t="n"/>
      <c r="G93" s="9" t="n"/>
      <c r="H93" s="18" t="n"/>
      <c r="I93" s="18" t="n"/>
      <c r="J93" s="18" t="n"/>
      <c r="K93" s="9" t="n"/>
    </row>
    <row r="94" ht="15" customHeight="1">
      <c r="A94" s="16" t="inlineStr">
        <is>
          <t>2150-0020</t>
        </is>
      </c>
      <c r="B94" s="14" t="n"/>
      <c r="C94" s="14" t="n"/>
      <c r="D94" s="14" t="n"/>
      <c r="E94" s="16" t="inlineStr">
        <is>
          <t>Due To/(From) Other Property</t>
        </is>
      </c>
      <c r="F94" s="14" t="n"/>
      <c r="G94" s="14" t="n"/>
      <c r="H94" s="19" t="n"/>
      <c r="I94" s="19" t="n"/>
      <c r="J94" s="20" t="n">
        <v>331.48</v>
      </c>
      <c r="K94" s="16">
        <f> Beginning Balance =</f>
        <v/>
      </c>
    </row>
    <row r="95" ht="15" customHeight="1">
      <c r="A95" s="14" t="n"/>
      <c r="B95" s="14" t="n"/>
      <c r="C95" s="15" t="n"/>
      <c r="D95" s="15" t="n"/>
      <c r="E95" s="16" t="inlineStr">
        <is>
          <t xml:space="preserve">  Net Change=0.00</t>
        </is>
      </c>
      <c r="F95" s="14" t="n"/>
      <c r="G95" s="14" t="n"/>
      <c r="H95" s="17" t="inlineStr">
        <is>
          <t>0.00</t>
        </is>
      </c>
      <c r="I95" s="17" t="inlineStr">
        <is>
          <t>0.00</t>
        </is>
      </c>
      <c r="J95" s="17" t="inlineStr">
        <is>
          <t xml:space="preserve">  331.48</t>
        </is>
      </c>
      <c r="K95" s="16">
        <f> Ending Balance =</f>
        <v/>
      </c>
    </row>
    <row r="96" ht="15" customHeight="1">
      <c r="A96" s="9" t="n"/>
      <c r="B96" s="9" t="n"/>
      <c r="C96" s="9" t="n"/>
      <c r="D96" s="9" t="n"/>
      <c r="E96" s="9" t="n"/>
      <c r="F96" s="9" t="n"/>
      <c r="G96" s="9" t="n"/>
      <c r="H96" s="18" t="n"/>
      <c r="I96" s="18" t="n"/>
      <c r="J96" s="18" t="n"/>
      <c r="K96" s="9" t="n"/>
    </row>
    <row r="97" ht="15" customHeight="1">
      <c r="A97" s="16" t="inlineStr">
        <is>
          <t>2200-0000</t>
        </is>
      </c>
      <c r="B97" s="14" t="n"/>
      <c r="C97" s="14" t="n"/>
      <c r="D97" s="14" t="n"/>
      <c r="E97" s="16" t="inlineStr">
        <is>
          <t>Accounts Payable</t>
        </is>
      </c>
      <c r="F97" s="14" t="n"/>
      <c r="G97" s="14" t="n"/>
      <c r="H97" s="19" t="n"/>
      <c r="I97" s="19" t="n"/>
      <c r="J97" s="20" t="n">
        <v>-13904.13</v>
      </c>
      <c r="K97" s="16">
        <f> Beginning Balance =</f>
        <v/>
      </c>
    </row>
    <row r="98" ht="15" customHeight="1">
      <c r="A98" s="9" t="inlineStr">
        <is>
          <t>sms-crys</t>
        </is>
      </c>
      <c r="B98" s="9" t="inlineStr">
        <is>
          <t>Storsafe Management Solutions - Crystal Lake</t>
        </is>
      </c>
      <c r="C98" s="10" t="n">
        <v>45901</v>
      </c>
      <c r="D98" s="11" t="n">
        <v>45962</v>
      </c>
      <c r="E98" s="9" t="inlineStr">
        <is>
          <t>AI Lean Inc. (ailean)</t>
        </is>
      </c>
      <c r="F98" s="9" t="inlineStr">
        <is>
          <t>P-96576</t>
        </is>
      </c>
      <c r="G98" s="9" t="inlineStr">
        <is>
          <t>7173 SMSCrystal Lake 112025</t>
        </is>
      </c>
      <c r="H98" s="12" t="n">
        <v>0</v>
      </c>
      <c r="I98" s="12" t="n">
        <v>272.12</v>
      </c>
      <c r="J98" s="12" t="n">
        <v>-14176.25</v>
      </c>
      <c r="K98" s="13" t="inlineStr">
        <is>
          <t>11/2025 Saas Fees</t>
        </is>
      </c>
    </row>
    <row r="99" ht="15" customHeight="1">
      <c r="A99" s="9" t="inlineStr">
        <is>
          <t>sms-crys</t>
        </is>
      </c>
      <c r="B99" s="9" t="inlineStr">
        <is>
          <t>Storsafe Management Solutions - Crystal Lake</t>
        </is>
      </c>
      <c r="C99" s="10" t="n">
        <v>45952</v>
      </c>
      <c r="D99" s="11" t="n">
        <v>45962</v>
      </c>
      <c r="E99" s="9" t="inlineStr">
        <is>
          <t>ComEd (comed)</t>
        </is>
      </c>
      <c r="F99" s="9" t="inlineStr">
        <is>
          <t>P-97286</t>
        </is>
      </c>
      <c r="G99" s="9" t="inlineStr">
        <is>
          <t>453405427</t>
        </is>
      </c>
      <c r="H99" s="12" t="n">
        <v>0</v>
      </c>
      <c r="I99" s="12" t="n">
        <v>9.210000000000001</v>
      </c>
      <c r="J99" s="12" t="n">
        <v>-14185.46</v>
      </c>
      <c r="K99" s="13" t="inlineStr">
        <is>
          <t>09/20/25-10/21/25 - 6905 COG CIR,CRYSTAL LAKE,IL,60014 - 7291453000</t>
        </is>
      </c>
    </row>
    <row r="100" ht="15" customHeight="1">
      <c r="A100" s="9" t="inlineStr">
        <is>
          <t>sms-crys</t>
        </is>
      </c>
      <c r="B100" s="9" t="inlineStr">
        <is>
          <t>Storsafe Management Solutions - Crystal Lake</t>
        </is>
      </c>
      <c r="C100" s="10" t="n">
        <v>45961</v>
      </c>
      <c r="D100" s="11" t="n">
        <v>45962</v>
      </c>
      <c r="E100" s="9" t="inlineStr">
        <is>
          <t>Prorize LLC (prorize)</t>
        </is>
      </c>
      <c r="F100" s="9" t="inlineStr">
        <is>
          <t>P-97649</t>
        </is>
      </c>
      <c r="G100" s="9" t="inlineStr">
        <is>
          <t>5016 SMSCrystal Lake</t>
        </is>
      </c>
      <c r="H100" s="12" t="n">
        <v>0</v>
      </c>
      <c r="I100" s="12" t="n">
        <v>17.38</v>
      </c>
      <c r="J100" s="12" t="n">
        <v>-14202.84</v>
      </c>
      <c r="K100" s="13" t="inlineStr">
        <is>
          <t>Storable API Fee</t>
        </is>
      </c>
    </row>
    <row r="101" ht="15" customHeight="1">
      <c r="A101" s="9" t="inlineStr">
        <is>
          <t>sms-crys</t>
        </is>
      </c>
      <c r="B101" s="9" t="inlineStr">
        <is>
          <t>Storsafe Management Solutions - Crystal Lake</t>
        </is>
      </c>
      <c r="C101" s="10" t="n">
        <v>45961</v>
      </c>
      <c r="D101" s="11" t="n">
        <v>45962</v>
      </c>
      <c r="E101" s="9" t="inlineStr">
        <is>
          <t>Prorize LLC (prorize)</t>
        </is>
      </c>
      <c r="F101" s="9" t="inlineStr">
        <is>
          <t>P-97649</t>
        </is>
      </c>
      <c r="G101" s="9" t="inlineStr">
        <is>
          <t>5016 SMSCrystal Lake</t>
        </is>
      </c>
      <c r="H101" s="12" t="n">
        <v>0</v>
      </c>
      <c r="I101" s="12" t="n">
        <v>135.93</v>
      </c>
      <c r="J101" s="12" t="n">
        <v>-14338.77</v>
      </c>
      <c r="K101" s="13" t="inlineStr">
        <is>
          <t>SSRO Subscription Fee</t>
        </is>
      </c>
    </row>
    <row r="102" ht="15" customHeight="1">
      <c r="A102" s="9" t="inlineStr">
        <is>
          <t>sms-crys</t>
        </is>
      </c>
      <c r="B102" s="9" t="inlineStr">
        <is>
          <t>Storsafe Management Solutions - Crystal Lake</t>
        </is>
      </c>
      <c r="C102" s="10" t="n">
        <v>45961</v>
      </c>
      <c r="D102" s="11" t="n">
        <v>45962</v>
      </c>
      <c r="E102" s="9" t="inlineStr">
        <is>
          <t>Prorize LLC (prorize)</t>
        </is>
      </c>
      <c r="F102" s="9" t="inlineStr">
        <is>
          <t>P-97649</t>
        </is>
      </c>
      <c r="G102" s="9" t="inlineStr">
        <is>
          <t>5016 SMSCrystal Lake</t>
        </is>
      </c>
      <c r="H102" s="12" t="n">
        <v>0</v>
      </c>
      <c r="I102" s="12" t="n">
        <v>9.859999999999999</v>
      </c>
      <c r="J102" s="12" t="n">
        <v>-14348.63</v>
      </c>
      <c r="K102" s="13" t="inlineStr">
        <is>
          <t>StorTrack Competitive Date Fee</t>
        </is>
      </c>
    </row>
    <row r="103" ht="15" customHeight="1">
      <c r="A103" s="9" t="inlineStr">
        <is>
          <t>sms-crys</t>
        </is>
      </c>
      <c r="B103" s="9" t="inlineStr">
        <is>
          <t>Storsafe Management Solutions - Crystal Lake</t>
        </is>
      </c>
      <c r="C103" s="10" t="n">
        <v>45962</v>
      </c>
      <c r="D103" s="11" t="n">
        <v>45962</v>
      </c>
      <c r="E103" s="9" t="inlineStr">
        <is>
          <t>MDC Environmental Services Inc (mdcmgt)</t>
        </is>
      </c>
      <c r="F103" s="9" t="inlineStr">
        <is>
          <t>P-97181</t>
        </is>
      </c>
      <c r="G103" s="9" t="inlineStr">
        <is>
          <t>453543644</t>
        </is>
      </c>
      <c r="H103" s="12" t="n">
        <v>0</v>
      </c>
      <c r="I103" s="12" t="n">
        <v>277.48</v>
      </c>
      <c r="J103" s="12" t="n">
        <v>-14626.11</v>
      </c>
      <c r="K103" s="13" t="inlineStr">
        <is>
          <t>11/01/25-11/30/25 - 920 COG CIR,SKOKIE,IL,60077 - 3084516550</t>
        </is>
      </c>
    </row>
    <row r="104" ht="15" customHeight="1">
      <c r="A104" s="9" t="inlineStr">
        <is>
          <t>sms-crys</t>
        </is>
      </c>
      <c r="B104" s="9" t="inlineStr">
        <is>
          <t>Storsafe Management Solutions - Crystal Lake</t>
        </is>
      </c>
      <c r="C104" s="10" t="n">
        <v>45962</v>
      </c>
      <c r="D104" s="11" t="n">
        <v>45962</v>
      </c>
      <c r="E104" s="9" t="inlineStr">
        <is>
          <t>OpenTech Alliance, Inc. (opentechalli)</t>
        </is>
      </c>
      <c r="F104" s="9" t="inlineStr">
        <is>
          <t>P-97379</t>
        </is>
      </c>
      <c r="G104" s="9" t="inlineStr">
        <is>
          <t>NV344733</t>
        </is>
      </c>
      <c r="H104" s="12" t="n">
        <v>0</v>
      </c>
      <c r="I104" s="12" t="n">
        <v>124.78</v>
      </c>
      <c r="J104" s="12" t="n">
        <v>-14750.89</v>
      </c>
      <c r="K104" s="13" t="inlineStr">
        <is>
          <t>CIA Lifetime Services 11/1/2025 - 11/30/2025</t>
        </is>
      </c>
    </row>
    <row r="105" ht="15" customHeight="1">
      <c r="A105" s="9" t="inlineStr">
        <is>
          <t>sms-crys</t>
        </is>
      </c>
      <c r="B105" s="9" t="inlineStr">
        <is>
          <t>Storsafe Management Solutions - Crystal Lake</t>
        </is>
      </c>
      <c r="C105" s="10" t="n">
        <v>45962</v>
      </c>
      <c r="D105" s="11" t="n">
        <v>45962</v>
      </c>
      <c r="E105" s="9" t="inlineStr">
        <is>
          <t>Venn US, Inc. (venn)</t>
        </is>
      </c>
      <c r="F105" s="9" t="inlineStr">
        <is>
          <t>P-97504</t>
        </is>
      </c>
      <c r="G105" s="9" t="inlineStr">
        <is>
          <t>INV00087775 SMS Crystal Lake</t>
        </is>
      </c>
      <c r="H105" s="12" t="n">
        <v>0</v>
      </c>
      <c r="I105" s="12" t="n">
        <v>44.64</v>
      </c>
      <c r="J105" s="12" t="n">
        <v>-14795.53</v>
      </c>
      <c r="K105" s="13" t="inlineStr">
        <is>
          <t>11/2025 Software for the Comm Center VAs</t>
        </is>
      </c>
    </row>
    <row r="106" ht="15" customHeight="1">
      <c r="A106" s="9" t="inlineStr">
        <is>
          <t>sms-crys</t>
        </is>
      </c>
      <c r="B106" s="9" t="inlineStr">
        <is>
          <t>Storsafe Management Solutions - Crystal Lake</t>
        </is>
      </c>
      <c r="C106" s="10" t="n">
        <v>45962</v>
      </c>
      <c r="D106" s="11" t="n">
        <v>45962</v>
      </c>
      <c r="E106" s="9" t="inlineStr">
        <is>
          <t>AI Lean Inc. (ailean)</t>
        </is>
      </c>
      <c r="F106" s="9" t="inlineStr">
        <is>
          <t>P-98209</t>
        </is>
      </c>
      <c r="G106" s="9" t="inlineStr">
        <is>
          <t>7521 SMSCrystal Lake</t>
        </is>
      </c>
      <c r="H106" s="12" t="n">
        <v>0</v>
      </c>
      <c r="I106" s="12" t="n">
        <v>10</v>
      </c>
      <c r="J106" s="12" t="n">
        <v>-14805.53</v>
      </c>
      <c r="K106" s="13" t="inlineStr">
        <is>
          <t>November TMS Charges</t>
        </is>
      </c>
    </row>
    <row r="107" ht="15" customHeight="1">
      <c r="A107" s="9" t="inlineStr">
        <is>
          <t>sms-crys</t>
        </is>
      </c>
      <c r="B107" s="9" t="inlineStr">
        <is>
          <t>Storsafe Management Solutions - Crystal Lake</t>
        </is>
      </c>
      <c r="C107" s="10" t="n">
        <v>45962</v>
      </c>
      <c r="D107" s="11" t="n">
        <v>45962</v>
      </c>
      <c r="E107" s="9" t="inlineStr">
        <is>
          <t>StoreEase, Inc. (storeease)</t>
        </is>
      </c>
      <c r="F107" s="9" t="inlineStr">
        <is>
          <t>P-98351</t>
        </is>
      </c>
      <c r="G107" s="9" t="inlineStr">
        <is>
          <t>INV6138</t>
        </is>
      </c>
      <c r="H107" s="12" t="n">
        <v>0</v>
      </c>
      <c r="I107" s="12" t="n">
        <v>250</v>
      </c>
      <c r="J107" s="12" t="n">
        <v>-15055.53</v>
      </c>
      <c r="K107" s="13" t="inlineStr">
        <is>
          <t>November Call Center Fee</t>
        </is>
      </c>
    </row>
    <row r="108" ht="15" customHeight="1">
      <c r="A108" s="9" t="inlineStr">
        <is>
          <t>sms-crys</t>
        </is>
      </c>
      <c r="B108" s="9" t="inlineStr">
        <is>
          <t>Storsafe Management Solutions - Crystal Lake</t>
        </is>
      </c>
      <c r="C108" s="10" t="n">
        <v>45964</v>
      </c>
      <c r="D108" s="11" t="n">
        <v>45962</v>
      </c>
      <c r="E108" s="9" t="inlineStr">
        <is>
          <t>AI Lean Inc. (ailean)</t>
        </is>
      </c>
      <c r="F108" s="9" t="inlineStr">
        <is>
          <t>K-74382</t>
        </is>
      </c>
      <c r="G108" s="9" t="inlineStr">
        <is>
          <t>1252</t>
        </is>
      </c>
      <c r="H108" s="12" t="n">
        <v>272.12</v>
      </c>
      <c r="I108" s="12" t="n">
        <v>0</v>
      </c>
      <c r="J108" s="12" t="n">
        <v>-14783.41</v>
      </c>
      <c r="K108" s="13" t="inlineStr">
        <is>
          <t>09/2025 Sept Saas Fees</t>
        </is>
      </c>
    </row>
    <row r="109" ht="15" customHeight="1">
      <c r="A109" s="9" t="inlineStr">
        <is>
          <t>sms-crys</t>
        </is>
      </c>
      <c r="B109" s="9" t="inlineStr">
        <is>
          <t>Storsafe Management Solutions - Crystal Lake</t>
        </is>
      </c>
      <c r="C109" s="10" t="n">
        <v>45964</v>
      </c>
      <c r="D109" s="11" t="n">
        <v>45962</v>
      </c>
      <c r="E109" s="9" t="inlineStr">
        <is>
          <t>AI Lean Inc. (ailean)</t>
        </is>
      </c>
      <c r="F109" s="9" t="inlineStr">
        <is>
          <t>K-74382</t>
        </is>
      </c>
      <c r="G109" s="9" t="inlineStr">
        <is>
          <t>1252</t>
        </is>
      </c>
      <c r="H109" s="12" t="n">
        <v>10</v>
      </c>
      <c r="I109" s="12" t="n">
        <v>0</v>
      </c>
      <c r="J109" s="12" t="n">
        <v>-14773.41</v>
      </c>
      <c r="K109" s="13" t="inlineStr">
        <is>
          <t>09/2025 TMS Charges</t>
        </is>
      </c>
    </row>
    <row r="110" ht="15" customHeight="1">
      <c r="A110" s="9" t="inlineStr">
        <is>
          <t>sms-crys</t>
        </is>
      </c>
      <c r="B110" s="9" t="inlineStr">
        <is>
          <t>Storsafe Management Solutions - Crystal Lake</t>
        </is>
      </c>
      <c r="C110" s="10" t="n">
        <v>45964</v>
      </c>
      <c r="D110" s="11" t="n">
        <v>45962</v>
      </c>
      <c r="E110" s="9" t="inlineStr">
        <is>
          <t>BirdEye Inc (birdeyeinc)</t>
        </is>
      </c>
      <c r="F110" s="9" t="inlineStr">
        <is>
          <t>K-74383</t>
        </is>
      </c>
      <c r="G110" s="9" t="inlineStr">
        <is>
          <t>1253</t>
        </is>
      </c>
      <c r="H110" s="12" t="n">
        <v>185.61</v>
      </c>
      <c r="I110" s="12" t="n">
        <v>0</v>
      </c>
      <c r="J110" s="12" t="n">
        <v>-14587.8</v>
      </c>
      <c r="K110" s="13" t="inlineStr">
        <is>
          <t>09/08-10/08/2025 Standard Monthly plus Carrier Texting Fee - Standard</t>
        </is>
      </c>
    </row>
    <row r="111" ht="15" customHeight="1">
      <c r="A111" s="9" t="inlineStr">
        <is>
          <t>sms-crys</t>
        </is>
      </c>
      <c r="B111" s="9" t="inlineStr">
        <is>
          <t>Storsafe Management Solutions - Crystal Lake</t>
        </is>
      </c>
      <c r="C111" s="10" t="n">
        <v>45964</v>
      </c>
      <c r="D111" s="11" t="n">
        <v>45962</v>
      </c>
      <c r="E111" s="9" t="inlineStr">
        <is>
          <t>Dumpsters.com (dumspters)</t>
        </is>
      </c>
      <c r="F111" s="9" t="inlineStr">
        <is>
          <t>K-74384</t>
        </is>
      </c>
      <c r="G111" s="9" t="inlineStr">
        <is>
          <t>1254</t>
        </is>
      </c>
      <c r="H111" s="12" t="n">
        <v>575</v>
      </c>
      <c r="I111" s="12" t="n">
        <v>0</v>
      </c>
      <c r="J111" s="12" t="n">
        <v>-14012.8</v>
      </c>
      <c r="K111" s="13" t="inlineStr">
        <is>
          <t>10/13-19/2025 Waste removal service - 30 yard dumpster Mixed Debris -3 ton weight limit</t>
        </is>
      </c>
    </row>
    <row r="112" ht="15" customHeight="1">
      <c r="A112" s="9" t="inlineStr">
        <is>
          <t>sms-crys</t>
        </is>
      </c>
      <c r="B112" s="9" t="inlineStr">
        <is>
          <t>Storsafe Management Solutions - Crystal Lake</t>
        </is>
      </c>
      <c r="C112" s="10" t="n">
        <v>45964</v>
      </c>
      <c r="D112" s="11" t="n">
        <v>45962</v>
      </c>
      <c r="E112" s="9" t="inlineStr">
        <is>
          <t>Jack's Service Inc. (jackservice)</t>
        </is>
      </c>
      <c r="F112" s="9" t="inlineStr">
        <is>
          <t>K-74385</t>
        </is>
      </c>
      <c r="G112" s="9" t="inlineStr">
        <is>
          <t>1255</t>
        </is>
      </c>
      <c r="H112" s="12" t="n">
        <v>984</v>
      </c>
      <c r="I112" s="12" t="n">
        <v>0</v>
      </c>
      <c r="J112" s="12" t="n">
        <v>-13028.8</v>
      </c>
      <c r="K112" s="13" t="inlineStr">
        <is>
          <t>Billing service per management 102425 Storsafe 920 Cog Circle Crystal Lake, IL installed 220 amp outlet and 50 amp breaker in panel  in unit 6 main building back wall</t>
        </is>
      </c>
    </row>
    <row r="113" ht="15" customHeight="1">
      <c r="A113" s="9" t="inlineStr">
        <is>
          <t>sms-crys</t>
        </is>
      </c>
      <c r="B113" s="9" t="inlineStr">
        <is>
          <t>Storsafe Management Solutions - Crystal Lake</t>
        </is>
      </c>
      <c r="C113" s="10" t="n">
        <v>45964</v>
      </c>
      <c r="D113" s="11" t="n">
        <v>45962</v>
      </c>
      <c r="E113" s="9" t="inlineStr">
        <is>
          <t>Mid-America Asset Management, Inc. (midamerica)</t>
        </is>
      </c>
      <c r="F113" s="9" t="inlineStr">
        <is>
          <t>K-74386</t>
        </is>
      </c>
      <c r="G113" s="9" t="inlineStr">
        <is>
          <t>1256</t>
        </is>
      </c>
      <c r="H113" s="12" t="n">
        <v>250</v>
      </c>
      <c r="I113" s="12" t="n">
        <v>0</v>
      </c>
      <c r="J113" s="12" t="n">
        <v>-12778.8</v>
      </c>
      <c r="K113" s="13" t="inlineStr">
        <is>
          <t>09/2025 StorSafe/Elmdale Portfolio Maintenance Fee</t>
        </is>
      </c>
    </row>
    <row r="114" ht="15" customHeight="1">
      <c r="A114" s="9" t="inlineStr">
        <is>
          <t>sms-crys</t>
        </is>
      </c>
      <c r="B114" s="9" t="inlineStr">
        <is>
          <t>Storsafe Management Solutions - Crystal Lake</t>
        </is>
      </c>
      <c r="C114" s="10" t="n">
        <v>45965</v>
      </c>
      <c r="D114" s="11" t="n">
        <v>45962</v>
      </c>
      <c r="E114" s="9" t="inlineStr">
        <is>
          <t>MDC Environmental Services Inc (mdcmgt)</t>
        </is>
      </c>
      <c r="F114" s="9" t="inlineStr">
        <is>
          <t>K-74282</t>
        </is>
      </c>
      <c r="G114" s="9" t="inlineStr">
        <is>
          <t>20251104001</t>
        </is>
      </c>
      <c r="H114" s="12" t="n">
        <v>277.48</v>
      </c>
      <c r="I114" s="12" t="n">
        <v>0</v>
      </c>
      <c r="J114" s="12" t="n">
        <v>-12501.32</v>
      </c>
      <c r="K114" s="13" t="inlineStr">
        <is>
          <t>11/01/25-11/30/25 - 920 COG CIR,SKOKIE,IL,60077 - 3084516550</t>
        </is>
      </c>
    </row>
    <row r="115" ht="15" customHeight="1">
      <c r="A115" s="9" t="inlineStr">
        <is>
          <t>sms-crys</t>
        </is>
      </c>
      <c r="B115" s="9" t="inlineStr">
        <is>
          <t>Storsafe Management Solutions - Crystal Lake</t>
        </is>
      </c>
      <c r="C115" s="10" t="n">
        <v>45965</v>
      </c>
      <c r="D115" s="11" t="n">
        <v>45962</v>
      </c>
      <c r="E115" s="9" t="inlineStr">
        <is>
          <t>OpenTech Alliance, Inc. (opentechalli)</t>
        </is>
      </c>
      <c r="F115" s="9" t="inlineStr">
        <is>
          <t>K-74570</t>
        </is>
      </c>
      <c r="G115" s="9" t="inlineStr">
        <is>
          <t>1257</t>
        </is>
      </c>
      <c r="H115" s="12" t="n">
        <v>124.78</v>
      </c>
      <c r="I115" s="12" t="n">
        <v>0</v>
      </c>
      <c r="J115" s="12" t="n">
        <v>-12376.54</v>
      </c>
      <c r="K115" s="13" t="inlineStr">
        <is>
          <t>CIA Lifetime Services</t>
        </is>
      </c>
    </row>
    <row r="116" ht="15" customHeight="1">
      <c r="A116" s="9" t="inlineStr">
        <is>
          <t>sms-crys</t>
        </is>
      </c>
      <c r="B116" s="9" t="inlineStr">
        <is>
          <t>Storsafe Management Solutions - Crystal Lake</t>
        </is>
      </c>
      <c r="C116" s="10" t="n">
        <v>45965</v>
      </c>
      <c r="D116" s="11" t="n">
        <v>45962</v>
      </c>
      <c r="E116" s="9" t="inlineStr">
        <is>
          <t>ORKIN (orkin)</t>
        </is>
      </c>
      <c r="F116" s="9" t="inlineStr">
        <is>
          <t>K-74571</t>
        </is>
      </c>
      <c r="G116" s="9" t="inlineStr">
        <is>
          <t>1258</t>
        </is>
      </c>
      <c r="H116" s="12" t="n">
        <v>139</v>
      </c>
      <c r="I116" s="12" t="n">
        <v>0</v>
      </c>
      <c r="J116" s="12" t="n">
        <v>-12237.54</v>
      </c>
      <c r="K116" s="13" t="inlineStr">
        <is>
          <t>07/16/25 Pest Control 20502654</t>
        </is>
      </c>
    </row>
    <row r="117" ht="15" customHeight="1">
      <c r="A117" s="9" t="inlineStr">
        <is>
          <t>sms-crys</t>
        </is>
      </c>
      <c r="B117" s="9" t="inlineStr">
        <is>
          <t>Storsafe Management Solutions - Crystal Lake</t>
        </is>
      </c>
      <c r="C117" s="10" t="n">
        <v>45965</v>
      </c>
      <c r="D117" s="11" t="n">
        <v>45962</v>
      </c>
      <c r="E117" s="9" t="inlineStr">
        <is>
          <t>Rick Pristera (rickpri)</t>
        </is>
      </c>
      <c r="F117" s="9" t="inlineStr">
        <is>
          <t>K-74572</t>
        </is>
      </c>
      <c r="G117" s="9" t="inlineStr">
        <is>
          <t>1259</t>
        </is>
      </c>
      <c r="H117" s="12" t="n">
        <v>1200</v>
      </c>
      <c r="I117" s="12" t="n">
        <v>0</v>
      </c>
      <c r="J117" s="12" t="n">
        <v>-11037.54</v>
      </c>
      <c r="K117" s="13" t="inlineStr">
        <is>
          <t>Refund</t>
        </is>
      </c>
    </row>
    <row r="118" ht="15" customHeight="1">
      <c r="A118" s="9" t="inlineStr">
        <is>
          <t>sms-crys</t>
        </is>
      </c>
      <c r="B118" s="9" t="inlineStr">
        <is>
          <t>Storsafe Management Solutions - Crystal Lake</t>
        </is>
      </c>
      <c r="C118" s="10" t="n">
        <v>45965</v>
      </c>
      <c r="D118" s="11" t="n">
        <v>45962</v>
      </c>
      <c r="E118" s="9" t="inlineStr">
        <is>
          <t>SMS Resources, LLC (smsresources)</t>
        </is>
      </c>
      <c r="F118" s="9" t="inlineStr">
        <is>
          <t>K-74573</t>
        </is>
      </c>
      <c r="G118" s="9" t="inlineStr">
        <is>
          <t>1260</t>
        </is>
      </c>
      <c r="H118" s="12" t="n">
        <v>13.44</v>
      </c>
      <c r="I118" s="12" t="n">
        <v>0</v>
      </c>
      <c r="J118" s="12" t="n">
        <v>-11024.1</v>
      </c>
      <c r="K118" s="13" t="inlineStr">
        <is>
          <t>08/2025</t>
        </is>
      </c>
    </row>
    <row r="119" ht="15" customHeight="1">
      <c r="A119" s="9" t="inlineStr">
        <is>
          <t>sms-crys</t>
        </is>
      </c>
      <c r="B119" s="9" t="inlineStr">
        <is>
          <t>Storsafe Management Solutions - Crystal Lake</t>
        </is>
      </c>
      <c r="C119" s="10" t="n">
        <v>45965</v>
      </c>
      <c r="D119" s="11" t="n">
        <v>45962</v>
      </c>
      <c r="E119" s="9" t="inlineStr">
        <is>
          <t>SpareBox Technologies (sparebox)</t>
        </is>
      </c>
      <c r="F119" s="9" t="inlineStr">
        <is>
          <t>K-74574</t>
        </is>
      </c>
      <c r="G119" s="9" t="inlineStr">
        <is>
          <t>1261</t>
        </is>
      </c>
      <c r="H119" s="12" t="n">
        <v>99</v>
      </c>
      <c r="I119" s="12" t="n">
        <v>0</v>
      </c>
      <c r="J119" s="12" t="n">
        <v>-10925.1</v>
      </c>
      <c r="K119" s="13" t="inlineStr">
        <is>
          <t>08/2025 RaFA Subscription</t>
        </is>
      </c>
    </row>
    <row r="120" ht="15" customHeight="1">
      <c r="A120" s="9" t="inlineStr">
        <is>
          <t>sms-crys</t>
        </is>
      </c>
      <c r="B120" s="9" t="inlineStr">
        <is>
          <t>Storsafe Management Solutions - Crystal Lake</t>
        </is>
      </c>
      <c r="C120" s="10" t="n">
        <v>45965</v>
      </c>
      <c r="D120" s="11" t="n">
        <v>45962</v>
      </c>
      <c r="E120" s="9" t="inlineStr">
        <is>
          <t>STORAGEPUG, LLC (storagepug)</t>
        </is>
      </c>
      <c r="F120" s="9" t="inlineStr">
        <is>
          <t>K-74575</t>
        </is>
      </c>
      <c r="G120" s="9" t="inlineStr">
        <is>
          <t>1262</t>
        </is>
      </c>
      <c r="H120" s="12" t="n">
        <v>300</v>
      </c>
      <c r="I120" s="12" t="n">
        <v>0</v>
      </c>
      <c r="J120" s="12" t="n">
        <v>-10625.1</v>
      </c>
      <c r="K120" s="13" t="inlineStr">
        <is>
          <t>Insights is backed by powerful tools that help you attract new tenants and rent more units. Insights includes</t>
        </is>
      </c>
    </row>
    <row r="121" ht="15" customHeight="1">
      <c r="A121" s="9" t="inlineStr">
        <is>
          <t>sms-crys</t>
        </is>
      </c>
      <c r="B121" s="9" t="inlineStr">
        <is>
          <t>Storsafe Management Solutions - Crystal Lake</t>
        </is>
      </c>
      <c r="C121" s="10" t="n">
        <v>45965</v>
      </c>
      <c r="D121" s="11" t="n">
        <v>45962</v>
      </c>
      <c r="E121" s="9" t="inlineStr">
        <is>
          <t>United Door &amp; Dock (unidoor)</t>
        </is>
      </c>
      <c r="F121" s="9" t="inlineStr">
        <is>
          <t>K-74576</t>
        </is>
      </c>
      <c r="G121" s="9" t="inlineStr">
        <is>
          <t>1263</t>
        </is>
      </c>
      <c r="H121" s="12" t="n">
        <v>892.34</v>
      </c>
      <c r="I121" s="12" t="n">
        <v>0</v>
      </c>
      <c r="J121" s="12" t="n">
        <v>-9732.76</v>
      </c>
      <c r="K121" s="13" t="inlineStr">
        <is>
          <t>Repairs and Maintenance</t>
        </is>
      </c>
    </row>
    <row r="122" ht="15" customHeight="1">
      <c r="A122" s="9" t="inlineStr">
        <is>
          <t>sms-crys</t>
        </is>
      </c>
      <c r="B122" s="9" t="inlineStr">
        <is>
          <t>Storsafe Management Solutions - Crystal Lake</t>
        </is>
      </c>
      <c r="C122" s="10" t="n">
        <v>45965</v>
      </c>
      <c r="D122" s="11" t="n">
        <v>45962</v>
      </c>
      <c r="E122" s="9" t="inlineStr">
        <is>
          <t>SITELINK SOFTWARE LLC (sitelink)</t>
        </is>
      </c>
      <c r="F122" s="9" t="inlineStr">
        <is>
          <t>K-74757</t>
        </is>
      </c>
      <c r="G122" s="9" t="inlineStr">
        <is>
          <t>11042025</t>
        </is>
      </c>
      <c r="H122" s="12" t="n">
        <v>198.04</v>
      </c>
      <c r="I122" s="12" t="n">
        <v>0</v>
      </c>
      <c r="J122" s="12" t="n">
        <v>-9534.719999999999</v>
      </c>
      <c r="K122" s="13" t="inlineStr">
        <is>
          <t>11/2025 Sitelink Web Edition</t>
        </is>
      </c>
    </row>
    <row r="123" ht="15" customHeight="1">
      <c r="A123" s="9" t="inlineStr">
        <is>
          <t>sms-crys</t>
        </is>
      </c>
      <c r="B123" s="9" t="inlineStr">
        <is>
          <t>Storsafe Management Solutions - Crystal Lake</t>
        </is>
      </c>
      <c r="C123" s="10" t="n">
        <v>45965</v>
      </c>
      <c r="D123" s="11" t="n">
        <v>45962</v>
      </c>
      <c r="E123" s="9" t="inlineStr">
        <is>
          <t>SITELINK SOFTWARE LLC (sitelink)</t>
        </is>
      </c>
      <c r="F123" s="9" t="inlineStr">
        <is>
          <t>K-74757</t>
        </is>
      </c>
      <c r="G123" s="9" t="inlineStr">
        <is>
          <t>11042025</t>
        </is>
      </c>
      <c r="H123" s="12" t="n">
        <v>198.04</v>
      </c>
      <c r="I123" s="12" t="n">
        <v>0</v>
      </c>
      <c r="J123" s="12" t="n">
        <v>-9336.68</v>
      </c>
      <c r="K123" s="13" t="inlineStr">
        <is>
          <t>12/2025 Sitelink Web Edition</t>
        </is>
      </c>
    </row>
    <row r="124" ht="15" customHeight="1">
      <c r="A124" s="9" t="inlineStr">
        <is>
          <t>sms-crys</t>
        </is>
      </c>
      <c r="B124" s="9" t="inlineStr">
        <is>
          <t>Storsafe Management Solutions - Crystal Lake</t>
        </is>
      </c>
      <c r="C124" s="10" t="n">
        <v>45965</v>
      </c>
      <c r="D124" s="11" t="n">
        <v>45962</v>
      </c>
      <c r="E124" s="9" t="inlineStr">
        <is>
          <t>SITELINK SOFTWARE LLC (sitelink)</t>
        </is>
      </c>
      <c r="F124" s="9" t="inlineStr">
        <is>
          <t>K-74757</t>
        </is>
      </c>
      <c r="G124" s="9" t="inlineStr">
        <is>
          <t>11042025</t>
        </is>
      </c>
      <c r="H124" s="12" t="n">
        <v>198.04</v>
      </c>
      <c r="I124" s="12" t="n">
        <v>0</v>
      </c>
      <c r="J124" s="12" t="n">
        <v>-9138.639999999999</v>
      </c>
      <c r="K124" s="13" t="inlineStr">
        <is>
          <t>01/2026 Sitelink Web Edition</t>
        </is>
      </c>
    </row>
    <row r="125" ht="15" customHeight="1">
      <c r="A125" s="9" t="inlineStr">
        <is>
          <t>sms-crys</t>
        </is>
      </c>
      <c r="B125" s="9" t="inlineStr">
        <is>
          <t>Storsafe Management Solutions - Crystal Lake</t>
        </is>
      </c>
      <c r="C125" s="10" t="n">
        <v>45965</v>
      </c>
      <c r="D125" s="11" t="n">
        <v>45962</v>
      </c>
      <c r="E125" s="9" t="inlineStr">
        <is>
          <t>SITELINK SOFTWARE LLC (sitelink)</t>
        </is>
      </c>
      <c r="F125" s="9" t="inlineStr">
        <is>
          <t>P-97232</t>
        </is>
      </c>
      <c r="G125" s="9" t="inlineStr">
        <is>
          <t>1534662</t>
        </is>
      </c>
      <c r="H125" s="12" t="n">
        <v>0</v>
      </c>
      <c r="I125" s="12" t="n">
        <v>198.04</v>
      </c>
      <c r="J125" s="12" t="n">
        <v>-9336.68</v>
      </c>
      <c r="K125" s="13" t="inlineStr">
        <is>
          <t>11/2025 Sitelink Web Edition</t>
        </is>
      </c>
    </row>
    <row r="126" ht="15" customHeight="1">
      <c r="A126" s="9" t="inlineStr">
        <is>
          <t>sms-crys</t>
        </is>
      </c>
      <c r="B126" s="9" t="inlineStr">
        <is>
          <t>Storsafe Management Solutions - Crystal Lake</t>
        </is>
      </c>
      <c r="C126" s="10" t="n">
        <v>45965</v>
      </c>
      <c r="D126" s="11" t="n">
        <v>45962</v>
      </c>
      <c r="E126" s="9" t="inlineStr">
        <is>
          <t>SITELINK SOFTWARE LLC (sitelink)</t>
        </is>
      </c>
      <c r="F126" s="9" t="inlineStr">
        <is>
          <t>P-97232</t>
        </is>
      </c>
      <c r="G126" s="9" t="inlineStr">
        <is>
          <t>1534662</t>
        </is>
      </c>
      <c r="H126" s="12" t="n">
        <v>0</v>
      </c>
      <c r="I126" s="12" t="n">
        <v>198.04</v>
      </c>
      <c r="J126" s="12" t="n">
        <v>-9534.719999999999</v>
      </c>
      <c r="K126" s="13" t="inlineStr">
        <is>
          <t>12/2025 Sitelink Web Edition</t>
        </is>
      </c>
    </row>
    <row r="127" ht="15" customHeight="1">
      <c r="A127" s="9" t="inlineStr">
        <is>
          <t>sms-crys</t>
        </is>
      </c>
      <c r="B127" s="9" t="inlineStr">
        <is>
          <t>Storsafe Management Solutions - Crystal Lake</t>
        </is>
      </c>
      <c r="C127" s="10" t="n">
        <v>45965</v>
      </c>
      <c r="D127" s="11" t="n">
        <v>45962</v>
      </c>
      <c r="E127" s="9" t="inlineStr">
        <is>
          <t>SITELINK SOFTWARE LLC (sitelink)</t>
        </is>
      </c>
      <c r="F127" s="9" t="inlineStr">
        <is>
          <t>P-97232</t>
        </is>
      </c>
      <c r="G127" s="9" t="inlineStr">
        <is>
          <t>1534662</t>
        </is>
      </c>
      <c r="H127" s="12" t="n">
        <v>0</v>
      </c>
      <c r="I127" s="12" t="n">
        <v>198.04</v>
      </c>
      <c r="J127" s="12" t="n">
        <v>-9732.76</v>
      </c>
      <c r="K127" s="13" t="inlineStr">
        <is>
          <t>01/2026 Sitelink Web Edition</t>
        </is>
      </c>
    </row>
    <row r="128" ht="15" customHeight="1">
      <c r="A128" s="9" t="inlineStr">
        <is>
          <t>sms-crys</t>
        </is>
      </c>
      <c r="B128" s="9" t="inlineStr">
        <is>
          <t>Storsafe Management Solutions - Crystal Lake</t>
        </is>
      </c>
      <c r="C128" s="10" t="n">
        <v>45966</v>
      </c>
      <c r="D128" s="11" t="n">
        <v>45962</v>
      </c>
      <c r="E128" s="9" t="inlineStr">
        <is>
          <t>StorSafe Self Storage Management LLC  (storsafe)</t>
        </is>
      </c>
      <c r="F128" s="9" t="inlineStr">
        <is>
          <t>K-74686</t>
        </is>
      </c>
      <c r="G128" s="9" t="inlineStr">
        <is>
          <t>1264</t>
        </is>
      </c>
      <c r="H128" s="12" t="n">
        <v>928.36</v>
      </c>
      <c r="I128" s="12" t="n">
        <v>0</v>
      </c>
      <c r="J128" s="12" t="n">
        <v>-8804.4</v>
      </c>
      <c r="K128" s="13" t="inlineStr">
        <is>
          <t>10.2025 Tenant Insurance - SMS Crystal</t>
        </is>
      </c>
    </row>
    <row r="129" ht="15" customHeight="1">
      <c r="A129" s="9" t="inlineStr">
        <is>
          <t>sms-crys</t>
        </is>
      </c>
      <c r="B129" s="9" t="inlineStr">
        <is>
          <t>Storsafe Management Solutions - Crystal Lake</t>
        </is>
      </c>
      <c r="C129" s="10" t="n">
        <v>45966</v>
      </c>
      <c r="D129" s="11" t="n">
        <v>45962</v>
      </c>
      <c r="E129" s="9" t="inlineStr">
        <is>
          <t>StorSafe Self Storage Management LLC  (storsafe)</t>
        </is>
      </c>
      <c r="F129" s="9" t="inlineStr">
        <is>
          <t>K-74686</t>
        </is>
      </c>
      <c r="G129" s="9" t="inlineStr">
        <is>
          <t>1264</t>
        </is>
      </c>
      <c r="H129" s="12" t="n">
        <v>0</v>
      </c>
      <c r="I129" s="12" t="n">
        <v>122.8</v>
      </c>
      <c r="J129" s="12" t="n">
        <v>-8927.200000000001</v>
      </c>
      <c r="K129" s="13" t="inlineStr">
        <is>
          <t>10.2025 Tenant Insurance - SMS Crystal</t>
        </is>
      </c>
    </row>
    <row r="130" ht="15" customHeight="1">
      <c r="A130" s="9" t="inlineStr">
        <is>
          <t>sms-crys</t>
        </is>
      </c>
      <c r="B130" s="9" t="inlineStr">
        <is>
          <t>Storsafe Management Solutions - Crystal Lake</t>
        </is>
      </c>
      <c r="C130" s="10" t="n">
        <v>45966</v>
      </c>
      <c r="D130" s="11" t="n">
        <v>45962</v>
      </c>
      <c r="E130" s="9" t="inlineStr">
        <is>
          <t>StorSafe Self Storage Management LLC  (storsafe)</t>
        </is>
      </c>
      <c r="F130" s="9" t="inlineStr">
        <is>
          <t>K-74686</t>
        </is>
      </c>
      <c r="G130" s="9" t="inlineStr">
        <is>
          <t>1264</t>
        </is>
      </c>
      <c r="H130" s="12" t="n">
        <v>1783.01</v>
      </c>
      <c r="I130" s="12" t="n">
        <v>0</v>
      </c>
      <c r="J130" s="12" t="n">
        <v>-7144.19</v>
      </c>
      <c r="K130" s="13" t="inlineStr">
        <is>
          <t>Management Fees</t>
        </is>
      </c>
    </row>
    <row r="131" ht="15" customHeight="1">
      <c r="A131" s="9" t="inlineStr">
        <is>
          <t>sms-crys</t>
        </is>
      </c>
      <c r="B131" s="9" t="inlineStr">
        <is>
          <t>Storsafe Management Solutions - Crystal Lake</t>
        </is>
      </c>
      <c r="C131" s="10" t="n">
        <v>45967</v>
      </c>
      <c r="D131" s="11" t="n">
        <v>45962</v>
      </c>
      <c r="E131" s="9" t="inlineStr">
        <is>
          <t>ComEd (comed)</t>
        </is>
      </c>
      <c r="F131" s="9" t="inlineStr">
        <is>
          <t>K-74671</t>
        </is>
      </c>
      <c r="G131" s="9" t="inlineStr">
        <is>
          <t>20251106001</t>
        </is>
      </c>
      <c r="H131" s="12" t="n">
        <v>9.210000000000001</v>
      </c>
      <c r="I131" s="12" t="n">
        <v>0</v>
      </c>
      <c r="J131" s="12" t="n">
        <v>-7134.98</v>
      </c>
      <c r="K131" s="13" t="inlineStr">
        <is>
          <t>09/20/25-10/21/25 - 6905 COG CIR,CRYSTAL LAKE,IL,60014 - 7291453000</t>
        </is>
      </c>
    </row>
    <row r="132" ht="15" customHeight="1">
      <c r="A132" s="9" t="inlineStr">
        <is>
          <t>sms-crys</t>
        </is>
      </c>
      <c r="B132" s="9" t="inlineStr">
        <is>
          <t>Storsafe Management Solutions - Crystal Lake</t>
        </is>
      </c>
      <c r="C132" s="10" t="n">
        <v>45967</v>
      </c>
      <c r="D132" s="11" t="n">
        <v>45962</v>
      </c>
      <c r="E132" s="9" t="inlineStr">
        <is>
          <t>StorSafe Self Storage Management LLC  (storsafe)</t>
        </is>
      </c>
      <c r="F132" s="9" t="inlineStr">
        <is>
          <t>K-74722</t>
        </is>
      </c>
      <c r="G132" s="9" t="inlineStr">
        <is>
          <t>1265</t>
        </is>
      </c>
      <c r="H132" s="12" t="n">
        <v>192.31</v>
      </c>
      <c r="I132" s="12" t="n">
        <v>0</v>
      </c>
      <c r="J132" s="12" t="n">
        <v>-6942.67</v>
      </c>
      <c r="K132" s="13" t="inlineStr">
        <is>
          <t>11.07 Payroll - Crystal</t>
        </is>
      </c>
    </row>
    <row r="133" ht="15" customHeight="1">
      <c r="A133" s="9" t="inlineStr">
        <is>
          <t>sms-crys</t>
        </is>
      </c>
      <c r="B133" s="9" t="inlineStr">
        <is>
          <t>Storsafe Management Solutions - Crystal Lake</t>
        </is>
      </c>
      <c r="C133" s="10" t="n">
        <v>45967</v>
      </c>
      <c r="D133" s="11" t="n">
        <v>45962</v>
      </c>
      <c r="E133" s="9" t="inlineStr">
        <is>
          <t>StorSafe Self Storage Management LLC  (storsafe)</t>
        </is>
      </c>
      <c r="F133" s="9" t="inlineStr">
        <is>
          <t>K-74722</t>
        </is>
      </c>
      <c r="G133" s="9" t="inlineStr">
        <is>
          <t>1265</t>
        </is>
      </c>
      <c r="H133" s="12" t="n">
        <v>166.15</v>
      </c>
      <c r="I133" s="12" t="n">
        <v>0</v>
      </c>
      <c r="J133" s="12" t="n">
        <v>-6776.52</v>
      </c>
      <c r="K133" s="13" t="inlineStr">
        <is>
          <t>11.07 Payroll - Crystal</t>
        </is>
      </c>
    </row>
    <row r="134" ht="15" customHeight="1">
      <c r="A134" s="9" t="inlineStr">
        <is>
          <t>sms-crys</t>
        </is>
      </c>
      <c r="B134" s="9" t="inlineStr">
        <is>
          <t>Storsafe Management Solutions - Crystal Lake</t>
        </is>
      </c>
      <c r="C134" s="10" t="n">
        <v>45967</v>
      </c>
      <c r="D134" s="11" t="n">
        <v>45962</v>
      </c>
      <c r="E134" s="9" t="inlineStr">
        <is>
          <t>Storsafe Self Storage Management Internet Advertising (sssmia)</t>
        </is>
      </c>
      <c r="F134" s="9" t="inlineStr">
        <is>
          <t>K-74789</t>
        </is>
      </c>
      <c r="G134" s="9" t="inlineStr">
        <is>
          <t>110625</t>
        </is>
      </c>
      <c r="H134" s="12" t="n">
        <v>118.82</v>
      </c>
      <c r="I134" s="12" t="n">
        <v>0</v>
      </c>
      <c r="J134" s="12" t="n">
        <v>-6657.7</v>
      </c>
      <c r="K134" s="13" t="inlineStr">
        <is>
          <t>Oct 16-31 Google Ads.2</t>
        </is>
      </c>
    </row>
    <row r="135" ht="15" customHeight="1">
      <c r="A135" s="9" t="inlineStr">
        <is>
          <t>sms-crys</t>
        </is>
      </c>
      <c r="B135" s="9" t="inlineStr">
        <is>
          <t>Storsafe Management Solutions - Crystal Lake</t>
        </is>
      </c>
      <c r="C135" s="10" t="n">
        <v>45969</v>
      </c>
      <c r="D135" s="11" t="n">
        <v>45962</v>
      </c>
      <c r="E135" s="9" t="inlineStr">
        <is>
          <t>BirdEye Inc (birdeyeinc)</t>
        </is>
      </c>
      <c r="F135" s="9" t="inlineStr">
        <is>
          <t>P-97610</t>
        </is>
      </c>
      <c r="G135" s="9" t="inlineStr">
        <is>
          <t>793251 SMSCrystal Lake</t>
        </is>
      </c>
      <c r="H135" s="12" t="n">
        <v>0</v>
      </c>
      <c r="I135" s="12" t="n">
        <v>162.44</v>
      </c>
      <c r="J135" s="12" t="n">
        <v>-6820.14</v>
      </c>
      <c r="K135" s="13" t="inlineStr">
        <is>
          <t>11/08-12/08/2025 Standard Monthly plus Carrier Texting Fee - Standard</t>
        </is>
      </c>
    </row>
    <row r="136" ht="15" customHeight="1">
      <c r="A136" s="9" t="inlineStr">
        <is>
          <t>sms-crys</t>
        </is>
      </c>
      <c r="B136" s="9" t="inlineStr">
        <is>
          <t>Storsafe Management Solutions - Crystal Lake</t>
        </is>
      </c>
      <c r="C136" s="10" t="n">
        <v>45971</v>
      </c>
      <c r="D136" s="11" t="n">
        <v>45962</v>
      </c>
      <c r="E136" s="9" t="inlineStr">
        <is>
          <t>Storsafe Self Storage Management Internet Advertising (sssmia)</t>
        </is>
      </c>
      <c r="F136" s="9" t="inlineStr">
        <is>
          <t>P-97556</t>
        </is>
      </c>
      <c r="G136" s="9" t="inlineStr">
        <is>
          <t>1110GoogleAds.2-CrystalLake</t>
        </is>
      </c>
      <c r="H136" s="12" t="n">
        <v>0</v>
      </c>
      <c r="I136" s="12" t="n">
        <v>118.82</v>
      </c>
      <c r="J136" s="12" t="n">
        <v>-6938.96</v>
      </c>
      <c r="K136" s="13" t="inlineStr">
        <is>
          <t>Oct 16-31 Google Ads.2</t>
        </is>
      </c>
    </row>
    <row r="137" ht="15" customHeight="1">
      <c r="A137" s="9" t="inlineStr">
        <is>
          <t>sms-crys</t>
        </is>
      </c>
      <c r="B137" s="9" t="inlineStr">
        <is>
          <t>Storsafe Management Solutions - Crystal Lake</t>
        </is>
      </c>
      <c r="C137" s="10" t="n">
        <v>45973</v>
      </c>
      <c r="D137" s="11" t="n">
        <v>45962</v>
      </c>
      <c r="E137" s="9" t="inlineStr">
        <is>
          <t>AI Lean Inc. (ailean)</t>
        </is>
      </c>
      <c r="F137" s="9" t="inlineStr">
        <is>
          <t>K-74851</t>
        </is>
      </c>
      <c r="G137" s="9" t="inlineStr">
        <is>
          <t>1266</t>
        </is>
      </c>
      <c r="H137" s="12" t="n">
        <v>272.12</v>
      </c>
      <c r="I137" s="12" t="n">
        <v>0</v>
      </c>
      <c r="J137" s="12" t="n">
        <v>-6666.84</v>
      </c>
      <c r="K137" s="13" t="inlineStr">
        <is>
          <t>10/2025  Saas Fees</t>
        </is>
      </c>
    </row>
    <row r="138" ht="15" customHeight="1">
      <c r="A138" s="9" t="inlineStr">
        <is>
          <t>sms-crys</t>
        </is>
      </c>
      <c r="B138" s="9" t="inlineStr">
        <is>
          <t>Storsafe Management Solutions - Crystal Lake</t>
        </is>
      </c>
      <c r="C138" s="10" t="n">
        <v>45973</v>
      </c>
      <c r="D138" s="11" t="n">
        <v>45962</v>
      </c>
      <c r="E138" s="9" t="inlineStr">
        <is>
          <t>AI Lean Inc. (ailean)</t>
        </is>
      </c>
      <c r="F138" s="9" t="inlineStr">
        <is>
          <t>K-74851</t>
        </is>
      </c>
      <c r="G138" s="9" t="inlineStr">
        <is>
          <t>1266</t>
        </is>
      </c>
      <c r="H138" s="12" t="n">
        <v>10</v>
      </c>
      <c r="I138" s="12" t="n">
        <v>0</v>
      </c>
      <c r="J138" s="12" t="n">
        <v>-6656.84</v>
      </c>
      <c r="K138" s="13" t="inlineStr">
        <is>
          <t>October TMS Charges</t>
        </is>
      </c>
    </row>
    <row r="139" ht="15" customHeight="1">
      <c r="A139" s="9" t="inlineStr">
        <is>
          <t>sms-crys</t>
        </is>
      </c>
      <c r="B139" s="9" t="inlineStr">
        <is>
          <t>Storsafe Management Solutions - Crystal Lake</t>
        </is>
      </c>
      <c r="C139" s="10" t="n">
        <v>45973</v>
      </c>
      <c r="D139" s="11" t="n">
        <v>45962</v>
      </c>
      <c r="E139" s="9" t="inlineStr">
        <is>
          <t>Venn US, Inc. (venn)</t>
        </is>
      </c>
      <c r="F139" s="9" t="inlineStr">
        <is>
          <t>K-74852</t>
        </is>
      </c>
      <c r="G139" s="9" t="inlineStr">
        <is>
          <t>1267</t>
        </is>
      </c>
      <c r="H139" s="12" t="n">
        <v>50</v>
      </c>
      <c r="I139" s="12" t="n">
        <v>0</v>
      </c>
      <c r="J139" s="12" t="n">
        <v>-6606.84</v>
      </c>
      <c r="K139" s="13" t="inlineStr">
        <is>
          <t>09/2025 Software for the Comm Center VAs</t>
        </is>
      </c>
    </row>
    <row r="140" ht="15" customHeight="1">
      <c r="A140" s="9" t="inlineStr">
        <is>
          <t>sms-crys</t>
        </is>
      </c>
      <c r="B140" s="9" t="inlineStr">
        <is>
          <t>Storsafe Management Solutions - Crystal Lake</t>
        </is>
      </c>
      <c r="C140" s="10" t="n">
        <v>45976</v>
      </c>
      <c r="D140" s="11" t="n">
        <v>45962</v>
      </c>
      <c r="E140" s="9" t="inlineStr">
        <is>
          <t>STORAGEPUG, LLC (storagepug)</t>
        </is>
      </c>
      <c r="F140" s="9" t="inlineStr">
        <is>
          <t>P-97810</t>
        </is>
      </c>
      <c r="G140" s="9" t="inlineStr">
        <is>
          <t>59650</t>
        </is>
      </c>
      <c r="H140" s="12" t="n">
        <v>0</v>
      </c>
      <c r="I140" s="12" t="n">
        <v>300</v>
      </c>
      <c r="J140" s="12" t="n">
        <v>-6906.84</v>
      </c>
      <c r="K140" s="13" t="inlineStr">
        <is>
          <t>Insights Subscription Insights is backed by powerful tools that help you attract new tenants and rent more units</t>
        </is>
      </c>
    </row>
    <row r="141" ht="15" customHeight="1">
      <c r="A141" s="9" t="inlineStr">
        <is>
          <t>sms-crys</t>
        </is>
      </c>
      <c r="B141" s="9" t="inlineStr">
        <is>
          <t>Storsafe Management Solutions - Crystal Lake</t>
        </is>
      </c>
      <c r="C141" s="10" t="n">
        <v>45977</v>
      </c>
      <c r="D141" s="11" t="n">
        <v>45962</v>
      </c>
      <c r="E141" s="9" t="inlineStr">
        <is>
          <t>Storsafe Self Storage Management Internet Advertising (sssmia)</t>
        </is>
      </c>
      <c r="F141" s="9" t="inlineStr">
        <is>
          <t>P-98381</t>
        </is>
      </c>
      <c r="G141" s="9" t="inlineStr">
        <is>
          <t>11.2025 Google Ads.2 SMSCrystal Lake</t>
        </is>
      </c>
      <c r="H141" s="12" t="n">
        <v>0</v>
      </c>
      <c r="I141" s="12" t="n">
        <v>105.06</v>
      </c>
      <c r="J141" s="12" t="n">
        <v>-7011.9</v>
      </c>
      <c r="K141" s="13" t="inlineStr">
        <is>
          <t>11.2025 Google Ads.2</t>
        </is>
      </c>
    </row>
    <row r="142" ht="15" customHeight="1">
      <c r="A142" s="9" t="inlineStr">
        <is>
          <t>sms-crys</t>
        </is>
      </c>
      <c r="B142" s="9" t="inlineStr">
        <is>
          <t>Storsafe Management Solutions - Crystal Lake</t>
        </is>
      </c>
      <c r="C142" s="10" t="n">
        <v>45978</v>
      </c>
      <c r="D142" s="11" t="n">
        <v>45962</v>
      </c>
      <c r="E142" s="9" t="inlineStr">
        <is>
          <t>Storsafe Self Storage Management Internet Advertising (sssmia)</t>
        </is>
      </c>
      <c r="F142" s="9" t="inlineStr">
        <is>
          <t>K-74943</t>
        </is>
      </c>
      <c r="G142" s="9" t="inlineStr">
        <is>
          <t>1268</t>
        </is>
      </c>
      <c r="H142" s="12" t="n">
        <v>113.45</v>
      </c>
      <c r="I142" s="12" t="n">
        <v>0</v>
      </c>
      <c r="J142" s="12" t="n">
        <v>-6898.45</v>
      </c>
      <c r="K142" s="13" t="inlineStr">
        <is>
          <t>11.2025 Google Ads.1</t>
        </is>
      </c>
    </row>
    <row r="143" ht="15" customHeight="1">
      <c r="A143" s="9" t="inlineStr">
        <is>
          <t>sms-crys</t>
        </is>
      </c>
      <c r="B143" s="9" t="inlineStr">
        <is>
          <t>Storsafe Management Solutions - Crystal Lake</t>
        </is>
      </c>
      <c r="C143" s="10" t="n">
        <v>45978</v>
      </c>
      <c r="D143" s="11" t="n">
        <v>45962</v>
      </c>
      <c r="E143" s="9" t="inlineStr">
        <is>
          <t>Storsafe Self Storage Management Internet Advertising (sssmia)</t>
        </is>
      </c>
      <c r="F143" s="9" t="inlineStr">
        <is>
          <t>P-97831</t>
        </is>
      </c>
      <c r="G143" s="9" t="inlineStr">
        <is>
          <t>11.2025 Google Ads.1 SMSCrystal Lake</t>
        </is>
      </c>
      <c r="H143" s="12" t="n">
        <v>0</v>
      </c>
      <c r="I143" s="12" t="n">
        <v>113.45</v>
      </c>
      <c r="J143" s="12" t="n">
        <v>-7011.9</v>
      </c>
      <c r="K143" s="13" t="inlineStr">
        <is>
          <t>11.2025 Google Ads.1</t>
        </is>
      </c>
    </row>
    <row r="144" ht="15" customHeight="1">
      <c r="A144" s="9" t="inlineStr">
        <is>
          <t>sms-crys</t>
        </is>
      </c>
      <c r="B144" s="9" t="inlineStr">
        <is>
          <t>Storsafe Management Solutions - Crystal Lake</t>
        </is>
      </c>
      <c r="C144" s="10" t="n">
        <v>45979</v>
      </c>
      <c r="D144" s="11" t="n">
        <v>45962</v>
      </c>
      <c r="E144" s="9" t="inlineStr">
        <is>
          <t>SpareBox Technologies (sparebox)</t>
        </is>
      </c>
      <c r="F144" s="9" t="inlineStr">
        <is>
          <t>P-97915</t>
        </is>
      </c>
      <c r="G144" s="9" t="inlineStr">
        <is>
          <t>C1AA727B0014 SMSCrystal Lake</t>
        </is>
      </c>
      <c r="H144" s="12" t="n">
        <v>0</v>
      </c>
      <c r="I144" s="12" t="n">
        <v>99</v>
      </c>
      <c r="J144" s="12" t="n">
        <v>-7110.9</v>
      </c>
      <c r="K144" s="13" t="inlineStr">
        <is>
          <t>11/2025 RaFA Subscription</t>
        </is>
      </c>
    </row>
    <row r="145" ht="15" customHeight="1">
      <c r="A145" s="9" t="inlineStr">
        <is>
          <t>sms-crys</t>
        </is>
      </c>
      <c r="B145" s="9" t="inlineStr">
        <is>
          <t>Storsafe Management Solutions - Crystal Lake</t>
        </is>
      </c>
      <c r="C145" s="10" t="n">
        <v>45981</v>
      </c>
      <c r="D145" s="11" t="n">
        <v>45962</v>
      </c>
      <c r="E145" s="9" t="inlineStr">
        <is>
          <t>StorSafe Self Storage Management LLC  (storsafe)</t>
        </is>
      </c>
      <c r="F145" s="9" t="inlineStr">
        <is>
          <t>K-74998</t>
        </is>
      </c>
      <c r="G145" s="9" t="inlineStr">
        <is>
          <t>1269</t>
        </is>
      </c>
      <c r="H145" s="12" t="n">
        <v>192.31</v>
      </c>
      <c r="I145" s="12" t="n">
        <v>0</v>
      </c>
      <c r="J145" s="12" t="n">
        <v>-6918.59</v>
      </c>
      <c r="K145" s="13" t="inlineStr">
        <is>
          <t>11.21 Payroll - Crystal</t>
        </is>
      </c>
    </row>
    <row r="146" ht="15" customHeight="1">
      <c r="A146" s="9" t="inlineStr">
        <is>
          <t>sms-crys</t>
        </is>
      </c>
      <c r="B146" s="9" t="inlineStr">
        <is>
          <t>Storsafe Management Solutions - Crystal Lake</t>
        </is>
      </c>
      <c r="C146" s="10" t="n">
        <v>45981</v>
      </c>
      <c r="D146" s="11" t="n">
        <v>45962</v>
      </c>
      <c r="E146" s="9" t="inlineStr">
        <is>
          <t>StorSafe Self Storage Management LLC  (storsafe)</t>
        </is>
      </c>
      <c r="F146" s="9" t="inlineStr">
        <is>
          <t>K-74998</t>
        </is>
      </c>
      <c r="G146" s="9" t="inlineStr">
        <is>
          <t>1269</t>
        </is>
      </c>
      <c r="H146" s="12" t="n">
        <v>166.15</v>
      </c>
      <c r="I146" s="12" t="n">
        <v>0</v>
      </c>
      <c r="J146" s="12" t="n">
        <v>-6752.44</v>
      </c>
      <c r="K146" s="13" t="inlineStr">
        <is>
          <t>11.21 Payroll - Crystal</t>
        </is>
      </c>
    </row>
    <row r="147" ht="15" customHeight="1">
      <c r="A147" s="9" t="inlineStr">
        <is>
          <t>sms-crys</t>
        </is>
      </c>
      <c r="B147" s="9" t="inlineStr">
        <is>
          <t>Storsafe Management Solutions - Crystal Lake</t>
        </is>
      </c>
      <c r="C147" s="10" t="n">
        <v>45982</v>
      </c>
      <c r="D147" s="11" t="n">
        <v>45962</v>
      </c>
      <c r="E147" s="9" t="inlineStr">
        <is>
          <t>StorSafe Self Storage Management LLC  (storsafe)</t>
        </is>
      </c>
      <c r="F147" s="9" t="inlineStr">
        <is>
          <t>P-97964</t>
        </is>
      </c>
      <c r="G147" s="9" t="inlineStr">
        <is>
          <t>11.21 Payroll - Crystal</t>
        </is>
      </c>
      <c r="H147" s="12" t="n">
        <v>0</v>
      </c>
      <c r="I147" s="12" t="n">
        <v>192.31</v>
      </c>
      <c r="J147" s="12" t="n">
        <v>-6944.75</v>
      </c>
      <c r="K147" s="13" t="inlineStr">
        <is>
          <t>11.21 Payroll - Crystal</t>
        </is>
      </c>
    </row>
    <row r="148" ht="15" customHeight="1">
      <c r="A148" s="9" t="inlineStr">
        <is>
          <t>sms-crys</t>
        </is>
      </c>
      <c r="B148" s="9" t="inlineStr">
        <is>
          <t>Storsafe Management Solutions - Crystal Lake</t>
        </is>
      </c>
      <c r="C148" s="10" t="n">
        <v>45982</v>
      </c>
      <c r="D148" s="11" t="n">
        <v>45962</v>
      </c>
      <c r="E148" s="9" t="inlineStr">
        <is>
          <t>StorSafe Self Storage Management LLC  (storsafe)</t>
        </is>
      </c>
      <c r="F148" s="9" t="inlineStr">
        <is>
          <t>P-97964</t>
        </is>
      </c>
      <c r="G148" s="9" t="inlineStr">
        <is>
          <t>11.21 Payroll - Crystal</t>
        </is>
      </c>
      <c r="H148" s="12" t="n">
        <v>0</v>
      </c>
      <c r="I148" s="12" t="n">
        <v>166.15</v>
      </c>
      <c r="J148" s="12" t="n">
        <v>-7110.9</v>
      </c>
      <c r="K148" s="13" t="inlineStr">
        <is>
          <t>11.21 Payroll - Crystal</t>
        </is>
      </c>
    </row>
    <row r="149" ht="15" customHeight="1">
      <c r="A149" s="9" t="inlineStr">
        <is>
          <t>sms-crys</t>
        </is>
      </c>
      <c r="B149" s="9" t="inlineStr">
        <is>
          <t>Storsafe Management Solutions - Crystal Lake</t>
        </is>
      </c>
      <c r="C149" s="10" t="n">
        <v>45991</v>
      </c>
      <c r="D149" s="11" t="n">
        <v>45962</v>
      </c>
      <c r="E149" s="9" t="inlineStr">
        <is>
          <t>StorSafe Self Storage Management LLC  (storsafe)</t>
        </is>
      </c>
      <c r="F149" s="9" t="inlineStr">
        <is>
          <t>P-98138</t>
        </is>
      </c>
      <c r="G149" s="9" t="inlineStr">
        <is>
          <t>11.2025 Tenant Insurance - SMS Crystal</t>
        </is>
      </c>
      <c r="H149" s="12" t="n">
        <v>0</v>
      </c>
      <c r="I149" s="12" t="n">
        <v>806.71</v>
      </c>
      <c r="J149" s="12" t="n">
        <v>-7917.61</v>
      </c>
      <c r="K149" s="13" t="inlineStr">
        <is>
          <t>11.2025 Tenant Insurance - SMS Crystal</t>
        </is>
      </c>
    </row>
    <row r="150" ht="15" customHeight="1">
      <c r="A150" s="9" t="inlineStr">
        <is>
          <t>sms-crys</t>
        </is>
      </c>
      <c r="B150" s="9" t="inlineStr">
        <is>
          <t>Storsafe Management Solutions - Crystal Lake</t>
        </is>
      </c>
      <c r="C150" s="10" t="n">
        <v>45991</v>
      </c>
      <c r="D150" s="11" t="n">
        <v>45962</v>
      </c>
      <c r="E150" s="9" t="inlineStr">
        <is>
          <t>StorSafe Self Storage Management LLC  (storsafe)</t>
        </is>
      </c>
      <c r="F150" s="9" t="inlineStr">
        <is>
          <t>P-98138</t>
        </is>
      </c>
      <c r="G150" s="9" t="inlineStr">
        <is>
          <t>11.2025 Tenant Insurance - SMS Crystal</t>
        </is>
      </c>
      <c r="H150" s="12" t="n">
        <v>129.97</v>
      </c>
      <c r="I150" s="12" t="n">
        <v>0</v>
      </c>
      <c r="J150" s="12" t="n">
        <v>-7787.64</v>
      </c>
      <c r="K150" s="13" t="inlineStr">
        <is>
          <t>11.2025 Tenant Insurance - SMS Crystal</t>
        </is>
      </c>
    </row>
    <row r="151" ht="15" customHeight="1">
      <c r="A151" s="9" t="inlineStr">
        <is>
          <t>sms-crys</t>
        </is>
      </c>
      <c r="B151" s="9" t="inlineStr">
        <is>
          <t>Storsafe Management Solutions - Crystal Lake</t>
        </is>
      </c>
      <c r="C151" s="10" t="n">
        <v>45991</v>
      </c>
      <c r="D151" s="11" t="n">
        <v>45962</v>
      </c>
      <c r="E151" s="9" t="inlineStr">
        <is>
          <t>StorSafe Self Storage Management LLC  (storsafe)</t>
        </is>
      </c>
      <c r="F151" s="9" t="inlineStr">
        <is>
          <t>P-98167</t>
        </is>
      </c>
      <c r="G151" s="9" t="inlineStr">
        <is>
          <t>1100016757-23</t>
        </is>
      </c>
      <c r="H151" s="12" t="n">
        <v>0</v>
      </c>
      <c r="I151" s="12" t="n">
        <v>1656.22</v>
      </c>
      <c r="J151" s="12" t="n">
        <v>-9443.860000000001</v>
      </c>
      <c r="K151" s="13" t="inlineStr">
        <is>
          <t>Management Fees</t>
        </is>
      </c>
    </row>
    <row r="152" ht="15" customHeight="1">
      <c r="A152" s="9" t="inlineStr">
        <is>
          <t>sms-crys</t>
        </is>
      </c>
      <c r="B152" s="9" t="inlineStr">
        <is>
          <t>Storsafe Management Solutions - Crystal Lake</t>
        </is>
      </c>
      <c r="C152" s="10" t="n">
        <v>45992</v>
      </c>
      <c r="D152" s="11" t="n">
        <v>45962</v>
      </c>
      <c r="E152" s="9" t="inlineStr">
        <is>
          <t>Mid-America Asset Management, Inc. (midamerica)</t>
        </is>
      </c>
      <c r="F152" s="9" t="inlineStr">
        <is>
          <t>P-98212</t>
        </is>
      </c>
      <c r="G152" s="9" t="inlineStr">
        <is>
          <t>1125StorSafe SMSCrystal Lake</t>
        </is>
      </c>
      <c r="H152" s="12" t="n">
        <v>0</v>
      </c>
      <c r="I152" s="12" t="n">
        <v>250</v>
      </c>
      <c r="J152" s="12" t="n">
        <v>-9693.860000000001</v>
      </c>
      <c r="K152" s="13" t="inlineStr">
        <is>
          <t>11/2025 StorSafe/Elmdale Portfolio Maintenance Fee</t>
        </is>
      </c>
    </row>
    <row r="153" ht="15" customHeight="1">
      <c r="A153" s="9" t="inlineStr">
        <is>
          <t>sms-crys</t>
        </is>
      </c>
      <c r="B153" s="9" t="inlineStr">
        <is>
          <t>Storsafe Management Solutions - Crystal Lake</t>
        </is>
      </c>
      <c r="C153" s="10" t="n">
        <v>45994</v>
      </c>
      <c r="D153" s="11" t="n">
        <v>45962</v>
      </c>
      <c r="E153" s="9" t="inlineStr">
        <is>
          <t>StorSafe Self Storage Management LLC  (storsafe)</t>
        </is>
      </c>
      <c r="F153" s="9" t="inlineStr">
        <is>
          <t>P-98437</t>
        </is>
      </c>
      <c r="G153" s="9" t="inlineStr">
        <is>
          <t>20945-433 SMSCrystal Lake</t>
        </is>
      </c>
      <c r="H153" s="12" t="n">
        <v>0</v>
      </c>
      <c r="I153" s="12" t="n">
        <v>18</v>
      </c>
      <c r="J153" s="12" t="n">
        <v>-9711.860000000001</v>
      </c>
      <c r="K153" s="13" t="inlineStr">
        <is>
          <t>11/2025 Capturis Service</t>
        </is>
      </c>
    </row>
    <row r="154" ht="15" customHeight="1">
      <c r="A154" s="9" t="inlineStr">
        <is>
          <t>sms-crys</t>
        </is>
      </c>
      <c r="B154" s="9" t="inlineStr">
        <is>
          <t>Storsafe Management Solutions - Crystal Lake</t>
        </is>
      </c>
      <c r="C154" s="10" t="n">
        <v>45996</v>
      </c>
      <c r="D154" s="11" t="n">
        <v>45962</v>
      </c>
      <c r="E154" s="9" t="inlineStr">
        <is>
          <t>StorSafe Self Storage Management LLC  (storsafe)</t>
        </is>
      </c>
      <c r="F154" s="9" t="inlineStr">
        <is>
          <t>P-98249</t>
        </is>
      </c>
      <c r="G154" s="9" t="inlineStr">
        <is>
          <t>12.05 Payroll - SMS Crystal</t>
        </is>
      </c>
      <c r="H154" s="12" t="n">
        <v>0</v>
      </c>
      <c r="I154" s="12" t="n">
        <v>192.31</v>
      </c>
      <c r="J154" s="12" t="n">
        <v>-9904.17</v>
      </c>
      <c r="K154" s="13" t="inlineStr">
        <is>
          <t>12.05 Payroll - SMS Crystal</t>
        </is>
      </c>
    </row>
    <row r="155" ht="15" customHeight="1">
      <c r="A155" s="9" t="inlineStr">
        <is>
          <t>sms-crys</t>
        </is>
      </c>
      <c r="B155" s="9" t="inlineStr">
        <is>
          <t>Storsafe Management Solutions - Crystal Lake</t>
        </is>
      </c>
      <c r="C155" s="10" t="n">
        <v>45996</v>
      </c>
      <c r="D155" s="11" t="n">
        <v>45962</v>
      </c>
      <c r="E155" s="9" t="inlineStr">
        <is>
          <t>StorSafe Self Storage Management LLC  (storsafe)</t>
        </is>
      </c>
      <c r="F155" s="9" t="inlineStr">
        <is>
          <t>P-98249</t>
        </is>
      </c>
      <c r="G155" s="9" t="inlineStr">
        <is>
          <t>12.05 Payroll - SMS Crystal</t>
        </is>
      </c>
      <c r="H155" s="12" t="n">
        <v>0</v>
      </c>
      <c r="I155" s="12" t="n">
        <v>166.15</v>
      </c>
      <c r="J155" s="12" t="n">
        <v>-10070.32</v>
      </c>
      <c r="K155" s="13" t="inlineStr">
        <is>
          <t>12.05 Payroll - SMS Crystal</t>
        </is>
      </c>
    </row>
    <row r="156" ht="15" customHeight="1">
      <c r="A156" s="14" t="n"/>
      <c r="B156" s="14" t="n"/>
      <c r="C156" s="15" t="n"/>
      <c r="D156" s="15" t="n"/>
      <c r="E156" s="16" t="inlineStr">
        <is>
          <t xml:space="preserve">  Net Change=3,833.81</t>
        </is>
      </c>
      <c r="F156" s="14" t="n"/>
      <c r="G156" s="14" t="n"/>
      <c r="H156" s="17" t="inlineStr">
        <is>
          <t>10,048.75</t>
        </is>
      </c>
      <c r="I156" s="17" t="inlineStr">
        <is>
          <t>6,214.94</t>
        </is>
      </c>
      <c r="J156" s="17" t="inlineStr">
        <is>
          <t xml:space="preserve">  -10,070.32</t>
        </is>
      </c>
      <c r="K156" s="16">
        <f> Ending Balance =</f>
        <v/>
      </c>
    </row>
    <row r="157" ht="15" customHeight="1">
      <c r="A157" s="9" t="n"/>
      <c r="B157" s="9" t="n"/>
      <c r="C157" s="9" t="n"/>
      <c r="D157" s="9" t="n"/>
      <c r="E157" s="9" t="n"/>
      <c r="F157" s="9" t="n"/>
      <c r="G157" s="9" t="n"/>
      <c r="H157" s="18" t="n"/>
      <c r="I157" s="18" t="n"/>
      <c r="J157" s="18" t="n"/>
      <c r="K157" s="9" t="n"/>
    </row>
    <row r="158" ht="15" customHeight="1">
      <c r="A158" s="16" t="inlineStr">
        <is>
          <t>2210-0000</t>
        </is>
      </c>
      <c r="B158" s="14" t="n"/>
      <c r="C158" s="14" t="n"/>
      <c r="D158" s="14" t="n"/>
      <c r="E158" s="16" t="inlineStr">
        <is>
          <t>Prepaid Rent</t>
        </is>
      </c>
      <c r="F158" s="14" t="n"/>
      <c r="G158" s="14" t="n"/>
      <c r="H158" s="19" t="n"/>
      <c r="I158" s="19" t="n"/>
      <c r="J158" s="20" t="n">
        <v>5474.86</v>
      </c>
      <c r="K158" s="16">
        <f> Beginning Balance =</f>
        <v/>
      </c>
    </row>
    <row r="159" ht="15" customHeight="1">
      <c r="A159" s="9" t="inlineStr">
        <is>
          <t>sms-crys</t>
        </is>
      </c>
      <c r="B159" s="9" t="inlineStr">
        <is>
          <t>Storsafe Management Solutions - Crystal Lake</t>
        </is>
      </c>
      <c r="C159" s="10" t="n">
        <v>45991</v>
      </c>
      <c r="D159" s="11" t="n">
        <v>45962</v>
      </c>
      <c r="E159" s="9" t="inlineStr">
        <is>
          <t>Revenue adj per SiteLink</t>
        </is>
      </c>
      <c r="F159" s="9" t="inlineStr">
        <is>
          <t>J-76897</t>
        </is>
      </c>
      <c r="G159" s="9" t="n"/>
      <c r="H159" s="12" t="n">
        <v>0</v>
      </c>
      <c r="I159" s="12" t="n">
        <v>1526.8</v>
      </c>
      <c r="J159" s="12" t="n">
        <v>3948.06</v>
      </c>
      <c r="K159" s="13" t="inlineStr">
        <is>
          <t>Receipts for prepayments</t>
        </is>
      </c>
    </row>
    <row r="160" ht="15" customHeight="1">
      <c r="A160" s="9" t="inlineStr">
        <is>
          <t>sms-crys</t>
        </is>
      </c>
      <c r="B160" s="9" t="inlineStr">
        <is>
          <t>Storsafe Management Solutions - Crystal Lake</t>
        </is>
      </c>
      <c r="C160" s="10" t="n">
        <v>45991</v>
      </c>
      <c r="D160" s="11" t="n">
        <v>45962</v>
      </c>
      <c r="E160" s="9" t="inlineStr">
        <is>
          <t>Revenue adj per SiteLink</t>
        </is>
      </c>
      <c r="F160" s="9" t="inlineStr">
        <is>
          <t>J-76897</t>
        </is>
      </c>
      <c r="G160" s="9" t="n"/>
      <c r="H160" s="12" t="n">
        <v>2438.69</v>
      </c>
      <c r="I160" s="12" t="n">
        <v>0</v>
      </c>
      <c r="J160" s="12" t="n">
        <v>6386.75</v>
      </c>
      <c r="K160" s="13" t="inlineStr">
        <is>
          <t>Prepayments applied</t>
        </is>
      </c>
    </row>
    <row r="161" ht="15" customHeight="1">
      <c r="A161" s="14" t="n"/>
      <c r="B161" s="14" t="n"/>
      <c r="C161" s="15" t="n"/>
      <c r="D161" s="15" t="n"/>
      <c r="E161" s="16" t="inlineStr">
        <is>
          <t xml:space="preserve">  Net Change=911.89</t>
        </is>
      </c>
      <c r="F161" s="14" t="n"/>
      <c r="G161" s="14" t="n"/>
      <c r="H161" s="17" t="inlineStr">
        <is>
          <t>2,438.69</t>
        </is>
      </c>
      <c r="I161" s="17" t="inlineStr">
        <is>
          <t>1,526.80</t>
        </is>
      </c>
      <c r="J161" s="17" t="inlineStr">
        <is>
          <t xml:space="preserve">  6,386.75</t>
        </is>
      </c>
      <c r="K161" s="16">
        <f> Ending Balance =</f>
        <v/>
      </c>
    </row>
    <row r="162" ht="15" customHeight="1">
      <c r="A162" s="9" t="n"/>
      <c r="B162" s="9" t="n"/>
      <c r="C162" s="9" t="n"/>
      <c r="D162" s="9" t="n"/>
      <c r="E162" s="9" t="n"/>
      <c r="F162" s="9" t="n"/>
      <c r="G162" s="9" t="n"/>
      <c r="H162" s="18" t="n"/>
      <c r="I162" s="18" t="n"/>
      <c r="J162" s="18" t="n"/>
      <c r="K162" s="9" t="n"/>
    </row>
    <row r="163" ht="15" customHeight="1">
      <c r="A163" s="16" t="inlineStr">
        <is>
          <t>2250-0000</t>
        </is>
      </c>
      <c r="B163" s="14" t="n"/>
      <c r="C163" s="14" t="n"/>
      <c r="D163" s="14" t="n"/>
      <c r="E163" s="16" t="inlineStr">
        <is>
          <t>Tenant Deposits</t>
        </is>
      </c>
      <c r="F163" s="14" t="n"/>
      <c r="G163" s="14" t="n"/>
      <c r="H163" s="19" t="n"/>
      <c r="I163" s="19" t="n"/>
      <c r="J163" s="20" t="n">
        <v>1573</v>
      </c>
      <c r="K163" s="16">
        <f> Beginning Balance =</f>
        <v/>
      </c>
    </row>
    <row r="164" ht="15" customHeight="1">
      <c r="A164" s="14" t="n"/>
      <c r="B164" s="14" t="n"/>
      <c r="C164" s="15" t="n"/>
      <c r="D164" s="15" t="n"/>
      <c r="E164" s="16" t="inlineStr">
        <is>
          <t xml:space="preserve">  Net Change=0.00</t>
        </is>
      </c>
      <c r="F164" s="14" t="n"/>
      <c r="G164" s="14" t="n"/>
      <c r="H164" s="17" t="inlineStr">
        <is>
          <t>0.00</t>
        </is>
      </c>
      <c r="I164" s="17" t="inlineStr">
        <is>
          <t>0.00</t>
        </is>
      </c>
      <c r="J164" s="17" t="inlineStr">
        <is>
          <t xml:space="preserve">  1,573.00</t>
        </is>
      </c>
      <c r="K164" s="16">
        <f> Ending Balance =</f>
        <v/>
      </c>
    </row>
    <row r="165" ht="15" customHeight="1">
      <c r="A165" s="9" t="n"/>
      <c r="B165" s="9" t="n"/>
      <c r="C165" s="9" t="n"/>
      <c r="D165" s="9" t="n"/>
      <c r="E165" s="9" t="n"/>
      <c r="F165" s="9" t="n"/>
      <c r="G165" s="9" t="n"/>
      <c r="H165" s="18" t="n"/>
      <c r="I165" s="18" t="n"/>
      <c r="J165" s="18" t="n"/>
      <c r="K165" s="9" t="n"/>
    </row>
    <row r="166" ht="15" customHeight="1">
      <c r="A166" s="16" t="inlineStr">
        <is>
          <t>2270-0010</t>
        </is>
      </c>
      <c r="B166" s="14" t="n"/>
      <c r="C166" s="14" t="n"/>
      <c r="D166" s="14" t="n"/>
      <c r="E166" s="16" t="inlineStr">
        <is>
          <t>Tenant Protection Net Payable</t>
        </is>
      </c>
      <c r="F166" s="14" t="n"/>
      <c r="G166" s="14" t="n"/>
      <c r="H166" s="19" t="n"/>
      <c r="I166" s="19" t="n"/>
      <c r="J166" s="20" t="n">
        <v>-12</v>
      </c>
      <c r="K166" s="16">
        <f> Beginning Balance =</f>
        <v/>
      </c>
    </row>
    <row r="167" ht="15" customHeight="1">
      <c r="A167" s="14" t="n"/>
      <c r="B167" s="14" t="n"/>
      <c r="C167" s="15" t="n"/>
      <c r="D167" s="15" t="n"/>
      <c r="E167" s="16" t="inlineStr">
        <is>
          <t xml:space="preserve">  Net Change=0.00</t>
        </is>
      </c>
      <c r="F167" s="14" t="n"/>
      <c r="G167" s="14" t="n"/>
      <c r="H167" s="17" t="inlineStr">
        <is>
          <t>0.00</t>
        </is>
      </c>
      <c r="I167" s="17" t="inlineStr">
        <is>
          <t>0.00</t>
        </is>
      </c>
      <c r="J167" s="17" t="inlineStr">
        <is>
          <t xml:space="preserve">  -12.00</t>
        </is>
      </c>
      <c r="K167" s="16">
        <f> Ending Balance =</f>
        <v/>
      </c>
    </row>
    <row r="168" ht="15" customHeight="1">
      <c r="A168" s="9" t="n"/>
      <c r="B168" s="9" t="n"/>
      <c r="C168" s="9" t="n"/>
      <c r="D168" s="9" t="n"/>
      <c r="E168" s="9" t="n"/>
      <c r="F168" s="9" t="n"/>
      <c r="G168" s="9" t="n"/>
      <c r="H168" s="18" t="n"/>
      <c r="I168" s="18" t="n"/>
      <c r="J168" s="18" t="n"/>
      <c r="K168" s="9" t="n"/>
    </row>
    <row r="169" ht="15" customHeight="1">
      <c r="A169" s="16" t="inlineStr">
        <is>
          <t>2305-0000</t>
        </is>
      </c>
      <c r="B169" s="14" t="n"/>
      <c r="C169" s="14" t="n"/>
      <c r="D169" s="14" t="n"/>
      <c r="E169" s="16" t="inlineStr">
        <is>
          <t>Real Estate Tax Accrual</t>
        </is>
      </c>
      <c r="F169" s="14" t="n"/>
      <c r="G169" s="14" t="n"/>
      <c r="H169" s="19" t="n"/>
      <c r="I169" s="19" t="n"/>
      <c r="J169" s="20" t="n">
        <v>-45509.8</v>
      </c>
      <c r="K169" s="16">
        <f> Beginning Balance =</f>
        <v/>
      </c>
    </row>
    <row r="170" ht="15" customHeight="1">
      <c r="A170" s="9" t="inlineStr">
        <is>
          <t>sms-crys</t>
        </is>
      </c>
      <c r="B170" s="9" t="inlineStr">
        <is>
          <t>Storsafe Management Solutions - Crystal Lake</t>
        </is>
      </c>
      <c r="C170" s="10" t="n">
        <v>45991</v>
      </c>
      <c r="D170" s="11" t="n">
        <v>45962</v>
      </c>
      <c r="E170" s="9" t="inlineStr">
        <is>
          <t>:PostRecurring Monthly 2025 Tax expense</t>
        </is>
      </c>
      <c r="F170" s="9" t="inlineStr">
        <is>
          <t>J-76609</t>
        </is>
      </c>
      <c r="G170" s="9" t="inlineStr">
        <is>
          <t>RETaxSMSCLK</t>
        </is>
      </c>
      <c r="H170" s="12" t="n">
        <v>0</v>
      </c>
      <c r="I170" s="12" t="n">
        <v>5024.87</v>
      </c>
      <c r="J170" s="12" t="n">
        <v>-50534.67</v>
      </c>
      <c r="K170" s="13" t="inlineStr">
        <is>
          <t>Monthly 2025 Tax expense</t>
        </is>
      </c>
    </row>
    <row r="171" ht="15" customHeight="1">
      <c r="A171" s="14" t="n"/>
      <c r="B171" s="14" t="n"/>
      <c r="C171" s="15" t="n"/>
      <c r="D171" s="15" t="n"/>
      <c r="E171" s="16" t="inlineStr">
        <is>
          <t xml:space="preserve">  Net Change=-5,024.87</t>
        </is>
      </c>
      <c r="F171" s="14" t="n"/>
      <c r="G171" s="14" t="n"/>
      <c r="H171" s="17" t="inlineStr">
        <is>
          <t>0.00</t>
        </is>
      </c>
      <c r="I171" s="17" t="inlineStr">
        <is>
          <t>5,024.87</t>
        </is>
      </c>
      <c r="J171" s="17" t="inlineStr">
        <is>
          <t xml:space="preserve">  -50,534.67</t>
        </is>
      </c>
      <c r="K171" s="16">
        <f> Ending Balance =</f>
        <v/>
      </c>
    </row>
    <row r="172" ht="15" customHeight="1">
      <c r="A172" s="9" t="n"/>
      <c r="B172" s="9" t="n"/>
      <c r="C172" s="9" t="n"/>
      <c r="D172" s="9" t="n"/>
      <c r="E172" s="9" t="n"/>
      <c r="F172" s="9" t="n"/>
      <c r="G172" s="9" t="n"/>
      <c r="H172" s="18" t="n"/>
      <c r="I172" s="18" t="n"/>
      <c r="J172" s="18" t="n"/>
      <c r="K172" s="9" t="n"/>
    </row>
    <row r="173" ht="15" customHeight="1">
      <c r="A173" s="16" t="inlineStr">
        <is>
          <t>2310-0000</t>
        </is>
      </c>
      <c r="B173" s="14" t="n"/>
      <c r="C173" s="14" t="n"/>
      <c r="D173" s="14" t="n"/>
      <c r="E173" s="16" t="inlineStr">
        <is>
          <t>Sales Tax Collected</t>
        </is>
      </c>
      <c r="F173" s="14" t="n"/>
      <c r="G173" s="14" t="n"/>
      <c r="H173" s="19" t="n"/>
      <c r="I173" s="19" t="n"/>
      <c r="J173" s="20" t="n">
        <v>-3853.45</v>
      </c>
      <c r="K173" s="16">
        <f> Beginning Balance =</f>
        <v/>
      </c>
    </row>
    <row r="174" ht="15" customHeight="1">
      <c r="A174" s="9" t="inlineStr">
        <is>
          <t>sms-crys</t>
        </is>
      </c>
      <c r="B174" s="9" t="inlineStr">
        <is>
          <t>Storsafe Management Solutions - Crystal Lake</t>
        </is>
      </c>
      <c r="C174" s="10" t="n">
        <v>45962</v>
      </c>
      <c r="D174" s="11" t="n">
        <v>45962</v>
      </c>
      <c r="E174" s="9" t="inlineStr">
        <is>
          <t>11.01.2025 ACH debit</t>
        </is>
      </c>
      <c r="F174" s="9" t="inlineStr">
        <is>
          <t>J-75693</t>
        </is>
      </c>
      <c r="G174" s="9" t="n"/>
      <c r="H174" s="12" t="n">
        <v>0</v>
      </c>
      <c r="I174" s="12" t="n">
        <v>42.48</v>
      </c>
      <c r="J174" s="12" t="n">
        <v>-3895.93</v>
      </c>
      <c r="K174" s="13" t="inlineStr">
        <is>
          <t>11.01.2025 ACH debit</t>
        </is>
      </c>
    </row>
    <row r="175" ht="15" customHeight="1">
      <c r="A175" s="9" t="inlineStr">
        <is>
          <t>sms-crys</t>
        </is>
      </c>
      <c r="B175" s="9" t="inlineStr">
        <is>
          <t>Storsafe Management Solutions - Crystal Lake</t>
        </is>
      </c>
      <c r="C175" s="10" t="n">
        <v>45962</v>
      </c>
      <c r="D175" s="11" t="n">
        <v>45962</v>
      </c>
      <c r="E175" s="9" t="inlineStr">
        <is>
          <t>11.01.2025 cc receipts</t>
        </is>
      </c>
      <c r="F175" s="9" t="inlineStr">
        <is>
          <t>J-75694</t>
        </is>
      </c>
      <c r="G175" s="9" t="n"/>
      <c r="H175" s="12" t="n">
        <v>0</v>
      </c>
      <c r="I175" s="12" t="n">
        <v>173.22</v>
      </c>
      <c r="J175" s="12" t="n">
        <v>-4069.15</v>
      </c>
      <c r="K175" s="13" t="inlineStr">
        <is>
          <t>11.01.2025 cc receipts</t>
        </is>
      </c>
    </row>
    <row r="176" ht="15" customHeight="1">
      <c r="A176" s="9" t="inlineStr">
        <is>
          <t>sms-crys</t>
        </is>
      </c>
      <c r="B176" s="9" t="inlineStr">
        <is>
          <t>Storsafe Management Solutions - Crystal Lake</t>
        </is>
      </c>
      <c r="C176" s="10" t="n">
        <v>45967</v>
      </c>
      <c r="D176" s="11" t="n">
        <v>45962</v>
      </c>
      <c r="E176" s="9" t="inlineStr">
        <is>
          <t>11.06.2025 cc receipts</t>
        </is>
      </c>
      <c r="F176" s="9" t="inlineStr">
        <is>
          <t>J-75978</t>
        </is>
      </c>
      <c r="G176" s="9" t="n"/>
      <c r="H176" s="12" t="n">
        <v>0</v>
      </c>
      <c r="I176" s="12" t="n">
        <v>11.14</v>
      </c>
      <c r="J176" s="12" t="n">
        <v>-4080.29</v>
      </c>
      <c r="K176" s="13" t="inlineStr">
        <is>
          <t>11.06.2025 cc receipts</t>
        </is>
      </c>
    </row>
    <row r="177" ht="15" customHeight="1">
      <c r="A177" s="9" t="inlineStr">
        <is>
          <t>sms-crys</t>
        </is>
      </c>
      <c r="B177" s="9" t="inlineStr">
        <is>
          <t>Storsafe Management Solutions - Crystal Lake</t>
        </is>
      </c>
      <c r="C177" s="10" t="n">
        <v>45969</v>
      </c>
      <c r="D177" s="11" t="n">
        <v>45962</v>
      </c>
      <c r="E177" s="9" t="inlineStr">
        <is>
          <t>11.08.2025 cc receipts</t>
        </is>
      </c>
      <c r="F177" s="9" t="inlineStr">
        <is>
          <t>J-76024</t>
        </is>
      </c>
      <c r="G177" s="9" t="n"/>
      <c r="H177" s="12" t="n">
        <v>0</v>
      </c>
      <c r="I177" s="12" t="n">
        <v>4</v>
      </c>
      <c r="J177" s="12" t="n">
        <v>-4084.29</v>
      </c>
      <c r="K177" s="13" t="inlineStr">
        <is>
          <t>11.08.2025 cc receipts</t>
        </is>
      </c>
    </row>
    <row r="178" ht="15" customHeight="1">
      <c r="A178" s="9" t="inlineStr">
        <is>
          <t>sms-crys</t>
        </is>
      </c>
      <c r="B178" s="9" t="inlineStr">
        <is>
          <t>Storsafe Management Solutions - Crystal Lake</t>
        </is>
      </c>
      <c r="C178" s="10" t="n">
        <v>45971</v>
      </c>
      <c r="D178" s="11" t="n">
        <v>45962</v>
      </c>
      <c r="E178" s="9" t="inlineStr">
        <is>
          <t>Refunds_Edwards, Vincent **6521_Unit P40</t>
        </is>
      </c>
      <c r="F178" s="9" t="inlineStr">
        <is>
          <t>J-76699</t>
        </is>
      </c>
      <c r="G178" s="9" t="n"/>
      <c r="H178" s="12" t="n">
        <v>8.130000000000001</v>
      </c>
      <c r="I178" s="12" t="n">
        <v>0</v>
      </c>
      <c r="J178" s="12" t="n">
        <v>-4076.16</v>
      </c>
      <c r="K178" s="13" t="inlineStr">
        <is>
          <t>Refunds_Edwards, Vincent **6521_Unit P40</t>
        </is>
      </c>
    </row>
    <row r="179" ht="15" customHeight="1">
      <c r="A179" s="9" t="inlineStr">
        <is>
          <t>sms-crys</t>
        </is>
      </c>
      <c r="B179" s="9" t="inlineStr">
        <is>
          <t>Storsafe Management Solutions - Crystal Lake</t>
        </is>
      </c>
      <c r="C179" s="10" t="n">
        <v>45973</v>
      </c>
      <c r="D179" s="11" t="n">
        <v>45962</v>
      </c>
      <c r="E179" s="9" t="inlineStr">
        <is>
          <t>11.12.2025 cc receipts</t>
        </is>
      </c>
      <c r="F179" s="9" t="inlineStr">
        <is>
          <t>J-76142</t>
        </is>
      </c>
      <c r="G179" s="9" t="n"/>
      <c r="H179" s="12" t="n">
        <v>0</v>
      </c>
      <c r="I179" s="12" t="n">
        <v>4</v>
      </c>
      <c r="J179" s="12" t="n">
        <v>-4080.16</v>
      </c>
      <c r="K179" s="13" t="inlineStr">
        <is>
          <t>11.12.2025 cc receipts</t>
        </is>
      </c>
    </row>
    <row r="180" ht="15" customHeight="1">
      <c r="A180" s="9" t="inlineStr">
        <is>
          <t>sms-crys</t>
        </is>
      </c>
      <c r="B180" s="9" t="inlineStr">
        <is>
          <t>Storsafe Management Solutions - Crystal Lake</t>
        </is>
      </c>
      <c r="C180" s="10" t="n">
        <v>45982</v>
      </c>
      <c r="D180" s="11" t="n">
        <v>45962</v>
      </c>
      <c r="E180" s="9" t="inlineStr">
        <is>
          <t>11.21.2025 cc receipts</t>
        </is>
      </c>
      <c r="F180" s="9" t="inlineStr">
        <is>
          <t>J-76309</t>
        </is>
      </c>
      <c r="G180" s="9" t="n"/>
      <c r="H180" s="12" t="n">
        <v>0</v>
      </c>
      <c r="I180" s="12" t="n">
        <v>3</v>
      </c>
      <c r="J180" s="12" t="n">
        <v>-4083.16</v>
      </c>
      <c r="K180" s="13" t="inlineStr">
        <is>
          <t>11.21.2025 cc receipts</t>
        </is>
      </c>
    </row>
    <row r="181" ht="15" customHeight="1">
      <c r="A181" s="9" t="inlineStr">
        <is>
          <t>sms-crys</t>
        </is>
      </c>
      <c r="B181" s="9" t="inlineStr">
        <is>
          <t>Storsafe Management Solutions - Crystal Lake</t>
        </is>
      </c>
      <c r="C181" s="10" t="n">
        <v>45990</v>
      </c>
      <c r="D181" s="11" t="n">
        <v>45962</v>
      </c>
      <c r="E181" s="9" t="inlineStr">
        <is>
          <t>11.29.2025 cc receipts</t>
        </is>
      </c>
      <c r="F181" s="9" t="inlineStr">
        <is>
          <t>J-76478</t>
        </is>
      </c>
      <c r="G181" s="9" t="n"/>
      <c r="H181" s="12" t="n">
        <v>0</v>
      </c>
      <c r="I181" s="12" t="n">
        <v>14.2</v>
      </c>
      <c r="J181" s="12" t="n">
        <v>-4097.36</v>
      </c>
      <c r="K181" s="13" t="inlineStr">
        <is>
          <t>11.29.2025 cc receipts</t>
        </is>
      </c>
    </row>
    <row r="182" ht="15" customHeight="1">
      <c r="A182" s="14" t="n"/>
      <c r="B182" s="14" t="n"/>
      <c r="C182" s="15" t="n"/>
      <c r="D182" s="15" t="n"/>
      <c r="E182" s="16" t="inlineStr">
        <is>
          <t xml:space="preserve">  Net Change=-243.91</t>
        </is>
      </c>
      <c r="F182" s="14" t="n"/>
      <c r="G182" s="14" t="n"/>
      <c r="H182" s="17" t="inlineStr">
        <is>
          <t>8.13</t>
        </is>
      </c>
      <c r="I182" s="17" t="inlineStr">
        <is>
          <t>252.04</t>
        </is>
      </c>
      <c r="J182" s="17" t="inlineStr">
        <is>
          <t xml:space="preserve">  -4,097.36</t>
        </is>
      </c>
      <c r="K182" s="16">
        <f> Ending Balance =</f>
        <v/>
      </c>
    </row>
    <row r="183" ht="15" customHeight="1">
      <c r="A183" s="9" t="n"/>
      <c r="B183" s="9" t="n"/>
      <c r="C183" s="9" t="n"/>
      <c r="D183" s="9" t="n"/>
      <c r="E183" s="9" t="n"/>
      <c r="F183" s="9" t="n"/>
      <c r="G183" s="9" t="n"/>
      <c r="H183" s="18" t="n"/>
      <c r="I183" s="18" t="n"/>
      <c r="J183" s="18" t="n"/>
      <c r="K183" s="9" t="n"/>
    </row>
    <row r="184" ht="15" customHeight="1">
      <c r="A184" s="16" t="inlineStr">
        <is>
          <t>2310-0001</t>
        </is>
      </c>
      <c r="B184" s="14" t="n"/>
      <c r="C184" s="14" t="n"/>
      <c r="D184" s="14" t="n"/>
      <c r="E184" s="16" t="inlineStr">
        <is>
          <t>Sales Tax Payable</t>
        </is>
      </c>
      <c r="F184" s="14" t="n"/>
      <c r="G184" s="14" t="n"/>
      <c r="H184" s="19" t="n"/>
      <c r="I184" s="19" t="n"/>
      <c r="J184" s="20" t="n">
        <v>-1349.74</v>
      </c>
      <c r="K184" s="16">
        <f> Beginning Balance =</f>
        <v/>
      </c>
    </row>
    <row r="185" ht="15" customHeight="1">
      <c r="A185" s="14" t="n"/>
      <c r="B185" s="14" t="n"/>
      <c r="C185" s="15" t="n"/>
      <c r="D185" s="15" t="n"/>
      <c r="E185" s="16" t="inlineStr">
        <is>
          <t xml:space="preserve">  Net Change=0.00</t>
        </is>
      </c>
      <c r="F185" s="14" t="n"/>
      <c r="G185" s="14" t="n"/>
      <c r="H185" s="17" t="inlineStr">
        <is>
          <t>0.00</t>
        </is>
      </c>
      <c r="I185" s="17" t="inlineStr">
        <is>
          <t>0.00</t>
        </is>
      </c>
      <c r="J185" s="17" t="inlineStr">
        <is>
          <t xml:space="preserve">  -1,349.74</t>
        </is>
      </c>
      <c r="K185" s="16">
        <f> Ending Balance =</f>
        <v/>
      </c>
    </row>
    <row r="186" ht="15" customHeight="1">
      <c r="A186" s="9" t="n"/>
      <c r="B186" s="9" t="n"/>
      <c r="C186" s="9" t="n"/>
      <c r="D186" s="9" t="n"/>
      <c r="E186" s="9" t="n"/>
      <c r="F186" s="9" t="n"/>
      <c r="G186" s="9" t="n"/>
      <c r="H186" s="18" t="n"/>
      <c r="I186" s="18" t="n"/>
      <c r="J186" s="18" t="n"/>
      <c r="K186" s="9" t="n"/>
    </row>
    <row r="187" ht="15" customHeight="1">
      <c r="A187" s="16" t="inlineStr">
        <is>
          <t>2640-0998</t>
        </is>
      </c>
      <c r="B187" s="14" t="n"/>
      <c r="C187" s="14" t="n"/>
      <c r="D187" s="14" t="n"/>
      <c r="E187" s="16" t="inlineStr">
        <is>
          <t>Expense Accrual</t>
        </is>
      </c>
      <c r="F187" s="14" t="n"/>
      <c r="G187" s="14" t="n"/>
      <c r="H187" s="19" t="n"/>
      <c r="I187" s="19" t="n"/>
      <c r="J187" s="20" t="n">
        <v>-2760.91</v>
      </c>
      <c r="K187" s="16">
        <f> Beginning Balance =</f>
        <v/>
      </c>
    </row>
    <row r="188" ht="15" customHeight="1">
      <c r="A188" s="9" t="inlineStr">
        <is>
          <t>sms-crys</t>
        </is>
      </c>
      <c r="B188" s="9" t="inlineStr">
        <is>
          <t>Storsafe Management Solutions - Crystal Lake</t>
        </is>
      </c>
      <c r="C188" s="10" t="n">
        <v>45965</v>
      </c>
      <c r="D188" s="11" t="n">
        <v>45962</v>
      </c>
      <c r="E188" s="9" t="inlineStr">
        <is>
          <t>SITELINK SOFTWARE LLC (sitelink)</t>
        </is>
      </c>
      <c r="F188" s="9" t="inlineStr">
        <is>
          <t>P-97232</t>
        </is>
      </c>
      <c r="G188" s="9" t="inlineStr">
        <is>
          <t>1534662</t>
        </is>
      </c>
      <c r="H188" s="12" t="n">
        <v>198.04</v>
      </c>
      <c r="I188" s="12" t="n">
        <v>0</v>
      </c>
      <c r="J188" s="12" t="n">
        <v>-2562.87</v>
      </c>
      <c r="K188" s="13" t="inlineStr">
        <is>
          <t>12/2025 Sitelink Web Edition</t>
        </is>
      </c>
    </row>
    <row r="189" ht="15" customHeight="1">
      <c r="A189" s="9" t="inlineStr">
        <is>
          <t>sms-crys</t>
        </is>
      </c>
      <c r="B189" s="9" t="inlineStr">
        <is>
          <t>Storsafe Management Solutions - Crystal Lake</t>
        </is>
      </c>
      <c r="C189" s="10" t="n">
        <v>45965</v>
      </c>
      <c r="D189" s="11" t="n">
        <v>45962</v>
      </c>
      <c r="E189" s="9" t="inlineStr">
        <is>
          <t>SITELINK SOFTWARE LLC (sitelink)</t>
        </is>
      </c>
      <c r="F189" s="9" t="inlineStr">
        <is>
          <t>P-97232</t>
        </is>
      </c>
      <c r="G189" s="9" t="inlineStr">
        <is>
          <t>1534662</t>
        </is>
      </c>
      <c r="H189" s="12" t="n">
        <v>198.04</v>
      </c>
      <c r="I189" s="12" t="n">
        <v>0</v>
      </c>
      <c r="J189" s="12" t="n">
        <v>-2364.83</v>
      </c>
      <c r="K189" s="13" t="inlineStr">
        <is>
          <t>01/2026 Sitelink Web Edition</t>
        </is>
      </c>
    </row>
    <row r="190" ht="15" customHeight="1">
      <c r="A190" s="9" t="inlineStr">
        <is>
          <t>sms-crys</t>
        </is>
      </c>
      <c r="B190" s="9" t="inlineStr">
        <is>
          <t>Storsafe Management Solutions - Crystal Lake</t>
        </is>
      </c>
      <c r="C190" s="10" t="n">
        <v>45971</v>
      </c>
      <c r="D190" s="11" t="n">
        <v>45962</v>
      </c>
      <c r="E190" s="9" t="inlineStr">
        <is>
          <t>Storsafe Self Storage Management Internet Advertising (sssmia)</t>
        </is>
      </c>
      <c r="F190" s="9" t="inlineStr">
        <is>
          <t>P-97556</t>
        </is>
      </c>
      <c r="G190" s="9" t="inlineStr">
        <is>
          <t>1110GoogleAds.2-CrystalLake</t>
        </is>
      </c>
      <c r="H190" s="12" t="n">
        <v>118.82</v>
      </c>
      <c r="I190" s="12" t="n">
        <v>0</v>
      </c>
      <c r="J190" s="12" t="n">
        <v>-2246.01</v>
      </c>
      <c r="K190" s="13" t="inlineStr">
        <is>
          <t>Oct 16-31 Google Ads.2</t>
        </is>
      </c>
    </row>
    <row r="191" ht="15" customHeight="1">
      <c r="A191" s="9" t="inlineStr">
        <is>
          <t>sms-crys</t>
        </is>
      </c>
      <c r="B191" s="9" t="inlineStr">
        <is>
          <t>Storsafe Management Solutions - Crystal Lake</t>
        </is>
      </c>
      <c r="C191" s="10" t="n">
        <v>45975</v>
      </c>
      <c r="D191" s="11" t="n">
        <v>45962</v>
      </c>
      <c r="E191" s="9" t="inlineStr">
        <is>
          <t>10.2025 CapOne payment</t>
        </is>
      </c>
      <c r="F191" s="9" t="inlineStr">
        <is>
          <t>J-76676</t>
        </is>
      </c>
      <c r="G191" s="9" t="n"/>
      <c r="H191" s="12" t="n">
        <v>673.54</v>
      </c>
      <c r="I191" s="12" t="n">
        <v>0</v>
      </c>
      <c r="J191" s="12" t="n">
        <v>-1572.47</v>
      </c>
      <c r="K191" s="13" t="inlineStr">
        <is>
          <t>10.2025 CapOne payment</t>
        </is>
      </c>
    </row>
    <row r="192" ht="15" customHeight="1">
      <c r="A192" s="9" t="inlineStr">
        <is>
          <t>sms-crys</t>
        </is>
      </c>
      <c r="B192" s="9" t="inlineStr">
        <is>
          <t>Storsafe Management Solutions - Crystal Lake</t>
        </is>
      </c>
      <c r="C192" s="10" t="n">
        <v>45977</v>
      </c>
      <c r="D192" s="11" t="n">
        <v>45962</v>
      </c>
      <c r="E192" s="9" t="inlineStr">
        <is>
          <t>Storsafe Self Storage Management Internet Advertising (sssmia)</t>
        </is>
      </c>
      <c r="F192" s="9" t="inlineStr">
        <is>
          <t>P-98381</t>
        </is>
      </c>
      <c r="G192" s="9" t="inlineStr">
        <is>
          <t>11.2025 Google Ads.2 SMSCrystal Lake</t>
        </is>
      </c>
      <c r="H192" s="12" t="n">
        <v>105.06</v>
      </c>
      <c r="I192" s="12" t="n">
        <v>0</v>
      </c>
      <c r="J192" s="12" t="n">
        <v>-1467.41</v>
      </c>
      <c r="K192" s="13" t="inlineStr">
        <is>
          <t>11.2025 Google Ads.2</t>
        </is>
      </c>
    </row>
    <row r="193" ht="15" customHeight="1">
      <c r="A193" s="9" t="inlineStr">
        <is>
          <t>sms-crys</t>
        </is>
      </c>
      <c r="B193" s="9" t="inlineStr">
        <is>
          <t>Storsafe Management Solutions - Crystal Lake</t>
        </is>
      </c>
      <c r="C193" s="10" t="n">
        <v>45978</v>
      </c>
      <c r="D193" s="11" t="n">
        <v>45962</v>
      </c>
      <c r="E193" s="9" t="inlineStr">
        <is>
          <t>Storsafe Self Storage Management Internet Advertising (sssmia)</t>
        </is>
      </c>
      <c r="F193" s="9" t="inlineStr">
        <is>
          <t>P-97831</t>
        </is>
      </c>
      <c r="G193" s="9" t="inlineStr">
        <is>
          <t>11.2025 Google Ads.1 SMSCrystal Lake</t>
        </is>
      </c>
      <c r="H193" s="12" t="n">
        <v>113.45</v>
      </c>
      <c r="I193" s="12" t="n">
        <v>0</v>
      </c>
      <c r="J193" s="12" t="n">
        <v>-1353.96</v>
      </c>
      <c r="K193" s="13" t="inlineStr">
        <is>
          <t>11.2025 Google Ads.1</t>
        </is>
      </c>
    </row>
    <row r="194" ht="15" customHeight="1">
      <c r="A194" s="9" t="inlineStr">
        <is>
          <t>sms-crys</t>
        </is>
      </c>
      <c r="B194" s="9" t="inlineStr">
        <is>
          <t>Storsafe Management Solutions - Crystal Lake</t>
        </is>
      </c>
      <c r="C194" s="10" t="n">
        <v>45991</v>
      </c>
      <c r="D194" s="11" t="n">
        <v>45962</v>
      </c>
      <c r="E194" s="9" t="inlineStr">
        <is>
          <t>11.2025 CapOne - SMS Crystal Lake</t>
        </is>
      </c>
      <c r="F194" s="9" t="inlineStr">
        <is>
          <t>J-76834</t>
        </is>
      </c>
      <c r="G194" s="9" t="n"/>
      <c r="H194" s="12" t="n">
        <v>0</v>
      </c>
      <c r="I194" s="12" t="n">
        <v>195.43</v>
      </c>
      <c r="J194" s="12" t="n">
        <v>-1549.39</v>
      </c>
      <c r="K194" s="13" t="inlineStr">
        <is>
          <t>11.2025 CapOne - SMS Crystal Lake</t>
        </is>
      </c>
    </row>
    <row r="195" ht="15" customHeight="1">
      <c r="A195" s="14" t="n"/>
      <c r="B195" s="14" t="n"/>
      <c r="C195" s="15" t="n"/>
      <c r="D195" s="15" t="n"/>
      <c r="E195" s="16" t="inlineStr">
        <is>
          <t xml:space="preserve">  Net Change=1,211.52</t>
        </is>
      </c>
      <c r="F195" s="14" t="n"/>
      <c r="G195" s="14" t="n"/>
      <c r="H195" s="17" t="inlineStr">
        <is>
          <t>1,406.95</t>
        </is>
      </c>
      <c r="I195" s="17" t="inlineStr">
        <is>
          <t>195.43</t>
        </is>
      </c>
      <c r="J195" s="17" t="inlineStr">
        <is>
          <t xml:space="preserve">  -1,549.39</t>
        </is>
      </c>
      <c r="K195" s="16">
        <f> Ending Balance =</f>
        <v/>
      </c>
    </row>
    <row r="196" ht="15" customHeight="1">
      <c r="A196" s="9" t="n"/>
      <c r="B196" s="9" t="n"/>
      <c r="C196" s="9" t="n"/>
      <c r="D196" s="9" t="n"/>
      <c r="E196" s="9" t="n"/>
      <c r="F196" s="9" t="n"/>
      <c r="G196" s="9" t="n"/>
      <c r="H196" s="18" t="n"/>
      <c r="I196" s="18" t="n"/>
      <c r="J196" s="18" t="n"/>
      <c r="K196" s="9" t="n"/>
    </row>
    <row r="197" ht="15" customHeight="1">
      <c r="A197" s="16" t="inlineStr">
        <is>
          <t>2640-0999</t>
        </is>
      </c>
      <c r="B197" s="14" t="n"/>
      <c r="C197" s="14" t="n"/>
      <c r="D197" s="14" t="n"/>
      <c r="E197" s="16" t="inlineStr">
        <is>
          <t>Payroll Accrual</t>
        </is>
      </c>
      <c r="F197" s="14" t="n"/>
      <c r="G197" s="14" t="n"/>
      <c r="H197" s="19" t="n"/>
      <c r="I197" s="19" t="n"/>
      <c r="J197" s="20" t="n">
        <v>13.74</v>
      </c>
      <c r="K197" s="16">
        <f> Beginning Balance =</f>
        <v/>
      </c>
    </row>
    <row r="198" ht="15" customHeight="1">
      <c r="A198" s="9" t="inlineStr">
        <is>
          <t>sms-crys</t>
        </is>
      </c>
      <c r="B198" s="9" t="inlineStr">
        <is>
          <t>Storsafe Management Solutions - Crystal Lake</t>
        </is>
      </c>
      <c r="C198" s="10" t="n">
        <v>45962</v>
      </c>
      <c r="D198" s="11" t="n">
        <v>45962</v>
      </c>
      <c r="E198" s="9" t="inlineStr">
        <is>
          <t>:Reversal of J-75839</t>
        </is>
      </c>
      <c r="F198" s="9" t="inlineStr">
        <is>
          <t>J-75840</t>
        </is>
      </c>
      <c r="G198" s="9" t="inlineStr">
        <is>
          <t>:Reversal of J-75839</t>
        </is>
      </c>
      <c r="H198" s="12" t="n">
        <v>0</v>
      </c>
      <c r="I198" s="12" t="n">
        <v>13.74</v>
      </c>
      <c r="J198" s="12" t="n">
        <v>0</v>
      </c>
      <c r="K198" s="13" t="inlineStr">
        <is>
          <t>Adj 11/1 from 10.2025 payroll expense</t>
        </is>
      </c>
    </row>
    <row r="199" ht="15" customHeight="1">
      <c r="A199" s="9" t="inlineStr">
        <is>
          <t>sms-crys</t>
        </is>
      </c>
      <c r="B199" s="9" t="inlineStr">
        <is>
          <t>Storsafe Management Solutions - Crystal Lake</t>
        </is>
      </c>
      <c r="C199" s="10" t="n">
        <v>45991</v>
      </c>
      <c r="D199" s="11" t="n">
        <v>45962</v>
      </c>
      <c r="E199" s="9" t="inlineStr">
        <is>
          <t>11.30.2025 payroll accrual</t>
        </is>
      </c>
      <c r="F199" s="9" t="inlineStr">
        <is>
          <t>J-76878</t>
        </is>
      </c>
      <c r="G199" s="9" t="n"/>
      <c r="H199" s="12" t="n">
        <v>0</v>
      </c>
      <c r="I199" s="12" t="n">
        <v>13.74</v>
      </c>
      <c r="J199" s="12" t="n">
        <v>-13.74</v>
      </c>
      <c r="K199" s="13" t="inlineStr">
        <is>
          <t>11.30.2025 payroll accrual</t>
        </is>
      </c>
    </row>
    <row r="200" ht="15" customHeight="1">
      <c r="A200" s="14" t="n"/>
      <c r="B200" s="14" t="n"/>
      <c r="C200" s="15" t="n"/>
      <c r="D200" s="15" t="n"/>
      <c r="E200" s="16" t="inlineStr">
        <is>
          <t xml:space="preserve">  Net Change=-27.48</t>
        </is>
      </c>
      <c r="F200" s="14" t="n"/>
      <c r="G200" s="14" t="n"/>
      <c r="H200" s="17" t="inlineStr">
        <is>
          <t>0.00</t>
        </is>
      </c>
      <c r="I200" s="17" t="inlineStr">
        <is>
          <t>27.48</t>
        </is>
      </c>
      <c r="J200" s="17" t="inlineStr">
        <is>
          <t xml:space="preserve">  -13.74</t>
        </is>
      </c>
      <c r="K200" s="16">
        <f> Ending Balance =</f>
        <v/>
      </c>
    </row>
    <row r="201" ht="15" customHeight="1">
      <c r="A201" s="9" t="n"/>
      <c r="B201" s="9" t="n"/>
      <c r="C201" s="9" t="n"/>
      <c r="D201" s="9" t="n"/>
      <c r="E201" s="9" t="n"/>
      <c r="F201" s="9" t="n"/>
      <c r="G201" s="9" t="n"/>
      <c r="H201" s="18" t="n"/>
      <c r="I201" s="18" t="n"/>
      <c r="J201" s="18" t="n"/>
      <c r="K201" s="9" t="n"/>
    </row>
    <row r="202" ht="15" customHeight="1">
      <c r="A202" s="16" t="inlineStr">
        <is>
          <t>3091-1000</t>
        </is>
      </c>
      <c r="B202" s="14" t="n"/>
      <c r="C202" s="14" t="n"/>
      <c r="D202" s="14" t="n"/>
      <c r="E202" s="16" t="inlineStr">
        <is>
          <t>Owner Contribution</t>
        </is>
      </c>
      <c r="F202" s="14" t="n"/>
      <c r="G202" s="14" t="n"/>
      <c r="H202" s="19" t="n"/>
      <c r="I202" s="19" t="n"/>
      <c r="J202" s="20" t="n">
        <v>-25996.58</v>
      </c>
      <c r="K202" s="16">
        <f> Beginning Balance =</f>
        <v/>
      </c>
    </row>
    <row r="203" ht="15" customHeight="1">
      <c r="A203" s="14" t="n"/>
      <c r="B203" s="14" t="n"/>
      <c r="C203" s="15" t="n"/>
      <c r="D203" s="15" t="n"/>
      <c r="E203" s="16" t="inlineStr">
        <is>
          <t xml:space="preserve">  Net Change=0.00</t>
        </is>
      </c>
      <c r="F203" s="14" t="n"/>
      <c r="G203" s="14" t="n"/>
      <c r="H203" s="17" t="inlineStr">
        <is>
          <t>0.00</t>
        </is>
      </c>
      <c r="I203" s="17" t="inlineStr">
        <is>
          <t>0.00</t>
        </is>
      </c>
      <c r="J203" s="17" t="inlineStr">
        <is>
          <t xml:space="preserve">  -25,996.58</t>
        </is>
      </c>
      <c r="K203" s="16">
        <f> Ending Balance =</f>
        <v/>
      </c>
    </row>
    <row r="204" ht="15" customHeight="1">
      <c r="A204" s="9" t="n"/>
      <c r="B204" s="9" t="n"/>
      <c r="C204" s="9" t="n"/>
      <c r="D204" s="9" t="n"/>
      <c r="E204" s="9" t="n"/>
      <c r="F204" s="9" t="n"/>
      <c r="G204" s="9" t="n"/>
      <c r="H204" s="18" t="n"/>
      <c r="I204" s="18" t="n"/>
      <c r="J204" s="18" t="n"/>
      <c r="K204" s="9" t="n"/>
    </row>
    <row r="205" ht="15" customHeight="1">
      <c r="A205" s="16" t="inlineStr">
        <is>
          <t>3300-0000</t>
        </is>
      </c>
      <c r="B205" s="14" t="n"/>
      <c r="C205" s="14" t="n"/>
      <c r="D205" s="14" t="n"/>
      <c r="E205" s="16" t="inlineStr">
        <is>
          <t>Owner Distributions</t>
        </is>
      </c>
      <c r="F205" s="14" t="n"/>
      <c r="G205" s="14" t="n"/>
      <c r="H205" s="19" t="n"/>
      <c r="I205" s="19" t="n"/>
      <c r="J205" s="20" t="n">
        <v>196921.78</v>
      </c>
      <c r="K205" s="16">
        <f> Beginning Balance =</f>
        <v/>
      </c>
    </row>
    <row r="206" ht="15" customHeight="1">
      <c r="A206" s="9" t="inlineStr">
        <is>
          <t>sms-crys</t>
        </is>
      </c>
      <c r="B206" s="9" t="inlineStr">
        <is>
          <t>Storsafe Management Solutions - Crystal Lake</t>
        </is>
      </c>
      <c r="C206" s="10" t="n">
        <v>45987</v>
      </c>
      <c r="D206" s="11" t="n">
        <v>45962</v>
      </c>
      <c r="E206" s="9" t="inlineStr">
        <is>
          <t>Owner Distributions</t>
        </is>
      </c>
      <c r="F206" s="9" t="inlineStr">
        <is>
          <t>J-76709</t>
        </is>
      </c>
      <c r="G206" s="9" t="n"/>
      <c r="H206" s="12" t="n">
        <v>15427.82</v>
      </c>
      <c r="I206" s="12" t="n">
        <v>0</v>
      </c>
      <c r="J206" s="12" t="n">
        <v>212349.6</v>
      </c>
      <c r="K206" s="13" t="inlineStr">
        <is>
          <t>Owner Distributions</t>
        </is>
      </c>
    </row>
    <row r="207" ht="15" customHeight="1">
      <c r="A207" s="14" t="n"/>
      <c r="B207" s="14" t="n"/>
      <c r="C207" s="15" t="n"/>
      <c r="D207" s="15" t="n"/>
      <c r="E207" s="16" t="inlineStr">
        <is>
          <t xml:space="preserve">  Net Change=15,427.82</t>
        </is>
      </c>
      <c r="F207" s="14" t="n"/>
      <c r="G207" s="14" t="n"/>
      <c r="H207" s="17" t="inlineStr">
        <is>
          <t>15,427.82</t>
        </is>
      </c>
      <c r="I207" s="17" t="inlineStr">
        <is>
          <t>0.00</t>
        </is>
      </c>
      <c r="J207" s="17" t="inlineStr">
        <is>
          <t xml:space="preserve">  212,349.60</t>
        </is>
      </c>
      <c r="K207" s="16">
        <f> Ending Balance =</f>
        <v/>
      </c>
    </row>
    <row r="208" ht="15" customHeight="1">
      <c r="A208" s="9" t="n"/>
      <c r="B208" s="9" t="n"/>
      <c r="C208" s="9" t="n"/>
      <c r="D208" s="9" t="n"/>
      <c r="E208" s="9" t="n"/>
      <c r="F208" s="9" t="n"/>
      <c r="G208" s="9" t="n"/>
      <c r="H208" s="18" t="n"/>
      <c r="I208" s="18" t="n"/>
      <c r="J208" s="18" t="n"/>
      <c r="K208" s="9" t="n"/>
    </row>
    <row r="209" ht="15" customHeight="1">
      <c r="A209" s="16" t="inlineStr">
        <is>
          <t>3800-0000</t>
        </is>
      </c>
      <c r="B209" s="14" t="n"/>
      <c r="C209" s="14" t="n"/>
      <c r="D209" s="14" t="n"/>
      <c r="E209" s="16" t="inlineStr">
        <is>
          <t>Retained Earnings</t>
        </is>
      </c>
      <c r="F209" s="14" t="n"/>
      <c r="G209" s="14" t="n"/>
      <c r="H209" s="19" t="n"/>
      <c r="I209" s="19" t="n"/>
      <c r="J209" s="20" t="n">
        <v>-103089.41</v>
      </c>
      <c r="K209" s="16">
        <f> Beginning Balance =</f>
        <v/>
      </c>
    </row>
    <row r="210" ht="15" customHeight="1">
      <c r="A210" s="14" t="n"/>
      <c r="B210" s="14" t="n"/>
      <c r="C210" s="15" t="n"/>
      <c r="D210" s="15" t="n"/>
      <c r="E210" s="16" t="inlineStr">
        <is>
          <t xml:space="preserve">  Net Change=0.00</t>
        </is>
      </c>
      <c r="F210" s="14" t="n"/>
      <c r="G210" s="14" t="n"/>
      <c r="H210" s="17" t="inlineStr">
        <is>
          <t>0.00</t>
        </is>
      </c>
      <c r="I210" s="17" t="inlineStr">
        <is>
          <t>0.00</t>
        </is>
      </c>
      <c r="J210" s="17" t="inlineStr">
        <is>
          <t xml:space="preserve">  -103,089.41</t>
        </is>
      </c>
      <c r="K210" s="16">
        <f> Ending Balance =</f>
        <v/>
      </c>
    </row>
    <row r="211" ht="15" customHeight="1">
      <c r="A211" s="9" t="n"/>
      <c r="B211" s="9" t="n"/>
      <c r="C211" s="9" t="n"/>
      <c r="D211" s="9" t="n"/>
      <c r="E211" s="9" t="n"/>
      <c r="F211" s="9" t="n"/>
      <c r="G211" s="9" t="n"/>
      <c r="H211" s="18" t="n"/>
      <c r="I211" s="18" t="n"/>
      <c r="J211" s="18" t="n"/>
      <c r="K211" s="9" t="n"/>
    </row>
    <row r="212" ht="15" customHeight="1">
      <c r="A212" s="16" t="inlineStr">
        <is>
          <t>4500-1001</t>
        </is>
      </c>
      <c r="B212" s="14" t="n"/>
      <c r="C212" s="14" t="n"/>
      <c r="D212" s="14" t="n"/>
      <c r="E212" s="16" t="inlineStr">
        <is>
          <t>Storage Rent</t>
        </is>
      </c>
      <c r="F212" s="14" t="n"/>
      <c r="G212" s="14" t="n"/>
      <c r="H212" s="19" t="n"/>
      <c r="I212" s="19" t="n"/>
      <c r="J212" s="20" t="n">
        <v>-308295.89</v>
      </c>
      <c r="K212" s="16">
        <f> Beginning Balance =</f>
        <v/>
      </c>
    </row>
    <row r="213" ht="15" customHeight="1">
      <c r="A213" s="9" t="inlineStr">
        <is>
          <t>sms-crys</t>
        </is>
      </c>
      <c r="B213" s="9" t="inlineStr">
        <is>
          <t>Storsafe Management Solutions - Crystal Lake</t>
        </is>
      </c>
      <c r="C213" s="10" t="n">
        <v>45962</v>
      </c>
      <c r="D213" s="11" t="n">
        <v>45962</v>
      </c>
      <c r="E213" s="9" t="inlineStr">
        <is>
          <t>11.01.2025 ACH debit</t>
        </is>
      </c>
      <c r="F213" s="9" t="inlineStr">
        <is>
          <t>J-75693</t>
        </is>
      </c>
      <c r="G213" s="9" t="n"/>
      <c r="H213" s="12" t="n">
        <v>0</v>
      </c>
      <c r="I213" s="12" t="n">
        <v>1738</v>
      </c>
      <c r="J213" s="12" t="n">
        <v>-310033.89</v>
      </c>
      <c r="K213" s="13" t="inlineStr">
        <is>
          <t>11.01.2025 ACH debit</t>
        </is>
      </c>
    </row>
    <row r="214" ht="15" customHeight="1">
      <c r="A214" s="9" t="inlineStr">
        <is>
          <t>sms-crys</t>
        </is>
      </c>
      <c r="B214" s="9" t="inlineStr">
        <is>
          <t>Storsafe Management Solutions - Crystal Lake</t>
        </is>
      </c>
      <c r="C214" s="10" t="n">
        <v>45962</v>
      </c>
      <c r="D214" s="11" t="n">
        <v>45962</v>
      </c>
      <c r="E214" s="9" t="inlineStr">
        <is>
          <t>11.01.2025 cc receipts</t>
        </is>
      </c>
      <c r="F214" s="9" t="inlineStr">
        <is>
          <t>J-75694</t>
        </is>
      </c>
      <c r="G214" s="9" t="n"/>
      <c r="H214" s="12" t="n">
        <v>0</v>
      </c>
      <c r="I214" s="12" t="n">
        <v>21568.72</v>
      </c>
      <c r="J214" s="12" t="n">
        <v>-331602.61</v>
      </c>
      <c r="K214" s="13" t="inlineStr">
        <is>
          <t>11.01.2025 cc receipts</t>
        </is>
      </c>
    </row>
    <row r="215" ht="15" customHeight="1">
      <c r="A215" s="9" t="inlineStr">
        <is>
          <t>sms-crys</t>
        </is>
      </c>
      <c r="B215" s="9" t="inlineStr">
        <is>
          <t>Storsafe Management Solutions - Crystal Lake</t>
        </is>
      </c>
      <c r="C215" s="10" t="n">
        <v>45963</v>
      </c>
      <c r="D215" s="11" t="n">
        <v>45962</v>
      </c>
      <c r="E215" s="9" t="inlineStr">
        <is>
          <t>11.02.2025 cc receipts</t>
        </is>
      </c>
      <c r="F215" s="9" t="inlineStr">
        <is>
          <t>J-75722</t>
        </is>
      </c>
      <c r="G215" s="9" t="n"/>
      <c r="H215" s="12" t="n">
        <v>0</v>
      </c>
      <c r="I215" s="12" t="n">
        <v>1864</v>
      </c>
      <c r="J215" s="12" t="n">
        <v>-333466.61</v>
      </c>
      <c r="K215" s="13" t="inlineStr">
        <is>
          <t>11.02.2025 cc receipts</t>
        </is>
      </c>
    </row>
    <row r="216" ht="15" customHeight="1">
      <c r="A216" s="9" t="inlineStr">
        <is>
          <t>sms-crys</t>
        </is>
      </c>
      <c r="B216" s="9" t="inlineStr">
        <is>
          <t>Storsafe Management Solutions - Crystal Lake</t>
        </is>
      </c>
      <c r="C216" s="10" t="n">
        <v>45964</v>
      </c>
      <c r="D216" s="11" t="n">
        <v>45962</v>
      </c>
      <c r="E216" s="9" t="inlineStr">
        <is>
          <t>11.03.2025 cc receipts</t>
        </is>
      </c>
      <c r="F216" s="9" t="inlineStr">
        <is>
          <t>J-75749</t>
        </is>
      </c>
      <c r="G216" s="9" t="n"/>
      <c r="H216" s="12" t="n">
        <v>0</v>
      </c>
      <c r="I216" s="12" t="n">
        <v>226</v>
      </c>
      <c r="J216" s="12" t="n">
        <v>-333692.61</v>
      </c>
      <c r="K216" s="13" t="inlineStr">
        <is>
          <t>11.03.2025 cc receipts</t>
        </is>
      </c>
    </row>
    <row r="217" ht="15" customHeight="1">
      <c r="A217" s="9" t="inlineStr">
        <is>
          <t>sms-crys</t>
        </is>
      </c>
      <c r="B217" s="9" t="inlineStr">
        <is>
          <t>Storsafe Management Solutions - Crystal Lake</t>
        </is>
      </c>
      <c r="C217" s="10" t="n">
        <v>45965</v>
      </c>
      <c r="D217" s="11" t="n">
        <v>45962</v>
      </c>
      <c r="E217" s="9" t="inlineStr">
        <is>
          <t>11.04.2025 cc receipts</t>
        </is>
      </c>
      <c r="F217" s="9" t="inlineStr">
        <is>
          <t>J-75787</t>
        </is>
      </c>
      <c r="G217" s="9" t="n"/>
      <c r="H217" s="12" t="n">
        <v>0</v>
      </c>
      <c r="I217" s="12" t="n">
        <v>61</v>
      </c>
      <c r="J217" s="12" t="n">
        <v>-333753.61</v>
      </c>
      <c r="K217" s="13" t="inlineStr">
        <is>
          <t>11.04.2025 cc receipts</t>
        </is>
      </c>
    </row>
    <row r="218" ht="15" customHeight="1">
      <c r="A218" s="9" t="inlineStr">
        <is>
          <t>sms-crys</t>
        </is>
      </c>
      <c r="B218" s="9" t="inlineStr">
        <is>
          <t>Storsafe Management Solutions - Crystal Lake</t>
        </is>
      </c>
      <c r="C218" s="10" t="n">
        <v>45966</v>
      </c>
      <c r="D218" s="11" t="n">
        <v>45962</v>
      </c>
      <c r="E218" s="9" t="inlineStr">
        <is>
          <t>11.05.2025 cc receipts</t>
        </is>
      </c>
      <c r="F218" s="9" t="inlineStr">
        <is>
          <t>J-75953</t>
        </is>
      </c>
      <c r="G218" s="9" t="n"/>
      <c r="H218" s="12" t="n">
        <v>0</v>
      </c>
      <c r="I218" s="12" t="n">
        <v>580</v>
      </c>
      <c r="J218" s="12" t="n">
        <v>-334333.61</v>
      </c>
      <c r="K218" s="13" t="inlineStr">
        <is>
          <t>11.05.2025 cc receipts</t>
        </is>
      </c>
    </row>
    <row r="219" ht="15" customHeight="1">
      <c r="A219" s="9" t="inlineStr">
        <is>
          <t>sms-crys</t>
        </is>
      </c>
      <c r="B219" s="9" t="inlineStr">
        <is>
          <t>Storsafe Management Solutions - Crystal Lake</t>
        </is>
      </c>
      <c r="C219" s="10" t="n">
        <v>45967</v>
      </c>
      <c r="D219" s="11" t="n">
        <v>45962</v>
      </c>
      <c r="E219" s="9" t="inlineStr">
        <is>
          <t>11.06.2025 cc receipts</t>
        </is>
      </c>
      <c r="F219" s="9" t="inlineStr">
        <is>
          <t>J-75978</t>
        </is>
      </c>
      <c r="G219" s="9" t="n"/>
      <c r="H219" s="12" t="n">
        <v>0</v>
      </c>
      <c r="I219" s="12" t="n">
        <v>1023.8</v>
      </c>
      <c r="J219" s="12" t="n">
        <v>-335357.41</v>
      </c>
      <c r="K219" s="13" t="inlineStr">
        <is>
          <t>11.06.2025 cc receipts</t>
        </is>
      </c>
    </row>
    <row r="220" ht="15" customHeight="1">
      <c r="A220" s="9" t="inlineStr">
        <is>
          <t>sms-crys</t>
        </is>
      </c>
      <c r="B220" s="9" t="inlineStr">
        <is>
          <t>Storsafe Management Solutions - Crystal Lake</t>
        </is>
      </c>
      <c r="C220" s="10" t="n">
        <v>45969</v>
      </c>
      <c r="D220" s="11" t="n">
        <v>45962</v>
      </c>
      <c r="E220" s="9" t="inlineStr">
        <is>
          <t>11.08.2025 cc receipts</t>
        </is>
      </c>
      <c r="F220" s="9" t="inlineStr">
        <is>
          <t>J-76024</t>
        </is>
      </c>
      <c r="G220" s="9" t="n"/>
      <c r="H220" s="12" t="n">
        <v>0</v>
      </c>
      <c r="I220" s="12" t="n">
        <v>49</v>
      </c>
      <c r="J220" s="12" t="n">
        <v>-335406.41</v>
      </c>
      <c r="K220" s="13" t="inlineStr">
        <is>
          <t>11.08.2025 cc receipts</t>
        </is>
      </c>
    </row>
    <row r="221" ht="15" customHeight="1">
      <c r="A221" s="9" t="inlineStr">
        <is>
          <t>sms-crys</t>
        </is>
      </c>
      <c r="B221" s="9" t="inlineStr">
        <is>
          <t>Storsafe Management Solutions - Crystal Lake</t>
        </is>
      </c>
      <c r="C221" s="10" t="n">
        <v>45970</v>
      </c>
      <c r="D221" s="11" t="n">
        <v>45962</v>
      </c>
      <c r="E221" s="9" t="inlineStr">
        <is>
          <t>11.09.2025 cc receipts</t>
        </is>
      </c>
      <c r="F221" s="9" t="inlineStr">
        <is>
          <t>J-76040</t>
        </is>
      </c>
      <c r="G221" s="9" t="n"/>
      <c r="H221" s="12" t="n">
        <v>0</v>
      </c>
      <c r="I221" s="12" t="n">
        <v>244</v>
      </c>
      <c r="J221" s="12" t="n">
        <v>-335650.41</v>
      </c>
      <c r="K221" s="13" t="inlineStr">
        <is>
          <t>11.09.2025 cc receipts</t>
        </is>
      </c>
    </row>
    <row r="222" ht="15" customHeight="1">
      <c r="A222" s="9" t="inlineStr">
        <is>
          <t>sms-crys</t>
        </is>
      </c>
      <c r="B222" s="9" t="inlineStr">
        <is>
          <t>Storsafe Management Solutions - Crystal Lake</t>
        </is>
      </c>
      <c r="C222" s="10" t="n">
        <v>45971</v>
      </c>
      <c r="D222" s="11" t="n">
        <v>45962</v>
      </c>
      <c r="E222" s="9" t="inlineStr">
        <is>
          <t>11.10.2025 cc receipts</t>
        </is>
      </c>
      <c r="F222" s="9" t="inlineStr">
        <is>
          <t>J-76103</t>
        </is>
      </c>
      <c r="G222" s="9" t="n"/>
      <c r="H222" s="12" t="n">
        <v>0</v>
      </c>
      <c r="I222" s="12" t="n">
        <v>178</v>
      </c>
      <c r="J222" s="12" t="n">
        <v>-335828.41</v>
      </c>
      <c r="K222" s="13" t="inlineStr">
        <is>
          <t>11.10.2025 cc receipts</t>
        </is>
      </c>
    </row>
    <row r="223" ht="15" customHeight="1">
      <c r="A223" s="9" t="inlineStr">
        <is>
          <t>sms-crys</t>
        </is>
      </c>
      <c r="B223" s="9" t="inlineStr">
        <is>
          <t>Storsafe Management Solutions - Crystal Lake</t>
        </is>
      </c>
      <c r="C223" s="10" t="n">
        <v>45971</v>
      </c>
      <c r="D223" s="11" t="n">
        <v>45962</v>
      </c>
      <c r="E223" s="9" t="inlineStr">
        <is>
          <t>Refunds_Edwards, Vincent **6521_Unit P40</t>
        </is>
      </c>
      <c r="F223" s="9" t="inlineStr">
        <is>
          <t>J-76699</t>
        </is>
      </c>
      <c r="G223" s="9" t="n"/>
      <c r="H223" s="12" t="n">
        <v>85</v>
      </c>
      <c r="I223" s="12" t="n">
        <v>0</v>
      </c>
      <c r="J223" s="12" t="n">
        <v>-335743.41</v>
      </c>
      <c r="K223" s="13" t="inlineStr">
        <is>
          <t>Refunds_Edwards, Vincent **6521_Unit P40</t>
        </is>
      </c>
    </row>
    <row r="224" ht="15" customHeight="1">
      <c r="A224" s="9" t="inlineStr">
        <is>
          <t>sms-crys</t>
        </is>
      </c>
      <c r="B224" s="9" t="inlineStr">
        <is>
          <t>Storsafe Management Solutions - Crystal Lake</t>
        </is>
      </c>
      <c r="C224" s="10" t="n">
        <v>45972</v>
      </c>
      <c r="D224" s="11" t="n">
        <v>45962</v>
      </c>
      <c r="E224" s="9" t="inlineStr">
        <is>
          <t>11.11.2025 cc receipts</t>
        </is>
      </c>
      <c r="F224" s="9" t="inlineStr">
        <is>
          <t>J-76118</t>
        </is>
      </c>
      <c r="G224" s="9" t="n"/>
      <c r="H224" s="12" t="n">
        <v>0</v>
      </c>
      <c r="I224" s="12" t="n">
        <v>372</v>
      </c>
      <c r="J224" s="12" t="n">
        <v>-336115.41</v>
      </c>
      <c r="K224" s="13" t="inlineStr">
        <is>
          <t>11.11.2025 cc receipts</t>
        </is>
      </c>
    </row>
    <row r="225" ht="15" customHeight="1">
      <c r="A225" s="9" t="inlineStr">
        <is>
          <t>sms-crys</t>
        </is>
      </c>
      <c r="B225" s="9" t="inlineStr">
        <is>
          <t>Storsafe Management Solutions - Crystal Lake</t>
        </is>
      </c>
      <c r="C225" s="10" t="n">
        <v>45973</v>
      </c>
      <c r="D225" s="11" t="n">
        <v>45962</v>
      </c>
      <c r="E225" s="9" t="inlineStr">
        <is>
          <t>11.12.2025 ACH debit</t>
        </is>
      </c>
      <c r="F225" s="9" t="inlineStr">
        <is>
          <t>J-76141</t>
        </is>
      </c>
      <c r="G225" s="9" t="n"/>
      <c r="H225" s="12" t="n">
        <v>0</v>
      </c>
      <c r="I225" s="12" t="n">
        <v>707</v>
      </c>
      <c r="J225" s="12" t="n">
        <v>-336822.41</v>
      </c>
      <c r="K225" s="13" t="inlineStr">
        <is>
          <t>11.12.2025 ACH debit</t>
        </is>
      </c>
    </row>
    <row r="226" ht="15" customHeight="1">
      <c r="A226" s="9" t="inlineStr">
        <is>
          <t>sms-crys</t>
        </is>
      </c>
      <c r="B226" s="9" t="inlineStr">
        <is>
          <t>Storsafe Management Solutions - Crystal Lake</t>
        </is>
      </c>
      <c r="C226" s="10" t="n">
        <v>45973</v>
      </c>
      <c r="D226" s="11" t="n">
        <v>45962</v>
      </c>
      <c r="E226" s="9" t="inlineStr">
        <is>
          <t>11.12.2025 cc receipts</t>
        </is>
      </c>
      <c r="F226" s="9" t="inlineStr">
        <is>
          <t>J-76142</t>
        </is>
      </c>
      <c r="G226" s="9" t="n"/>
      <c r="H226" s="12" t="n">
        <v>0</v>
      </c>
      <c r="I226" s="12" t="n">
        <v>39</v>
      </c>
      <c r="J226" s="12" t="n">
        <v>-336861.41</v>
      </c>
      <c r="K226" s="13" t="inlineStr">
        <is>
          <t>11.12.2025 cc receipts</t>
        </is>
      </c>
    </row>
    <row r="227" ht="15" customHeight="1">
      <c r="A227" s="9" t="inlineStr">
        <is>
          <t>sms-crys</t>
        </is>
      </c>
      <c r="B227" s="9" t="inlineStr">
        <is>
          <t>Storsafe Management Solutions - Crystal Lake</t>
        </is>
      </c>
      <c r="C227" s="10" t="n">
        <v>45977</v>
      </c>
      <c r="D227" s="11" t="n">
        <v>45962</v>
      </c>
      <c r="E227" s="9" t="inlineStr">
        <is>
          <t>11.16.2025 ACH debit</t>
        </is>
      </c>
      <c r="F227" s="9" t="inlineStr">
        <is>
          <t>J-76221</t>
        </is>
      </c>
      <c r="G227" s="9" t="n"/>
      <c r="H227" s="12" t="n">
        <v>0</v>
      </c>
      <c r="I227" s="12" t="n">
        <v>184</v>
      </c>
      <c r="J227" s="12" t="n">
        <v>-337045.41</v>
      </c>
      <c r="K227" s="13" t="inlineStr">
        <is>
          <t>11.16.2025 ACH debit</t>
        </is>
      </c>
    </row>
    <row r="228" ht="15" customHeight="1">
      <c r="A228" s="9" t="inlineStr">
        <is>
          <t>sms-crys</t>
        </is>
      </c>
      <c r="B228" s="9" t="inlineStr">
        <is>
          <t>Storsafe Management Solutions - Crystal Lake</t>
        </is>
      </c>
      <c r="C228" s="10" t="n">
        <v>45982</v>
      </c>
      <c r="D228" s="11" t="n">
        <v>45962</v>
      </c>
      <c r="E228" s="9" t="inlineStr">
        <is>
          <t>11.21.2025 cc receipts</t>
        </is>
      </c>
      <c r="F228" s="9" t="inlineStr">
        <is>
          <t>J-76309</t>
        </is>
      </c>
      <c r="G228" s="9" t="n"/>
      <c r="H228" s="12" t="n">
        <v>0</v>
      </c>
      <c r="I228" s="12" t="n">
        <v>28</v>
      </c>
      <c r="J228" s="12" t="n">
        <v>-337073.41</v>
      </c>
      <c r="K228" s="13" t="inlineStr">
        <is>
          <t>11.21.2025 cc receipts</t>
        </is>
      </c>
    </row>
    <row r="229" ht="15" customHeight="1">
      <c r="A229" s="9" t="inlineStr">
        <is>
          <t>sms-crys</t>
        </is>
      </c>
      <c r="B229" s="9" t="inlineStr">
        <is>
          <t>Storsafe Management Solutions - Crystal Lake</t>
        </is>
      </c>
      <c r="C229" s="10" t="n">
        <v>45983</v>
      </c>
      <c r="D229" s="11" t="n">
        <v>45962</v>
      </c>
      <c r="E229" s="9" t="inlineStr">
        <is>
          <t>11.22.2025 cc receipts</t>
        </is>
      </c>
      <c r="F229" s="9" t="inlineStr">
        <is>
          <t>J-76346</t>
        </is>
      </c>
      <c r="G229" s="9" t="n"/>
      <c r="H229" s="12" t="n">
        <v>0</v>
      </c>
      <c r="I229" s="12" t="n">
        <v>54</v>
      </c>
      <c r="J229" s="12" t="n">
        <v>-337127.41</v>
      </c>
      <c r="K229" s="13" t="inlineStr">
        <is>
          <t>11.22.2025 cc receipts</t>
        </is>
      </c>
    </row>
    <row r="230" ht="15" customHeight="1">
      <c r="A230" s="9" t="inlineStr">
        <is>
          <t>sms-crys</t>
        </is>
      </c>
      <c r="B230" s="9" t="inlineStr">
        <is>
          <t>Storsafe Management Solutions - Crystal Lake</t>
        </is>
      </c>
      <c r="C230" s="10" t="n">
        <v>45989</v>
      </c>
      <c r="D230" s="11" t="n">
        <v>45962</v>
      </c>
      <c r="E230" s="9" t="inlineStr">
        <is>
          <t>11.28.2025 cc receipts</t>
        </is>
      </c>
      <c r="F230" s="9" t="inlineStr">
        <is>
          <t>J-76454</t>
        </is>
      </c>
      <c r="G230" s="9" t="n"/>
      <c r="H230" s="12" t="n">
        <v>0</v>
      </c>
      <c r="I230" s="12" t="n">
        <v>194</v>
      </c>
      <c r="J230" s="12" t="n">
        <v>-337321.41</v>
      </c>
      <c r="K230" s="13" t="inlineStr">
        <is>
          <t>11.28.2025 cc receipts</t>
        </is>
      </c>
    </row>
    <row r="231" ht="15" customHeight="1">
      <c r="A231" s="9" t="inlineStr">
        <is>
          <t>sms-crys</t>
        </is>
      </c>
      <c r="B231" s="9" t="inlineStr">
        <is>
          <t>Storsafe Management Solutions - Crystal Lake</t>
        </is>
      </c>
      <c r="C231" s="10" t="n">
        <v>45990</v>
      </c>
      <c r="D231" s="11" t="n">
        <v>45962</v>
      </c>
      <c r="E231" s="9" t="inlineStr">
        <is>
          <t>11.29.2025 cc receipts</t>
        </is>
      </c>
      <c r="F231" s="9" t="inlineStr">
        <is>
          <t>J-76478</t>
        </is>
      </c>
      <c r="G231" s="9" t="n"/>
      <c r="H231" s="12" t="n">
        <v>0</v>
      </c>
      <c r="I231" s="12" t="n">
        <v>1366.8</v>
      </c>
      <c r="J231" s="12" t="n">
        <v>-338688.21</v>
      </c>
      <c r="K231" s="13" t="inlineStr">
        <is>
          <t>11.29.2025 cc receipts</t>
        </is>
      </c>
    </row>
    <row r="232" ht="15" customHeight="1">
      <c r="A232" s="9" t="inlineStr">
        <is>
          <t>sms-crys</t>
        </is>
      </c>
      <c r="B232" s="9" t="inlineStr">
        <is>
          <t>Storsafe Management Solutions - Crystal Lake</t>
        </is>
      </c>
      <c r="C232" s="10" t="n">
        <v>45991</v>
      </c>
      <c r="D232" s="11" t="n">
        <v>45962</v>
      </c>
      <c r="E232" s="9" t="inlineStr">
        <is>
          <t>11.30.2025 cc receipts</t>
        </is>
      </c>
      <c r="F232" s="9" t="inlineStr">
        <is>
          <t>J-76500</t>
        </is>
      </c>
      <c r="G232" s="9" t="n"/>
      <c r="H232" s="12" t="n">
        <v>0</v>
      </c>
      <c r="I232" s="12" t="n">
        <v>773</v>
      </c>
      <c r="J232" s="12" t="n">
        <v>-339461.21</v>
      </c>
      <c r="K232" s="13" t="inlineStr">
        <is>
          <t>11.30.2025 cc receipts</t>
        </is>
      </c>
    </row>
    <row r="233" ht="15" customHeight="1">
      <c r="A233" s="9" t="inlineStr">
        <is>
          <t>sms-crys</t>
        </is>
      </c>
      <c r="B233" s="9" t="inlineStr">
        <is>
          <t>Storsafe Management Solutions - Crystal Lake</t>
        </is>
      </c>
      <c r="C233" s="10" t="n">
        <v>45991</v>
      </c>
      <c r="D233" s="11" t="n">
        <v>45962</v>
      </c>
      <c r="E233" s="9" t="inlineStr">
        <is>
          <t>Revenue adj per SiteLink</t>
        </is>
      </c>
      <c r="F233" s="9" t="inlineStr">
        <is>
          <t>J-76897</t>
        </is>
      </c>
      <c r="G233" s="9" t="n"/>
      <c r="H233" s="12" t="n">
        <v>0</v>
      </c>
      <c r="I233" s="12" t="n">
        <v>661.1900000000001</v>
      </c>
      <c r="J233" s="12" t="n">
        <v>-340122.4</v>
      </c>
      <c r="K233" s="13" t="inlineStr">
        <is>
          <t>Rent Credits</t>
        </is>
      </c>
    </row>
    <row r="234" ht="15" customHeight="1">
      <c r="A234" s="9" t="inlineStr">
        <is>
          <t>sms-crys</t>
        </is>
      </c>
      <c r="B234" s="9" t="inlineStr">
        <is>
          <t>Storsafe Management Solutions - Crystal Lake</t>
        </is>
      </c>
      <c r="C234" s="10" t="n">
        <v>45991</v>
      </c>
      <c r="D234" s="11" t="n">
        <v>45962</v>
      </c>
      <c r="E234" s="9" t="inlineStr">
        <is>
          <t>Revenue adj per SiteLink</t>
        </is>
      </c>
      <c r="F234" s="9" t="inlineStr">
        <is>
          <t>J-76897</t>
        </is>
      </c>
      <c r="G234" s="9" t="n"/>
      <c r="H234" s="12" t="n">
        <v>0</v>
      </c>
      <c r="I234" s="12" t="n">
        <v>261.75</v>
      </c>
      <c r="J234" s="12" t="n">
        <v>-340384.15</v>
      </c>
      <c r="K234" s="13" t="inlineStr">
        <is>
          <t>Unpaid Rents</t>
        </is>
      </c>
    </row>
    <row r="235" ht="15" customHeight="1">
      <c r="A235" s="9" t="inlineStr">
        <is>
          <t>sms-crys</t>
        </is>
      </c>
      <c r="B235" s="9" t="inlineStr">
        <is>
          <t>Storsafe Management Solutions - Crystal Lake</t>
        </is>
      </c>
      <c r="C235" s="10" t="n">
        <v>45991</v>
      </c>
      <c r="D235" s="11" t="n">
        <v>45962</v>
      </c>
      <c r="E235" s="9" t="inlineStr">
        <is>
          <t>Revenue adj per SiteLink</t>
        </is>
      </c>
      <c r="F235" s="9" t="inlineStr">
        <is>
          <t>J-76897</t>
        </is>
      </c>
      <c r="G235" s="9" t="n"/>
      <c r="H235" s="12" t="n">
        <v>1526.8</v>
      </c>
      <c r="I235" s="12" t="n">
        <v>0</v>
      </c>
      <c r="J235" s="12" t="n">
        <v>-338857.35</v>
      </c>
      <c r="K235" s="13" t="inlineStr">
        <is>
          <t>Receipts for prepayments</t>
        </is>
      </c>
    </row>
    <row r="236" ht="15" customHeight="1">
      <c r="A236" s="9" t="inlineStr">
        <is>
          <t>sms-crys</t>
        </is>
      </c>
      <c r="B236" s="9" t="inlineStr">
        <is>
          <t>Storsafe Management Solutions - Crystal Lake</t>
        </is>
      </c>
      <c r="C236" s="10" t="n">
        <v>45991</v>
      </c>
      <c r="D236" s="11" t="n">
        <v>45962</v>
      </c>
      <c r="E236" s="9" t="inlineStr">
        <is>
          <t>Revenue adj per SiteLink</t>
        </is>
      </c>
      <c r="F236" s="9" t="inlineStr">
        <is>
          <t>J-76897</t>
        </is>
      </c>
      <c r="G236" s="9" t="n"/>
      <c r="H236" s="12" t="n">
        <v>0</v>
      </c>
      <c r="I236" s="12" t="n">
        <v>2438.69</v>
      </c>
      <c r="J236" s="12" t="n">
        <v>-341296.04</v>
      </c>
      <c r="K236" s="13" t="inlineStr">
        <is>
          <t>Prepayments applied</t>
        </is>
      </c>
    </row>
    <row r="237" ht="15" customHeight="1">
      <c r="A237" s="14" t="n"/>
      <c r="B237" s="14" t="n"/>
      <c r="C237" s="15" t="n"/>
      <c r="D237" s="15" t="n"/>
      <c r="E237" s="16" t="inlineStr">
        <is>
          <t xml:space="preserve">  Net Change=-33,000.15</t>
        </is>
      </c>
      <c r="F237" s="14" t="n"/>
      <c r="G237" s="14" t="n"/>
      <c r="H237" s="17" t="inlineStr">
        <is>
          <t>1,611.80</t>
        </is>
      </c>
      <c r="I237" s="17" t="inlineStr">
        <is>
          <t>34,611.95</t>
        </is>
      </c>
      <c r="J237" s="17" t="inlineStr">
        <is>
          <t xml:space="preserve">  -341,296.04</t>
        </is>
      </c>
      <c r="K237" s="16">
        <f> Ending Balance =</f>
        <v/>
      </c>
    </row>
    <row r="238" ht="15" customHeight="1">
      <c r="A238" s="9" t="n"/>
      <c r="B238" s="9" t="n"/>
      <c r="C238" s="9" t="n"/>
      <c r="D238" s="9" t="n"/>
      <c r="E238" s="9" t="n"/>
      <c r="F238" s="9" t="n"/>
      <c r="G238" s="9" t="n"/>
      <c r="H238" s="18" t="n"/>
      <c r="I238" s="18" t="n"/>
      <c r="J238" s="18" t="n"/>
      <c r="K238" s="9" t="n"/>
    </row>
    <row r="239" ht="15" customHeight="1">
      <c r="A239" s="16" t="inlineStr">
        <is>
          <t>4710-0000</t>
        </is>
      </c>
      <c r="B239" s="14" t="n"/>
      <c r="C239" s="14" t="n"/>
      <c r="D239" s="14" t="n"/>
      <c r="E239" s="16" t="inlineStr">
        <is>
          <t>Less: Concessions</t>
        </is>
      </c>
      <c r="F239" s="14" t="n"/>
      <c r="G239" s="14" t="n"/>
      <c r="H239" s="19" t="n"/>
      <c r="I239" s="19" t="n"/>
      <c r="J239" s="20" t="n">
        <v>6702.63</v>
      </c>
      <c r="K239" s="16">
        <f> Beginning Balance =</f>
        <v/>
      </c>
    </row>
    <row r="240" ht="15" customHeight="1">
      <c r="A240" s="9" t="inlineStr">
        <is>
          <t>sms-crys</t>
        </is>
      </c>
      <c r="B240" s="9" t="inlineStr">
        <is>
          <t>Storsafe Management Solutions - Crystal Lake</t>
        </is>
      </c>
      <c r="C240" s="10" t="n">
        <v>45991</v>
      </c>
      <c r="D240" s="11" t="n">
        <v>45962</v>
      </c>
      <c r="E240" s="9" t="inlineStr">
        <is>
          <t>Revenue adj per SiteLink</t>
        </is>
      </c>
      <c r="F240" s="9" t="inlineStr">
        <is>
          <t>J-76897</t>
        </is>
      </c>
      <c r="G240" s="9" t="n"/>
      <c r="H240" s="12" t="n">
        <v>661.1900000000001</v>
      </c>
      <c r="I240" s="12" t="n">
        <v>0</v>
      </c>
      <c r="J240" s="12" t="n">
        <v>7363.82</v>
      </c>
      <c r="K240" s="13" t="inlineStr">
        <is>
          <t>Rent Credits</t>
        </is>
      </c>
    </row>
    <row r="241" ht="15" customHeight="1">
      <c r="A241" s="14" t="n"/>
      <c r="B241" s="14" t="n"/>
      <c r="C241" s="15" t="n"/>
      <c r="D241" s="15" t="n"/>
      <c r="E241" s="16" t="inlineStr">
        <is>
          <t xml:space="preserve">  Net Change=661.19</t>
        </is>
      </c>
      <c r="F241" s="14" t="n"/>
      <c r="G241" s="14" t="n"/>
      <c r="H241" s="17" t="inlineStr">
        <is>
          <t>661.19</t>
        </is>
      </c>
      <c r="I241" s="17" t="inlineStr">
        <is>
          <t>0.00</t>
        </is>
      </c>
      <c r="J241" s="17" t="inlineStr">
        <is>
          <t xml:space="preserve">  7,363.82</t>
        </is>
      </c>
      <c r="K241" s="16">
        <f> Ending Balance =</f>
        <v/>
      </c>
    </row>
    <row r="242" ht="15" customHeight="1">
      <c r="A242" s="9" t="n"/>
      <c r="B242" s="9" t="n"/>
      <c r="C242" s="9" t="n"/>
      <c r="D242" s="9" t="n"/>
      <c r="E242" s="9" t="n"/>
      <c r="F242" s="9" t="n"/>
      <c r="G242" s="9" t="n"/>
      <c r="H242" s="18" t="n"/>
      <c r="I242" s="18" t="n"/>
      <c r="J242" s="18" t="n"/>
      <c r="K242" s="9" t="n"/>
    </row>
    <row r="243" ht="15" customHeight="1">
      <c r="A243" s="16" t="inlineStr">
        <is>
          <t>5000-0001</t>
        </is>
      </c>
      <c r="B243" s="14" t="n"/>
      <c r="C243" s="14" t="n"/>
      <c r="D243" s="14" t="n"/>
      <c r="E243" s="16" t="inlineStr">
        <is>
          <t>Merchandise Income</t>
        </is>
      </c>
      <c r="F243" s="14" t="n"/>
      <c r="G243" s="14" t="n"/>
      <c r="H243" s="19" t="n"/>
      <c r="I243" s="19" t="n"/>
      <c r="J243" s="20" t="n">
        <v>-719.64</v>
      </c>
      <c r="K243" s="16">
        <f> Beginning Balance =</f>
        <v/>
      </c>
    </row>
    <row r="244" ht="15" customHeight="1">
      <c r="A244" s="14" t="n"/>
      <c r="B244" s="14" t="n"/>
      <c r="C244" s="15" t="n"/>
      <c r="D244" s="15" t="n"/>
      <c r="E244" s="16" t="inlineStr">
        <is>
          <t xml:space="preserve">  Net Change=0.00</t>
        </is>
      </c>
      <c r="F244" s="14" t="n"/>
      <c r="G244" s="14" t="n"/>
      <c r="H244" s="17" t="inlineStr">
        <is>
          <t>0.00</t>
        </is>
      </c>
      <c r="I244" s="17" t="inlineStr">
        <is>
          <t>0.00</t>
        </is>
      </c>
      <c r="J244" s="17" t="inlineStr">
        <is>
          <t xml:space="preserve">  -719.64</t>
        </is>
      </c>
      <c r="K244" s="16">
        <f> Ending Balance =</f>
        <v/>
      </c>
    </row>
    <row r="245" ht="15" customHeight="1">
      <c r="A245" s="9" t="n"/>
      <c r="B245" s="9" t="n"/>
      <c r="C245" s="9" t="n"/>
      <c r="D245" s="9" t="n"/>
      <c r="E245" s="9" t="n"/>
      <c r="F245" s="9" t="n"/>
      <c r="G245" s="9" t="n"/>
      <c r="H245" s="18" t="n"/>
      <c r="I245" s="18" t="n"/>
      <c r="J245" s="18" t="n"/>
      <c r="K245" s="9" t="n"/>
    </row>
    <row r="246" ht="15" customHeight="1">
      <c r="A246" s="16" t="inlineStr">
        <is>
          <t>5000-0002</t>
        </is>
      </c>
      <c r="B246" s="14" t="n"/>
      <c r="C246" s="14" t="n"/>
      <c r="D246" s="14" t="n"/>
      <c r="E246" s="16" t="inlineStr">
        <is>
          <t>Merchandise COGS</t>
        </is>
      </c>
      <c r="F246" s="14" t="n"/>
      <c r="G246" s="14" t="n"/>
      <c r="H246" s="19" t="n"/>
      <c r="I246" s="19" t="n"/>
      <c r="J246" s="20" t="n">
        <v>996.67</v>
      </c>
      <c r="K246" s="16">
        <f> Beginning Balance =</f>
        <v/>
      </c>
    </row>
    <row r="247" ht="15" customHeight="1">
      <c r="A247" s="9" t="inlineStr">
        <is>
          <t>sms-crys</t>
        </is>
      </c>
      <c r="B247" s="9" t="inlineStr">
        <is>
          <t>Storsafe Management Solutions - Crystal Lake</t>
        </is>
      </c>
      <c r="C247" s="10" t="n">
        <v>45991</v>
      </c>
      <c r="D247" s="11" t="n">
        <v>45962</v>
      </c>
      <c r="E247" s="9" t="inlineStr">
        <is>
          <t>11.2025 CapOne - SMS Crystal Lake</t>
        </is>
      </c>
      <c r="F247" s="9" t="inlineStr">
        <is>
          <t>J-76834</t>
        </is>
      </c>
      <c r="G247" s="9" t="n"/>
      <c r="H247" s="12" t="n">
        <v>96.43000000000001</v>
      </c>
      <c r="I247" s="12" t="n">
        <v>0</v>
      </c>
      <c r="J247" s="12" t="n">
        <v>1093.1</v>
      </c>
      <c r="K247" s="13" t="inlineStr">
        <is>
          <t>11.2025 CapOne - Davinci Lock</t>
        </is>
      </c>
    </row>
    <row r="248" ht="15" customHeight="1">
      <c r="A248" s="14" t="n"/>
      <c r="B248" s="14" t="n"/>
      <c r="C248" s="15" t="n"/>
      <c r="D248" s="15" t="n"/>
      <c r="E248" s="16" t="inlineStr">
        <is>
          <t xml:space="preserve">  Net Change=96.43</t>
        </is>
      </c>
      <c r="F248" s="14" t="n"/>
      <c r="G248" s="14" t="n"/>
      <c r="H248" s="17" t="inlineStr">
        <is>
          <t>96.43</t>
        </is>
      </c>
      <c r="I248" s="17" t="inlineStr">
        <is>
          <t>0.00</t>
        </is>
      </c>
      <c r="J248" s="17" t="inlineStr">
        <is>
          <t xml:space="preserve">  1,093.10</t>
        </is>
      </c>
      <c r="K248" s="16">
        <f> Ending Balance =</f>
        <v/>
      </c>
    </row>
    <row r="249" ht="15" customHeight="1">
      <c r="A249" s="9" t="n"/>
      <c r="B249" s="9" t="n"/>
      <c r="C249" s="9" t="n"/>
      <c r="D249" s="9" t="n"/>
      <c r="E249" s="9" t="n"/>
      <c r="F249" s="9" t="n"/>
      <c r="G249" s="9" t="n"/>
      <c r="H249" s="18" t="n"/>
      <c r="I249" s="18" t="n"/>
      <c r="J249" s="18" t="n"/>
      <c r="K249" s="9" t="n"/>
    </row>
    <row r="250" ht="15" customHeight="1">
      <c r="A250" s="16" t="inlineStr">
        <is>
          <t>5000-0010</t>
        </is>
      </c>
      <c r="B250" s="14" t="n"/>
      <c r="C250" s="14" t="n"/>
      <c r="D250" s="14" t="n"/>
      <c r="E250" s="16" t="inlineStr">
        <is>
          <t>Tenant Protection Income</t>
        </is>
      </c>
      <c r="F250" s="14" t="n"/>
      <c r="G250" s="14" t="n"/>
      <c r="H250" s="19" t="n"/>
      <c r="I250" s="19" t="n"/>
      <c r="J250" s="20" t="n">
        <v>-7643.55</v>
      </c>
      <c r="K250" s="16">
        <f> Beginning Balance =</f>
        <v/>
      </c>
    </row>
    <row r="251" ht="15" customHeight="1">
      <c r="A251" s="9" t="inlineStr">
        <is>
          <t>sms-crys</t>
        </is>
      </c>
      <c r="B251" s="9" t="inlineStr">
        <is>
          <t>Storsafe Management Solutions - Crystal Lake</t>
        </is>
      </c>
      <c r="C251" s="10" t="n">
        <v>45962</v>
      </c>
      <c r="D251" s="11" t="n">
        <v>45962</v>
      </c>
      <c r="E251" s="9" t="inlineStr">
        <is>
          <t>11.01.2025 ACH debit</t>
        </is>
      </c>
      <c r="F251" s="9" t="inlineStr">
        <is>
          <t>J-75693</t>
        </is>
      </c>
      <c r="G251" s="9" t="n"/>
      <c r="H251" s="12" t="n">
        <v>0</v>
      </c>
      <c r="I251" s="12" t="n">
        <v>96</v>
      </c>
      <c r="J251" s="12" t="n">
        <v>-7739.55</v>
      </c>
      <c r="K251" s="13" t="inlineStr">
        <is>
          <t>11.01.2025 ACH debit</t>
        </is>
      </c>
    </row>
    <row r="252" ht="15" customHeight="1">
      <c r="A252" s="9" t="inlineStr">
        <is>
          <t>sms-crys</t>
        </is>
      </c>
      <c r="B252" s="9" t="inlineStr">
        <is>
          <t>Storsafe Management Solutions - Crystal Lake</t>
        </is>
      </c>
      <c r="C252" s="10" t="n">
        <v>45962</v>
      </c>
      <c r="D252" s="11" t="n">
        <v>45962</v>
      </c>
      <c r="E252" s="9" t="inlineStr">
        <is>
          <t>11.01.2025 cc receipts</t>
        </is>
      </c>
      <c r="F252" s="9" t="inlineStr">
        <is>
          <t>J-75694</t>
        </is>
      </c>
      <c r="G252" s="9" t="n"/>
      <c r="H252" s="12" t="n">
        <v>0</v>
      </c>
      <c r="I252" s="12" t="n">
        <v>1179.81</v>
      </c>
      <c r="J252" s="12" t="n">
        <v>-8919.360000000001</v>
      </c>
      <c r="K252" s="13" t="inlineStr">
        <is>
          <t>11.01.2025 cc receipts</t>
        </is>
      </c>
    </row>
    <row r="253" ht="15" customHeight="1">
      <c r="A253" s="9" t="inlineStr">
        <is>
          <t>sms-crys</t>
        </is>
      </c>
      <c r="B253" s="9" t="inlineStr">
        <is>
          <t>Storsafe Management Solutions - Crystal Lake</t>
        </is>
      </c>
      <c r="C253" s="10" t="n">
        <v>45963</v>
      </c>
      <c r="D253" s="11" t="n">
        <v>45962</v>
      </c>
      <c r="E253" s="9" t="inlineStr">
        <is>
          <t>11.02.2025 cc receipts</t>
        </is>
      </c>
      <c r="F253" s="9" t="inlineStr">
        <is>
          <t>J-75722</t>
        </is>
      </c>
      <c r="G253" s="9" t="n"/>
      <c r="H253" s="12" t="n">
        <v>0</v>
      </c>
      <c r="I253" s="12" t="n">
        <v>36</v>
      </c>
      <c r="J253" s="12" t="n">
        <v>-8955.360000000001</v>
      </c>
      <c r="K253" s="13" t="inlineStr">
        <is>
          <t>11.02.2025 cc receipts</t>
        </is>
      </c>
    </row>
    <row r="254" ht="15" customHeight="1">
      <c r="A254" s="9" t="inlineStr">
        <is>
          <t>sms-crys</t>
        </is>
      </c>
      <c r="B254" s="9" t="inlineStr">
        <is>
          <t>Storsafe Management Solutions - Crystal Lake</t>
        </is>
      </c>
      <c r="C254" s="10" t="n">
        <v>45964</v>
      </c>
      <c r="D254" s="11" t="n">
        <v>45962</v>
      </c>
      <c r="E254" s="9" t="inlineStr">
        <is>
          <t>11.03.2025 cc receipts</t>
        </is>
      </c>
      <c r="F254" s="9" t="inlineStr">
        <is>
          <t>J-75749</t>
        </is>
      </c>
      <c r="G254" s="9" t="n"/>
      <c r="H254" s="12" t="n">
        <v>0</v>
      </c>
      <c r="I254" s="12" t="n">
        <v>36</v>
      </c>
      <c r="J254" s="12" t="n">
        <v>-8991.360000000001</v>
      </c>
      <c r="K254" s="13" t="inlineStr">
        <is>
          <t>11.03.2025 cc receipts</t>
        </is>
      </c>
    </row>
    <row r="255" ht="15" customHeight="1">
      <c r="A255" s="9" t="inlineStr">
        <is>
          <t>sms-crys</t>
        </is>
      </c>
      <c r="B255" s="9" t="inlineStr">
        <is>
          <t>Storsafe Management Solutions - Crystal Lake</t>
        </is>
      </c>
      <c r="C255" s="10" t="n">
        <v>45966</v>
      </c>
      <c r="D255" s="11" t="n">
        <v>45962</v>
      </c>
      <c r="E255" s="9" t="inlineStr">
        <is>
          <t>11.05.2025 cc receipts</t>
        </is>
      </c>
      <c r="F255" s="9" t="inlineStr">
        <is>
          <t>J-75953</t>
        </is>
      </c>
      <c r="G255" s="9" t="n"/>
      <c r="H255" s="12" t="n">
        <v>0</v>
      </c>
      <c r="I255" s="12" t="n">
        <v>36</v>
      </c>
      <c r="J255" s="12" t="n">
        <v>-9027.360000000001</v>
      </c>
      <c r="K255" s="13" t="inlineStr">
        <is>
          <t>11.05.2025 cc receipts</t>
        </is>
      </c>
    </row>
    <row r="256" ht="15" customHeight="1">
      <c r="A256" s="9" t="inlineStr">
        <is>
          <t>sms-crys</t>
        </is>
      </c>
      <c r="B256" s="9" t="inlineStr">
        <is>
          <t>Storsafe Management Solutions - Crystal Lake</t>
        </is>
      </c>
      <c r="C256" s="10" t="n">
        <v>45967</v>
      </c>
      <c r="D256" s="11" t="n">
        <v>45962</v>
      </c>
      <c r="E256" s="9" t="inlineStr">
        <is>
          <t>11.06.2025 cc receipts</t>
        </is>
      </c>
      <c r="F256" s="9" t="inlineStr">
        <is>
          <t>J-75978</t>
        </is>
      </c>
      <c r="G256" s="9" t="n"/>
      <c r="H256" s="12" t="n">
        <v>0</v>
      </c>
      <c r="I256" s="12" t="n">
        <v>36</v>
      </c>
      <c r="J256" s="12" t="n">
        <v>-9063.360000000001</v>
      </c>
      <c r="K256" s="13" t="inlineStr">
        <is>
          <t>11.06.2025 cc receipts</t>
        </is>
      </c>
    </row>
    <row r="257" ht="15" customHeight="1">
      <c r="A257" s="9" t="inlineStr">
        <is>
          <t>sms-crys</t>
        </is>
      </c>
      <c r="B257" s="9" t="inlineStr">
        <is>
          <t>Storsafe Management Solutions - Crystal Lake</t>
        </is>
      </c>
      <c r="C257" s="10" t="n">
        <v>45969</v>
      </c>
      <c r="D257" s="11" t="n">
        <v>45962</v>
      </c>
      <c r="E257" s="9" t="inlineStr">
        <is>
          <t>11.08.2025 cc receipts</t>
        </is>
      </c>
      <c r="F257" s="9" t="inlineStr">
        <is>
          <t>J-76024</t>
        </is>
      </c>
      <c r="G257" s="9" t="n"/>
      <c r="H257" s="12" t="n">
        <v>0</v>
      </c>
      <c r="I257" s="12" t="n">
        <v>8.800000000000001</v>
      </c>
      <c r="J257" s="12" t="n">
        <v>-9072.16</v>
      </c>
      <c r="K257" s="13" t="inlineStr">
        <is>
          <t>11.08.2025 cc receipts</t>
        </is>
      </c>
    </row>
    <row r="258" ht="15" customHeight="1">
      <c r="A258" s="9" t="inlineStr">
        <is>
          <t>sms-crys</t>
        </is>
      </c>
      <c r="B258" s="9" t="inlineStr">
        <is>
          <t>Storsafe Management Solutions - Crystal Lake</t>
        </is>
      </c>
      <c r="C258" s="10" t="n">
        <v>45970</v>
      </c>
      <c r="D258" s="11" t="n">
        <v>45962</v>
      </c>
      <c r="E258" s="9" t="inlineStr">
        <is>
          <t>11.09.2025 cc receipts</t>
        </is>
      </c>
      <c r="F258" s="9" t="inlineStr">
        <is>
          <t>J-76040</t>
        </is>
      </c>
      <c r="G258" s="9" t="n"/>
      <c r="H258" s="12" t="n">
        <v>0</v>
      </c>
      <c r="I258" s="12" t="n">
        <v>12</v>
      </c>
      <c r="J258" s="12" t="n">
        <v>-9084.16</v>
      </c>
      <c r="K258" s="13" t="inlineStr">
        <is>
          <t>11.09.2025 cc receipts</t>
        </is>
      </c>
    </row>
    <row r="259" ht="15" customHeight="1">
      <c r="A259" s="9" t="inlineStr">
        <is>
          <t>sms-crys</t>
        </is>
      </c>
      <c r="B259" s="9" t="inlineStr">
        <is>
          <t>Storsafe Management Solutions - Crystal Lake</t>
        </is>
      </c>
      <c r="C259" s="10" t="n">
        <v>45971</v>
      </c>
      <c r="D259" s="11" t="n">
        <v>45962</v>
      </c>
      <c r="E259" s="9" t="inlineStr">
        <is>
          <t>11.10.2025 cc receipts</t>
        </is>
      </c>
      <c r="F259" s="9" t="inlineStr">
        <is>
          <t>J-76103</t>
        </is>
      </c>
      <c r="G259" s="9" t="n"/>
      <c r="H259" s="12" t="n">
        <v>0</v>
      </c>
      <c r="I259" s="12" t="n">
        <v>12</v>
      </c>
      <c r="J259" s="12" t="n">
        <v>-9096.16</v>
      </c>
      <c r="K259" s="13" t="inlineStr">
        <is>
          <t>11.10.2025 cc receipts</t>
        </is>
      </c>
    </row>
    <row r="260" ht="15" customHeight="1">
      <c r="A260" s="9" t="inlineStr">
        <is>
          <t>sms-crys</t>
        </is>
      </c>
      <c r="B260" s="9" t="inlineStr">
        <is>
          <t>Storsafe Management Solutions - Crystal Lake</t>
        </is>
      </c>
      <c r="C260" s="10" t="n">
        <v>45971</v>
      </c>
      <c r="D260" s="11" t="n">
        <v>45962</v>
      </c>
      <c r="E260" s="9" t="inlineStr">
        <is>
          <t>Refunds_Edwards, Vincent **6521_Unit P40</t>
        </is>
      </c>
      <c r="F260" s="9" t="inlineStr">
        <is>
          <t>J-76699</t>
        </is>
      </c>
      <c r="G260" s="9" t="n"/>
      <c r="H260" s="12" t="n">
        <v>17.42</v>
      </c>
      <c r="I260" s="12" t="n">
        <v>0</v>
      </c>
      <c r="J260" s="12" t="n">
        <v>-9078.74</v>
      </c>
      <c r="K260" s="13" t="inlineStr">
        <is>
          <t>Refunds_Edwards, Vincent **6521_Unit P40</t>
        </is>
      </c>
    </row>
    <row r="261" ht="15" customHeight="1">
      <c r="A261" s="9" t="inlineStr">
        <is>
          <t>sms-crys</t>
        </is>
      </c>
      <c r="B261" s="9" t="inlineStr">
        <is>
          <t>Storsafe Management Solutions - Crystal Lake</t>
        </is>
      </c>
      <c r="C261" s="10" t="n">
        <v>45972</v>
      </c>
      <c r="D261" s="11" t="n">
        <v>45962</v>
      </c>
      <c r="E261" s="9" t="inlineStr">
        <is>
          <t>11.11.2025 cc receipts</t>
        </is>
      </c>
      <c r="F261" s="9" t="inlineStr">
        <is>
          <t>J-76118</t>
        </is>
      </c>
      <c r="G261" s="9" t="n"/>
      <c r="H261" s="12" t="n">
        <v>0</v>
      </c>
      <c r="I261" s="12" t="n">
        <v>24</v>
      </c>
      <c r="J261" s="12" t="n">
        <v>-9102.74</v>
      </c>
      <c r="K261" s="13" t="inlineStr">
        <is>
          <t>11.11.2025 cc receipts</t>
        </is>
      </c>
    </row>
    <row r="262" ht="15" customHeight="1">
      <c r="A262" s="9" t="inlineStr">
        <is>
          <t>sms-crys</t>
        </is>
      </c>
      <c r="B262" s="9" t="inlineStr">
        <is>
          <t>Storsafe Management Solutions - Crystal Lake</t>
        </is>
      </c>
      <c r="C262" s="10" t="n">
        <v>45973</v>
      </c>
      <c r="D262" s="11" t="n">
        <v>45962</v>
      </c>
      <c r="E262" s="9" t="inlineStr">
        <is>
          <t>11.12.2025 ACH debit</t>
        </is>
      </c>
      <c r="F262" s="9" t="inlineStr">
        <is>
          <t>J-76141</t>
        </is>
      </c>
      <c r="G262" s="9" t="n"/>
      <c r="H262" s="12" t="n">
        <v>0</v>
      </c>
      <c r="I262" s="12" t="n">
        <v>36</v>
      </c>
      <c r="J262" s="12" t="n">
        <v>-9138.74</v>
      </c>
      <c r="K262" s="13" t="inlineStr">
        <is>
          <t>11.12.2025 ACH debit</t>
        </is>
      </c>
    </row>
    <row r="263" ht="15" customHeight="1">
      <c r="A263" s="9" t="inlineStr">
        <is>
          <t>sms-crys</t>
        </is>
      </c>
      <c r="B263" s="9" t="inlineStr">
        <is>
          <t>Storsafe Management Solutions - Crystal Lake</t>
        </is>
      </c>
      <c r="C263" s="10" t="n">
        <v>45973</v>
      </c>
      <c r="D263" s="11" t="n">
        <v>45962</v>
      </c>
      <c r="E263" s="9" t="inlineStr">
        <is>
          <t>11.12.2025 cc receipts</t>
        </is>
      </c>
      <c r="F263" s="9" t="inlineStr">
        <is>
          <t>J-76142</t>
        </is>
      </c>
      <c r="G263" s="9" t="n"/>
      <c r="H263" s="12" t="n">
        <v>0</v>
      </c>
      <c r="I263" s="12" t="n">
        <v>8</v>
      </c>
      <c r="J263" s="12" t="n">
        <v>-9146.74</v>
      </c>
      <c r="K263" s="13" t="inlineStr">
        <is>
          <t>11.12.2025 cc receipts</t>
        </is>
      </c>
    </row>
    <row r="264" ht="15" customHeight="1">
      <c r="A264" s="9" t="inlineStr">
        <is>
          <t>sms-crys</t>
        </is>
      </c>
      <c r="B264" s="9" t="inlineStr">
        <is>
          <t>Storsafe Management Solutions - Crystal Lake</t>
        </is>
      </c>
      <c r="C264" s="10" t="n">
        <v>45977</v>
      </c>
      <c r="D264" s="11" t="n">
        <v>45962</v>
      </c>
      <c r="E264" s="9" t="inlineStr">
        <is>
          <t>11.16.2025 ACH debit</t>
        </is>
      </c>
      <c r="F264" s="9" t="inlineStr">
        <is>
          <t>J-76221</t>
        </is>
      </c>
      <c r="G264" s="9" t="n"/>
      <c r="H264" s="12" t="n">
        <v>0</v>
      </c>
      <c r="I264" s="12" t="n">
        <v>12</v>
      </c>
      <c r="J264" s="12" t="n">
        <v>-9158.74</v>
      </c>
      <c r="K264" s="13" t="inlineStr">
        <is>
          <t>11.16.2025 ACH debit</t>
        </is>
      </c>
    </row>
    <row r="265" ht="15" customHeight="1">
      <c r="A265" s="9" t="inlineStr">
        <is>
          <t>sms-crys</t>
        </is>
      </c>
      <c r="B265" s="9" t="inlineStr">
        <is>
          <t>Storsafe Management Solutions - Crystal Lake</t>
        </is>
      </c>
      <c r="C265" s="10" t="n">
        <v>45981</v>
      </c>
      <c r="D265" s="11" t="n">
        <v>45962</v>
      </c>
      <c r="E265" s="9" t="inlineStr">
        <is>
          <t>11.20.2025 cc receipts</t>
        </is>
      </c>
      <c r="F265" s="9" t="inlineStr">
        <is>
          <t>J-76288</t>
        </is>
      </c>
      <c r="G265" s="9" t="n"/>
      <c r="H265" s="12" t="n">
        <v>0</v>
      </c>
      <c r="I265" s="12" t="n">
        <v>4.8</v>
      </c>
      <c r="J265" s="12" t="n">
        <v>-9163.540000000001</v>
      </c>
      <c r="K265" s="13" t="inlineStr">
        <is>
          <t>11.20.2025 cc receipts</t>
        </is>
      </c>
    </row>
    <row r="266" ht="15" customHeight="1">
      <c r="A266" s="9" t="inlineStr">
        <is>
          <t>sms-crys</t>
        </is>
      </c>
      <c r="B266" s="9" t="inlineStr">
        <is>
          <t>Storsafe Management Solutions - Crystal Lake</t>
        </is>
      </c>
      <c r="C266" s="10" t="n">
        <v>45982</v>
      </c>
      <c r="D266" s="11" t="n">
        <v>45962</v>
      </c>
      <c r="E266" s="9" t="inlineStr">
        <is>
          <t>11.21.2025 cc receipts</t>
        </is>
      </c>
      <c r="F266" s="9" t="inlineStr">
        <is>
          <t>J-76309</t>
        </is>
      </c>
      <c r="G266" s="9" t="n"/>
      <c r="H266" s="12" t="n">
        <v>0</v>
      </c>
      <c r="I266" s="12" t="n">
        <v>4</v>
      </c>
      <c r="J266" s="12" t="n">
        <v>-9167.540000000001</v>
      </c>
      <c r="K266" s="13" t="inlineStr">
        <is>
          <t>11.21.2025 cc receipts</t>
        </is>
      </c>
    </row>
    <row r="267" ht="15" customHeight="1">
      <c r="A267" s="9" t="inlineStr">
        <is>
          <t>sms-crys</t>
        </is>
      </c>
      <c r="B267" s="9" t="inlineStr">
        <is>
          <t>Storsafe Management Solutions - Crystal Lake</t>
        </is>
      </c>
      <c r="C267" s="10" t="n">
        <v>45989</v>
      </c>
      <c r="D267" s="11" t="n">
        <v>45962</v>
      </c>
      <c r="E267" s="9" t="inlineStr">
        <is>
          <t>11.28.2025 cc receipts</t>
        </is>
      </c>
      <c r="F267" s="9" t="inlineStr">
        <is>
          <t>J-76454</t>
        </is>
      </c>
      <c r="G267" s="9" t="n"/>
      <c r="H267" s="12" t="n">
        <v>0</v>
      </c>
      <c r="I267" s="12" t="n">
        <v>24</v>
      </c>
      <c r="J267" s="12" t="n">
        <v>-9191.540000000001</v>
      </c>
      <c r="K267" s="13" t="inlineStr">
        <is>
          <t>11.28.2025 cc receipts</t>
        </is>
      </c>
    </row>
    <row r="268" ht="15" customHeight="1">
      <c r="A268" s="9" t="inlineStr">
        <is>
          <t>sms-crys</t>
        </is>
      </c>
      <c r="B268" s="9" t="inlineStr">
        <is>
          <t>Storsafe Management Solutions - Crystal Lake</t>
        </is>
      </c>
      <c r="C268" s="10" t="n">
        <v>45990</v>
      </c>
      <c r="D268" s="11" t="n">
        <v>45962</v>
      </c>
      <c r="E268" s="9" t="inlineStr">
        <is>
          <t>11.29.2025 cc receipts</t>
        </is>
      </c>
      <c r="F268" s="9" t="inlineStr">
        <is>
          <t>J-76478</t>
        </is>
      </c>
      <c r="G268" s="9" t="n"/>
      <c r="H268" s="12" t="n">
        <v>0</v>
      </c>
      <c r="I268" s="12" t="n">
        <v>24</v>
      </c>
      <c r="J268" s="12" t="n">
        <v>-9215.540000000001</v>
      </c>
      <c r="K268" s="13" t="inlineStr">
        <is>
          <t>11.29.2025 cc receipts</t>
        </is>
      </c>
    </row>
    <row r="269" ht="15" customHeight="1">
      <c r="A269" s="9" t="inlineStr">
        <is>
          <t>sms-crys</t>
        </is>
      </c>
      <c r="B269" s="9" t="inlineStr">
        <is>
          <t>Storsafe Management Solutions - Crystal Lake</t>
        </is>
      </c>
      <c r="C269" s="10" t="n">
        <v>45991</v>
      </c>
      <c r="D269" s="11" t="n">
        <v>45962</v>
      </c>
      <c r="E269" s="9" t="inlineStr">
        <is>
          <t>StorSafe Self Storage Management LLC  (storsafe)</t>
        </is>
      </c>
      <c r="F269" s="9" t="inlineStr">
        <is>
          <t>P-98138</t>
        </is>
      </c>
      <c r="G269" s="9" t="inlineStr">
        <is>
          <t>11.2025 Tenant Insurance - SMS Crystal</t>
        </is>
      </c>
      <c r="H269" s="12" t="n">
        <v>806.71</v>
      </c>
      <c r="I269" s="12" t="n">
        <v>0</v>
      </c>
      <c r="J269" s="12" t="n">
        <v>-8408.83</v>
      </c>
      <c r="K269" s="13" t="inlineStr">
        <is>
          <t>11.2025 Tenant Insurance - SMS Crystal</t>
        </is>
      </c>
    </row>
    <row r="270" ht="15" customHeight="1">
      <c r="A270" s="9" t="inlineStr">
        <is>
          <t>sms-crys</t>
        </is>
      </c>
      <c r="B270" s="9" t="inlineStr">
        <is>
          <t>Storsafe Management Solutions - Crystal Lake</t>
        </is>
      </c>
      <c r="C270" s="10" t="n">
        <v>45991</v>
      </c>
      <c r="D270" s="11" t="n">
        <v>45962</v>
      </c>
      <c r="E270" s="9" t="inlineStr">
        <is>
          <t>11.30.2025 cc receipts</t>
        </is>
      </c>
      <c r="F270" s="9" t="inlineStr">
        <is>
          <t>J-76500</t>
        </is>
      </c>
      <c r="G270" s="9" t="n"/>
      <c r="H270" s="12" t="n">
        <v>0</v>
      </c>
      <c r="I270" s="12" t="n">
        <v>24</v>
      </c>
      <c r="J270" s="12" t="n">
        <v>-8432.83</v>
      </c>
      <c r="K270" s="13" t="inlineStr">
        <is>
          <t>11.30.2025 cc receipts</t>
        </is>
      </c>
    </row>
    <row r="271" ht="15" customHeight="1">
      <c r="A271" s="14" t="n"/>
      <c r="B271" s="14" t="n"/>
      <c r="C271" s="15" t="n"/>
      <c r="D271" s="15" t="n"/>
      <c r="E271" s="16" t="inlineStr">
        <is>
          <t xml:space="preserve">  Net Change=-789.28</t>
        </is>
      </c>
      <c r="F271" s="14" t="n"/>
      <c r="G271" s="14" t="n"/>
      <c r="H271" s="17" t="inlineStr">
        <is>
          <t>824.13</t>
        </is>
      </c>
      <c r="I271" s="17" t="inlineStr">
        <is>
          <t>1,613.41</t>
        </is>
      </c>
      <c r="J271" s="17" t="inlineStr">
        <is>
          <t xml:space="preserve">  -8,432.83</t>
        </is>
      </c>
      <c r="K271" s="16">
        <f> Ending Balance =</f>
        <v/>
      </c>
    </row>
    <row r="272" ht="15" customHeight="1">
      <c r="A272" s="9" t="n"/>
      <c r="B272" s="9" t="n"/>
      <c r="C272" s="9" t="n"/>
      <c r="D272" s="9" t="n"/>
      <c r="E272" s="9" t="n"/>
      <c r="F272" s="9" t="n"/>
      <c r="G272" s="9" t="n"/>
      <c r="H272" s="18" t="n"/>
      <c r="I272" s="18" t="n"/>
      <c r="J272" s="18" t="n"/>
      <c r="K272" s="9" t="n"/>
    </row>
    <row r="273" ht="15" customHeight="1">
      <c r="A273" s="16" t="inlineStr">
        <is>
          <t>5000-0011</t>
        </is>
      </c>
      <c r="B273" s="14" t="n"/>
      <c r="C273" s="14" t="n"/>
      <c r="D273" s="14" t="n"/>
      <c r="E273" s="16" t="inlineStr">
        <is>
          <t>Tenant Protection COGS</t>
        </is>
      </c>
      <c r="F273" s="14" t="n"/>
      <c r="G273" s="14" t="n"/>
      <c r="H273" s="19" t="n"/>
      <c r="I273" s="19" t="n"/>
      <c r="J273" s="20" t="n">
        <v>1462.4</v>
      </c>
      <c r="K273" s="16">
        <f> Beginning Balance =</f>
        <v/>
      </c>
    </row>
    <row r="274" ht="15" customHeight="1">
      <c r="A274" s="9" t="inlineStr">
        <is>
          <t>sms-crys</t>
        </is>
      </c>
      <c r="B274" s="9" t="inlineStr">
        <is>
          <t>Storsafe Management Solutions - Crystal Lake</t>
        </is>
      </c>
      <c r="C274" s="10" t="n">
        <v>45976</v>
      </c>
      <c r="D274" s="11" t="n">
        <v>45962</v>
      </c>
      <c r="E274" s="9" t="inlineStr">
        <is>
          <t>SafeLease 11.2025</t>
        </is>
      </c>
      <c r="F274" s="9" t="inlineStr">
        <is>
          <t>J-76522</t>
        </is>
      </c>
      <c r="G274" s="9" t="n"/>
      <c r="H274" s="12" t="n">
        <v>259.94</v>
      </c>
      <c r="I274" s="12" t="n">
        <v>0</v>
      </c>
      <c r="J274" s="12" t="n">
        <v>1722.34</v>
      </c>
      <c r="K274" s="13" t="inlineStr">
        <is>
          <t>SafeLease 11.2025</t>
        </is>
      </c>
    </row>
    <row r="275" ht="15" customHeight="1">
      <c r="A275" s="9" t="inlineStr">
        <is>
          <t>sms-crys</t>
        </is>
      </c>
      <c r="B275" s="9" t="inlineStr">
        <is>
          <t>Storsafe Management Solutions - Crystal Lake</t>
        </is>
      </c>
      <c r="C275" s="10" t="n">
        <v>45991</v>
      </c>
      <c r="D275" s="11" t="n">
        <v>45962</v>
      </c>
      <c r="E275" s="9" t="inlineStr">
        <is>
          <t>StorSafe Self Storage Management LLC  (storsafe)</t>
        </is>
      </c>
      <c r="F275" s="9" t="inlineStr">
        <is>
          <t>P-98138</t>
        </is>
      </c>
      <c r="G275" s="9" t="inlineStr">
        <is>
          <t>11.2025 Tenant Insurance - SMS Crystal</t>
        </is>
      </c>
      <c r="H275" s="12" t="n">
        <v>0</v>
      </c>
      <c r="I275" s="12" t="n">
        <v>129.97</v>
      </c>
      <c r="J275" s="12" t="n">
        <v>1592.37</v>
      </c>
      <c r="K275" s="13" t="inlineStr">
        <is>
          <t>11.2025 Tenant Insurance - SMS Crystal</t>
        </is>
      </c>
    </row>
    <row r="276" ht="15" customHeight="1">
      <c r="A276" s="14" t="n"/>
      <c r="B276" s="14" t="n"/>
      <c r="C276" s="15" t="n"/>
      <c r="D276" s="15" t="n"/>
      <c r="E276" s="16" t="inlineStr">
        <is>
          <t xml:space="preserve">  Net Change=129.97</t>
        </is>
      </c>
      <c r="F276" s="14" t="n"/>
      <c r="G276" s="14" t="n"/>
      <c r="H276" s="17" t="inlineStr">
        <is>
          <t>259.94</t>
        </is>
      </c>
      <c r="I276" s="17" t="inlineStr">
        <is>
          <t>129.97</t>
        </is>
      </c>
      <c r="J276" s="17" t="inlineStr">
        <is>
          <t xml:space="preserve">  1,592.37</t>
        </is>
      </c>
      <c r="K276" s="16">
        <f> Ending Balance =</f>
        <v/>
      </c>
    </row>
    <row r="277" ht="15" customHeight="1">
      <c r="A277" s="9" t="n"/>
      <c r="B277" s="9" t="n"/>
      <c r="C277" s="9" t="n"/>
      <c r="D277" s="9" t="n"/>
      <c r="E277" s="9" t="n"/>
      <c r="F277" s="9" t="n"/>
      <c r="G277" s="9" t="n"/>
      <c r="H277" s="18" t="n"/>
      <c r="I277" s="18" t="n"/>
      <c r="J277" s="18" t="n"/>
      <c r="K277" s="9" t="n"/>
    </row>
    <row r="278" ht="15" customHeight="1">
      <c r="A278" s="16" t="inlineStr">
        <is>
          <t>5000-0013</t>
        </is>
      </c>
      <c r="B278" s="14" t="n"/>
      <c r="C278" s="14" t="n"/>
      <c r="D278" s="14" t="n"/>
      <c r="E278" s="16" t="inlineStr">
        <is>
          <t>Phone Convenience Fee</t>
        </is>
      </c>
      <c r="F278" s="14" t="n"/>
      <c r="G278" s="14" t="n"/>
      <c r="H278" s="19" t="n"/>
      <c r="I278" s="19" t="n"/>
      <c r="J278" s="20" t="n">
        <v>-56</v>
      </c>
      <c r="K278" s="16">
        <f> Beginning Balance =</f>
        <v/>
      </c>
    </row>
    <row r="279" ht="15" customHeight="1">
      <c r="A279" s="9" t="inlineStr">
        <is>
          <t>sms-crys</t>
        </is>
      </c>
      <c r="B279" s="9" t="inlineStr">
        <is>
          <t>Storsafe Management Solutions - Crystal Lake</t>
        </is>
      </c>
      <c r="C279" s="10" t="n">
        <v>45962</v>
      </c>
      <c r="D279" s="11" t="n">
        <v>45962</v>
      </c>
      <c r="E279" s="9" t="inlineStr">
        <is>
          <t>11.01.2025 cc receipts</t>
        </is>
      </c>
      <c r="F279" s="9" t="inlineStr">
        <is>
          <t>J-75694</t>
        </is>
      </c>
      <c r="G279" s="9" t="n"/>
      <c r="H279" s="12" t="n">
        <v>0</v>
      </c>
      <c r="I279" s="12" t="n">
        <v>7</v>
      </c>
      <c r="J279" s="12" t="n">
        <v>-63</v>
      </c>
      <c r="K279" s="13" t="inlineStr">
        <is>
          <t>11.01.2025 cc receipts</t>
        </is>
      </c>
    </row>
    <row r="280" ht="15" customHeight="1">
      <c r="A280" s="9" t="inlineStr">
        <is>
          <t>sms-crys</t>
        </is>
      </c>
      <c r="B280" s="9" t="inlineStr">
        <is>
          <t>Storsafe Management Solutions - Crystal Lake</t>
        </is>
      </c>
      <c r="C280" s="10" t="n">
        <v>45991</v>
      </c>
      <c r="D280" s="11" t="n">
        <v>45962</v>
      </c>
      <c r="E280" s="9" t="inlineStr">
        <is>
          <t>11.30.2025 cc receipts</t>
        </is>
      </c>
      <c r="F280" s="9" t="inlineStr">
        <is>
          <t>J-76500</t>
        </is>
      </c>
      <c r="G280" s="9" t="n"/>
      <c r="H280" s="12" t="n">
        <v>0</v>
      </c>
      <c r="I280" s="12" t="n">
        <v>7</v>
      </c>
      <c r="J280" s="12" t="n">
        <v>-70</v>
      </c>
      <c r="K280" s="13" t="inlineStr">
        <is>
          <t>11.30.2025 cc receipts</t>
        </is>
      </c>
    </row>
    <row r="281" ht="15" customHeight="1">
      <c r="A281" s="14" t="n"/>
      <c r="B281" s="14" t="n"/>
      <c r="C281" s="15" t="n"/>
      <c r="D281" s="15" t="n"/>
      <c r="E281" s="16" t="inlineStr">
        <is>
          <t xml:space="preserve">  Net Change=-14.00</t>
        </is>
      </c>
      <c r="F281" s="14" t="n"/>
      <c r="G281" s="14" t="n"/>
      <c r="H281" s="17" t="inlineStr">
        <is>
          <t>0.00</t>
        </is>
      </c>
      <c r="I281" s="17" t="inlineStr">
        <is>
          <t>14.00</t>
        </is>
      </c>
      <c r="J281" s="17" t="inlineStr">
        <is>
          <t xml:space="preserve">  -70.00</t>
        </is>
      </c>
      <c r="K281" s="16">
        <f> Ending Balance =</f>
        <v/>
      </c>
    </row>
    <row r="282" ht="15" customHeight="1">
      <c r="A282" s="9" t="n"/>
      <c r="B282" s="9" t="n"/>
      <c r="C282" s="9" t="n"/>
      <c r="D282" s="9" t="n"/>
      <c r="E282" s="9" t="n"/>
      <c r="F282" s="9" t="n"/>
      <c r="G282" s="9" t="n"/>
      <c r="H282" s="18" t="n"/>
      <c r="I282" s="18" t="n"/>
      <c r="J282" s="18" t="n"/>
      <c r="K282" s="9" t="n"/>
    </row>
    <row r="283" ht="15" customHeight="1">
      <c r="A283" s="16" t="inlineStr">
        <is>
          <t>5800-0000</t>
        </is>
      </c>
      <c r="B283" s="14" t="n"/>
      <c r="C283" s="14" t="n"/>
      <c r="D283" s="14" t="n"/>
      <c r="E283" s="16" t="inlineStr">
        <is>
          <t>Late Fee</t>
        </is>
      </c>
      <c r="F283" s="14" t="n"/>
      <c r="G283" s="14" t="n"/>
      <c r="H283" s="19" t="n"/>
      <c r="I283" s="19" t="n"/>
      <c r="J283" s="20" t="n">
        <v>-4081</v>
      </c>
      <c r="K283" s="16">
        <f> Beginning Balance =</f>
        <v/>
      </c>
    </row>
    <row r="284" ht="15" customHeight="1">
      <c r="A284" s="9" t="inlineStr">
        <is>
          <t>sms-crys</t>
        </is>
      </c>
      <c r="B284" s="9" t="inlineStr">
        <is>
          <t>Storsafe Management Solutions - Crystal Lake</t>
        </is>
      </c>
      <c r="C284" s="10" t="n">
        <v>45967</v>
      </c>
      <c r="D284" s="11" t="n">
        <v>45962</v>
      </c>
      <c r="E284" s="9" t="inlineStr">
        <is>
          <t>11.06.2025 cc receipts</t>
        </is>
      </c>
      <c r="F284" s="9" t="inlineStr">
        <is>
          <t>J-75978</t>
        </is>
      </c>
      <c r="G284" s="9" t="n"/>
      <c r="H284" s="12" t="n">
        <v>0</v>
      </c>
      <c r="I284" s="12" t="n">
        <v>220</v>
      </c>
      <c r="J284" s="12" t="n">
        <v>-4301</v>
      </c>
      <c r="K284" s="13" t="inlineStr">
        <is>
          <t>11.06.2025 cc receipts</t>
        </is>
      </c>
    </row>
    <row r="285" ht="15" customHeight="1">
      <c r="A285" s="9" t="inlineStr">
        <is>
          <t>sms-crys</t>
        </is>
      </c>
      <c r="B285" s="9" t="inlineStr">
        <is>
          <t>Storsafe Management Solutions - Crystal Lake</t>
        </is>
      </c>
      <c r="C285" s="10" t="n">
        <v>45970</v>
      </c>
      <c r="D285" s="11" t="n">
        <v>45962</v>
      </c>
      <c r="E285" s="9" t="inlineStr">
        <is>
          <t>11.09.2025 cc receipts</t>
        </is>
      </c>
      <c r="F285" s="9" t="inlineStr">
        <is>
          <t>J-76040</t>
        </is>
      </c>
      <c r="G285" s="9" t="n"/>
      <c r="H285" s="12" t="n">
        <v>0</v>
      </c>
      <c r="I285" s="12" t="n">
        <v>49</v>
      </c>
      <c r="J285" s="12" t="n">
        <v>-4350</v>
      </c>
      <c r="K285" s="13" t="inlineStr">
        <is>
          <t>11.09.2025 cc receipts</t>
        </is>
      </c>
    </row>
    <row r="286" ht="15" customHeight="1">
      <c r="A286" s="9" t="inlineStr">
        <is>
          <t>sms-crys</t>
        </is>
      </c>
      <c r="B286" s="9" t="inlineStr">
        <is>
          <t>Storsafe Management Solutions - Crystal Lake</t>
        </is>
      </c>
      <c r="C286" s="10" t="n">
        <v>45971</v>
      </c>
      <c r="D286" s="11" t="n">
        <v>45962</v>
      </c>
      <c r="E286" s="9" t="inlineStr">
        <is>
          <t>11.10.2025 cc receipts</t>
        </is>
      </c>
      <c r="F286" s="9" t="inlineStr">
        <is>
          <t>J-76103</t>
        </is>
      </c>
      <c r="G286" s="9" t="n"/>
      <c r="H286" s="12" t="n">
        <v>0</v>
      </c>
      <c r="I286" s="12" t="n">
        <v>36</v>
      </c>
      <c r="J286" s="12" t="n">
        <v>-4386</v>
      </c>
      <c r="K286" s="13" t="inlineStr">
        <is>
          <t>11.10.2025 cc receipts</t>
        </is>
      </c>
    </row>
    <row r="287" ht="15" customHeight="1">
      <c r="A287" s="9" t="inlineStr">
        <is>
          <t>sms-crys</t>
        </is>
      </c>
      <c r="B287" s="9" t="inlineStr">
        <is>
          <t>Storsafe Management Solutions - Crystal Lake</t>
        </is>
      </c>
      <c r="C287" s="10" t="n">
        <v>45972</v>
      </c>
      <c r="D287" s="11" t="n">
        <v>45962</v>
      </c>
      <c r="E287" s="9" t="inlineStr">
        <is>
          <t>11.11.2025 cc receipts</t>
        </is>
      </c>
      <c r="F287" s="9" t="inlineStr">
        <is>
          <t>J-76118</t>
        </is>
      </c>
      <c r="G287" s="9" t="n"/>
      <c r="H287" s="12" t="n">
        <v>0</v>
      </c>
      <c r="I287" s="12" t="n">
        <v>74</v>
      </c>
      <c r="J287" s="12" t="n">
        <v>-4460</v>
      </c>
      <c r="K287" s="13" t="inlineStr">
        <is>
          <t>11.11.2025 cc receipts</t>
        </is>
      </c>
    </row>
    <row r="288" ht="15" customHeight="1">
      <c r="A288" s="9" t="inlineStr">
        <is>
          <t>sms-crys</t>
        </is>
      </c>
      <c r="B288" s="9" t="inlineStr">
        <is>
          <t>Storsafe Management Solutions - Crystal Lake</t>
        </is>
      </c>
      <c r="C288" s="10" t="n">
        <v>45989</v>
      </c>
      <c r="D288" s="11" t="n">
        <v>45962</v>
      </c>
      <c r="E288" s="9" t="inlineStr">
        <is>
          <t>11.28.2025 cc receipts</t>
        </is>
      </c>
      <c r="F288" s="9" t="inlineStr">
        <is>
          <t>J-76454</t>
        </is>
      </c>
      <c r="G288" s="9" t="n"/>
      <c r="H288" s="12" t="n">
        <v>0</v>
      </c>
      <c r="I288" s="12" t="n">
        <v>25</v>
      </c>
      <c r="J288" s="12" t="n">
        <v>-4485</v>
      </c>
      <c r="K288" s="13" t="inlineStr">
        <is>
          <t>11.28.2025 cc receipts</t>
        </is>
      </c>
    </row>
    <row r="289" ht="15" customHeight="1">
      <c r="A289" s="9" t="inlineStr">
        <is>
          <t>sms-crys</t>
        </is>
      </c>
      <c r="B289" s="9" t="inlineStr">
        <is>
          <t>Storsafe Management Solutions - Crystal Lake</t>
        </is>
      </c>
      <c r="C289" s="10" t="n">
        <v>45991</v>
      </c>
      <c r="D289" s="11" t="n">
        <v>45962</v>
      </c>
      <c r="E289" s="9" t="inlineStr">
        <is>
          <t>11.30.2025 cc receipts</t>
        </is>
      </c>
      <c r="F289" s="9" t="inlineStr">
        <is>
          <t>J-76500</t>
        </is>
      </c>
      <c r="G289" s="9" t="n"/>
      <c r="H289" s="12" t="n">
        <v>0</v>
      </c>
      <c r="I289" s="12" t="n">
        <v>644</v>
      </c>
      <c r="J289" s="12" t="n">
        <v>-5129</v>
      </c>
      <c r="K289" s="13" t="inlineStr">
        <is>
          <t>11.30.2025 cc receipts</t>
        </is>
      </c>
    </row>
    <row r="290" ht="15" customHeight="1">
      <c r="A290" s="14" t="n"/>
      <c r="B290" s="14" t="n"/>
      <c r="C290" s="15" t="n"/>
      <c r="D290" s="15" t="n"/>
      <c r="E290" s="16" t="inlineStr">
        <is>
          <t xml:space="preserve">  Net Change=-1,048.00</t>
        </is>
      </c>
      <c r="F290" s="14" t="n"/>
      <c r="G290" s="14" t="n"/>
      <c r="H290" s="17" t="inlineStr">
        <is>
          <t>0.00</t>
        </is>
      </c>
      <c r="I290" s="17" t="inlineStr">
        <is>
          <t>1,048.00</t>
        </is>
      </c>
      <c r="J290" s="17" t="inlineStr">
        <is>
          <t xml:space="preserve">  -5,129.00</t>
        </is>
      </c>
      <c r="K290" s="16">
        <f> Ending Balance =</f>
        <v/>
      </c>
    </row>
    <row r="291" ht="15" customHeight="1">
      <c r="A291" s="9" t="n"/>
      <c r="B291" s="9" t="n"/>
      <c r="C291" s="9" t="n"/>
      <c r="D291" s="9" t="n"/>
      <c r="E291" s="9" t="n"/>
      <c r="F291" s="9" t="n"/>
      <c r="G291" s="9" t="n"/>
      <c r="H291" s="18" t="n"/>
      <c r="I291" s="18" t="n"/>
      <c r="J291" s="18" t="n"/>
      <c r="K291" s="9" t="n"/>
    </row>
    <row r="292" ht="15" customHeight="1">
      <c r="A292" s="16" t="inlineStr">
        <is>
          <t>5805-0000</t>
        </is>
      </c>
      <c r="B292" s="14" t="n"/>
      <c r="C292" s="14" t="n"/>
      <c r="D292" s="14" t="n"/>
      <c r="E292" s="16" t="inlineStr">
        <is>
          <t>Administrative Fee</t>
        </is>
      </c>
      <c r="F292" s="14" t="n"/>
      <c r="G292" s="14" t="n"/>
      <c r="H292" s="19" t="n"/>
      <c r="I292" s="19" t="n"/>
      <c r="J292" s="20" t="n">
        <v>-1598.86</v>
      </c>
      <c r="K292" s="16">
        <f> Beginning Balance =</f>
        <v/>
      </c>
    </row>
    <row r="293" ht="15" customHeight="1">
      <c r="A293" s="9" t="inlineStr">
        <is>
          <t>sms-crys</t>
        </is>
      </c>
      <c r="B293" s="9" t="inlineStr">
        <is>
          <t>Storsafe Management Solutions - Crystal Lake</t>
        </is>
      </c>
      <c r="C293" s="10" t="n">
        <v>45969</v>
      </c>
      <c r="D293" s="11" t="n">
        <v>45962</v>
      </c>
      <c r="E293" s="9" t="inlineStr">
        <is>
          <t>11.08.2025 cc receipts</t>
        </is>
      </c>
      <c r="F293" s="9" t="inlineStr">
        <is>
          <t>J-76024</t>
        </is>
      </c>
      <c r="G293" s="9" t="n"/>
      <c r="H293" s="12" t="n">
        <v>0</v>
      </c>
      <c r="I293" s="12" t="n">
        <v>29</v>
      </c>
      <c r="J293" s="12" t="n">
        <v>-1627.86</v>
      </c>
      <c r="K293" s="13" t="inlineStr">
        <is>
          <t>11.08.2025 cc receipts</t>
        </is>
      </c>
    </row>
    <row r="294" ht="15" customHeight="1">
      <c r="A294" s="9" t="inlineStr">
        <is>
          <t>sms-crys</t>
        </is>
      </c>
      <c r="B294" s="9" t="inlineStr">
        <is>
          <t>Storsafe Management Solutions - Crystal Lake</t>
        </is>
      </c>
      <c r="C294" s="10" t="n">
        <v>45971</v>
      </c>
      <c r="D294" s="11" t="n">
        <v>45962</v>
      </c>
      <c r="E294" s="9" t="inlineStr">
        <is>
          <t>Refunds_Edwards, Vincent **6521_Unit P40</t>
        </is>
      </c>
      <c r="F294" s="9" t="inlineStr">
        <is>
          <t>J-76699</t>
        </is>
      </c>
      <c r="G294" s="9" t="n"/>
      <c r="H294" s="12" t="n">
        <v>29</v>
      </c>
      <c r="I294" s="12" t="n">
        <v>0</v>
      </c>
      <c r="J294" s="12" t="n">
        <v>-1598.86</v>
      </c>
      <c r="K294" s="13" t="inlineStr">
        <is>
          <t>Refunds_Edwards, Vincent **6521_Unit P40</t>
        </is>
      </c>
    </row>
    <row r="295" ht="15" customHeight="1">
      <c r="A295" s="9" t="inlineStr">
        <is>
          <t>sms-crys</t>
        </is>
      </c>
      <c r="B295" s="9" t="inlineStr">
        <is>
          <t>Storsafe Management Solutions - Crystal Lake</t>
        </is>
      </c>
      <c r="C295" s="10" t="n">
        <v>45973</v>
      </c>
      <c r="D295" s="11" t="n">
        <v>45962</v>
      </c>
      <c r="E295" s="9" t="inlineStr">
        <is>
          <t>11.12.2025 cc receipts</t>
        </is>
      </c>
      <c r="F295" s="9" t="inlineStr">
        <is>
          <t>J-76142</t>
        </is>
      </c>
      <c r="G295" s="9" t="n"/>
      <c r="H295" s="12" t="n">
        <v>0</v>
      </c>
      <c r="I295" s="12" t="n">
        <v>29</v>
      </c>
      <c r="J295" s="12" t="n">
        <v>-1627.86</v>
      </c>
      <c r="K295" s="13" t="inlineStr">
        <is>
          <t>11.12.2025 cc receipts</t>
        </is>
      </c>
    </row>
    <row r="296" ht="15" customHeight="1">
      <c r="A296" s="9" t="inlineStr">
        <is>
          <t>sms-crys</t>
        </is>
      </c>
      <c r="B296" s="9" t="inlineStr">
        <is>
          <t>Storsafe Management Solutions - Crystal Lake</t>
        </is>
      </c>
      <c r="C296" s="10" t="n">
        <v>45982</v>
      </c>
      <c r="D296" s="11" t="n">
        <v>45962</v>
      </c>
      <c r="E296" s="9" t="inlineStr">
        <is>
          <t>11.21.2025 cc receipts</t>
        </is>
      </c>
      <c r="F296" s="9" t="inlineStr">
        <is>
          <t>J-76309</t>
        </is>
      </c>
      <c r="G296" s="9" t="n"/>
      <c r="H296" s="12" t="n">
        <v>0</v>
      </c>
      <c r="I296" s="12" t="n">
        <v>29</v>
      </c>
      <c r="J296" s="12" t="n">
        <v>-1656.86</v>
      </c>
      <c r="K296" s="13" t="inlineStr">
        <is>
          <t>11.21.2025 cc receipts</t>
        </is>
      </c>
    </row>
    <row r="297" ht="15" customHeight="1">
      <c r="A297" s="9" t="inlineStr">
        <is>
          <t>sms-crys</t>
        </is>
      </c>
      <c r="B297" s="9" t="inlineStr">
        <is>
          <t>Storsafe Management Solutions - Crystal Lake</t>
        </is>
      </c>
      <c r="C297" s="10" t="n">
        <v>45983</v>
      </c>
      <c r="D297" s="11" t="n">
        <v>45962</v>
      </c>
      <c r="E297" s="9" t="inlineStr">
        <is>
          <t>11.22.2025 cc receipts</t>
        </is>
      </c>
      <c r="F297" s="9" t="inlineStr">
        <is>
          <t>J-76346</t>
        </is>
      </c>
      <c r="G297" s="9" t="n"/>
      <c r="H297" s="12" t="n">
        <v>0</v>
      </c>
      <c r="I297" s="12" t="n">
        <v>29</v>
      </c>
      <c r="J297" s="12" t="n">
        <v>-1685.86</v>
      </c>
      <c r="K297" s="13" t="inlineStr">
        <is>
          <t>11.22.2025 cc receipts</t>
        </is>
      </c>
    </row>
    <row r="298" ht="15" customHeight="1">
      <c r="A298" s="9" t="inlineStr">
        <is>
          <t>sms-crys</t>
        </is>
      </c>
      <c r="B298" s="9" t="inlineStr">
        <is>
          <t>Storsafe Management Solutions - Crystal Lake</t>
        </is>
      </c>
      <c r="C298" s="10" t="n">
        <v>45986</v>
      </c>
      <c r="D298" s="11" t="n">
        <v>45962</v>
      </c>
      <c r="E298" s="9" t="inlineStr">
        <is>
          <t>11.25.2025 cc receipts</t>
        </is>
      </c>
      <c r="F298" s="9" t="inlineStr">
        <is>
          <t>J-76396</t>
        </is>
      </c>
      <c r="G298" s="9" t="n"/>
      <c r="H298" s="12" t="n">
        <v>0</v>
      </c>
      <c r="I298" s="12" t="n">
        <v>25</v>
      </c>
      <c r="J298" s="12" t="n">
        <v>-1710.86</v>
      </c>
      <c r="K298" s="13" t="inlineStr">
        <is>
          <t>11.25.2025 cc receipts</t>
        </is>
      </c>
    </row>
    <row r="299" ht="15" customHeight="1">
      <c r="A299" s="14" t="n"/>
      <c r="B299" s="14" t="n"/>
      <c r="C299" s="15" t="n"/>
      <c r="D299" s="15" t="n"/>
      <c r="E299" s="16" t="inlineStr">
        <is>
          <t xml:space="preserve">  Net Change=-112.00</t>
        </is>
      </c>
      <c r="F299" s="14" t="n"/>
      <c r="G299" s="14" t="n"/>
      <c r="H299" s="17" t="inlineStr">
        <is>
          <t>29.00</t>
        </is>
      </c>
      <c r="I299" s="17" t="inlineStr">
        <is>
          <t>141.00</t>
        </is>
      </c>
      <c r="J299" s="17" t="inlineStr">
        <is>
          <t xml:space="preserve">  -1,710.86</t>
        </is>
      </c>
      <c r="K299" s="16">
        <f> Ending Balance =</f>
        <v/>
      </c>
    </row>
    <row r="300" ht="15" customHeight="1">
      <c r="A300" s="9" t="n"/>
      <c r="B300" s="9" t="n"/>
      <c r="C300" s="9" t="n"/>
      <c r="D300" s="9" t="n"/>
      <c r="E300" s="9" t="n"/>
      <c r="F300" s="9" t="n"/>
      <c r="G300" s="9" t="n"/>
      <c r="H300" s="18" t="n"/>
      <c r="I300" s="18" t="n"/>
      <c r="J300" s="18" t="n"/>
      <c r="K300" s="9" t="n"/>
    </row>
    <row r="301" ht="15" customHeight="1">
      <c r="A301" s="16" t="inlineStr">
        <is>
          <t>6050-0010</t>
        </is>
      </c>
      <c r="B301" s="14" t="n"/>
      <c r="C301" s="14" t="n"/>
      <c r="D301" s="14" t="n"/>
      <c r="E301" s="16" t="inlineStr">
        <is>
          <t>Advertising</t>
        </is>
      </c>
      <c r="F301" s="14" t="n"/>
      <c r="G301" s="14" t="n"/>
      <c r="H301" s="19" t="n"/>
      <c r="I301" s="19" t="n"/>
      <c r="J301" s="20" t="n">
        <v>38.04</v>
      </c>
      <c r="K301" s="16">
        <f> Beginning Balance =</f>
        <v/>
      </c>
    </row>
    <row r="302" ht="15" customHeight="1">
      <c r="A302" s="14" t="n"/>
      <c r="B302" s="14" t="n"/>
      <c r="C302" s="15" t="n"/>
      <c r="D302" s="15" t="n"/>
      <c r="E302" s="16" t="inlineStr">
        <is>
          <t xml:space="preserve">  Net Change=0.00</t>
        </is>
      </c>
      <c r="F302" s="14" t="n"/>
      <c r="G302" s="14" t="n"/>
      <c r="H302" s="17" t="inlineStr">
        <is>
          <t>0.00</t>
        </is>
      </c>
      <c r="I302" s="17" t="inlineStr">
        <is>
          <t>0.00</t>
        </is>
      </c>
      <c r="J302" s="17" t="inlineStr">
        <is>
          <t xml:space="preserve">  38.04</t>
        </is>
      </c>
      <c r="K302" s="16">
        <f> Ending Balance =</f>
        <v/>
      </c>
    </row>
    <row r="303" ht="15" customHeight="1">
      <c r="A303" s="9" t="n"/>
      <c r="B303" s="9" t="n"/>
      <c r="C303" s="9" t="n"/>
      <c r="D303" s="9" t="n"/>
      <c r="E303" s="9" t="n"/>
      <c r="F303" s="9" t="n"/>
      <c r="G303" s="9" t="n"/>
      <c r="H303" s="18" t="n"/>
      <c r="I303" s="18" t="n"/>
      <c r="J303" s="18" t="n"/>
      <c r="K303" s="9" t="n"/>
    </row>
    <row r="304" ht="15" customHeight="1">
      <c r="A304" s="16" t="inlineStr">
        <is>
          <t>6050-0025</t>
        </is>
      </c>
      <c r="B304" s="14" t="n"/>
      <c r="C304" s="14" t="n"/>
      <c r="D304" s="14" t="n"/>
      <c r="E304" s="16" t="inlineStr">
        <is>
          <t>Internet Marketing</t>
        </is>
      </c>
      <c r="F304" s="14" t="n"/>
      <c r="G304" s="14" t="n"/>
      <c r="H304" s="19" t="n"/>
      <c r="I304" s="19" t="n"/>
      <c r="J304" s="20" t="n">
        <v>7890.41</v>
      </c>
      <c r="K304" s="16">
        <f> Beginning Balance =</f>
        <v/>
      </c>
    </row>
    <row r="305" ht="15" customHeight="1">
      <c r="A305" s="9" t="inlineStr">
        <is>
          <t>sms-crys</t>
        </is>
      </c>
      <c r="B305" s="9" t="inlineStr">
        <is>
          <t>Storsafe Management Solutions - Crystal Lake</t>
        </is>
      </c>
      <c r="C305" s="10" t="n">
        <v>45961</v>
      </c>
      <c r="D305" s="11" t="n">
        <v>45962</v>
      </c>
      <c r="E305" s="9" t="inlineStr">
        <is>
          <t>Prorize LLC (prorize)</t>
        </is>
      </c>
      <c r="F305" s="9" t="inlineStr">
        <is>
          <t>P-97649</t>
        </is>
      </c>
      <c r="G305" s="9" t="inlineStr">
        <is>
          <t>5016 SMSCrystal Lake</t>
        </is>
      </c>
      <c r="H305" s="12" t="n">
        <v>135.93</v>
      </c>
      <c r="I305" s="12" t="n">
        <v>0</v>
      </c>
      <c r="J305" s="12" t="n">
        <v>8026.34</v>
      </c>
      <c r="K305" s="13" t="inlineStr">
        <is>
          <t>SSRO Subscription Fee</t>
        </is>
      </c>
    </row>
    <row r="306" ht="15" customHeight="1">
      <c r="A306" s="9" t="inlineStr">
        <is>
          <t>sms-crys</t>
        </is>
      </c>
      <c r="B306" s="9" t="inlineStr">
        <is>
          <t>Storsafe Management Solutions - Crystal Lake</t>
        </is>
      </c>
      <c r="C306" s="10" t="n">
        <v>45961</v>
      </c>
      <c r="D306" s="11" t="n">
        <v>45962</v>
      </c>
      <c r="E306" s="9" t="inlineStr">
        <is>
          <t>Prorize LLC (prorize)</t>
        </is>
      </c>
      <c r="F306" s="9" t="inlineStr">
        <is>
          <t>P-97649</t>
        </is>
      </c>
      <c r="G306" s="9" t="inlineStr">
        <is>
          <t>5016 SMSCrystal Lake</t>
        </is>
      </c>
      <c r="H306" s="12" t="n">
        <v>9.859999999999999</v>
      </c>
      <c r="I306" s="12" t="n">
        <v>0</v>
      </c>
      <c r="J306" s="12" t="n">
        <v>8036.2</v>
      </c>
      <c r="K306" s="13" t="inlineStr">
        <is>
          <t>StorTrack Competitive Date Fee</t>
        </is>
      </c>
    </row>
    <row r="307" ht="15" customHeight="1">
      <c r="A307" s="9" t="inlineStr">
        <is>
          <t>sms-crys</t>
        </is>
      </c>
      <c r="B307" s="9" t="inlineStr">
        <is>
          <t>Storsafe Management Solutions - Crystal Lake</t>
        </is>
      </c>
      <c r="C307" s="10" t="n">
        <v>45969</v>
      </c>
      <c r="D307" s="11" t="n">
        <v>45962</v>
      </c>
      <c r="E307" s="9" t="inlineStr">
        <is>
          <t>BirdEye Inc (birdeyeinc)</t>
        </is>
      </c>
      <c r="F307" s="9" t="inlineStr">
        <is>
          <t>P-97610</t>
        </is>
      </c>
      <c r="G307" s="9" t="inlineStr">
        <is>
          <t>793251 SMSCrystal Lake</t>
        </is>
      </c>
      <c r="H307" s="12" t="n">
        <v>162.44</v>
      </c>
      <c r="I307" s="12" t="n">
        <v>0</v>
      </c>
      <c r="J307" s="12" t="n">
        <v>8198.639999999999</v>
      </c>
      <c r="K307" s="13" t="inlineStr">
        <is>
          <t>11/08-12/08/2025 Standard Monthly plus Carrier Texting Fee - Standard</t>
        </is>
      </c>
    </row>
    <row r="308" ht="15" customHeight="1">
      <c r="A308" s="9" t="inlineStr">
        <is>
          <t>sms-crys</t>
        </is>
      </c>
      <c r="B308" s="9" t="inlineStr">
        <is>
          <t>Storsafe Management Solutions - Crystal Lake</t>
        </is>
      </c>
      <c r="C308" s="10" t="n">
        <v>45976</v>
      </c>
      <c r="D308" s="11" t="n">
        <v>45962</v>
      </c>
      <c r="E308" s="9" t="inlineStr">
        <is>
          <t>STORAGEPUG, LLC (storagepug)</t>
        </is>
      </c>
      <c r="F308" s="9" t="inlineStr">
        <is>
          <t>P-97810</t>
        </is>
      </c>
      <c r="G308" s="9" t="inlineStr">
        <is>
          <t>59650</t>
        </is>
      </c>
      <c r="H308" s="12" t="n">
        <v>300</v>
      </c>
      <c r="I308" s="12" t="n">
        <v>0</v>
      </c>
      <c r="J308" s="12" t="n">
        <v>8498.639999999999</v>
      </c>
      <c r="K308" s="13" t="inlineStr">
        <is>
          <t>Insights Subscription Insights is backed by powerful tools that help you attract new tenants and rent more units</t>
        </is>
      </c>
    </row>
    <row r="309" ht="15" customHeight="1">
      <c r="A309" s="14" t="n"/>
      <c r="B309" s="14" t="n"/>
      <c r="C309" s="15" t="n"/>
      <c r="D309" s="15" t="n"/>
      <c r="E309" s="16" t="inlineStr">
        <is>
          <t xml:space="preserve">  Net Change=608.23</t>
        </is>
      </c>
      <c r="F309" s="14" t="n"/>
      <c r="G309" s="14" t="n"/>
      <c r="H309" s="17" t="inlineStr">
        <is>
          <t>608.23</t>
        </is>
      </c>
      <c r="I309" s="17" t="inlineStr">
        <is>
          <t>0.00</t>
        </is>
      </c>
      <c r="J309" s="17" t="inlineStr">
        <is>
          <t xml:space="preserve">  8,498.64</t>
        </is>
      </c>
      <c r="K309" s="16">
        <f> Ending Balance =</f>
        <v/>
      </c>
    </row>
    <row r="310" ht="15" customHeight="1">
      <c r="A310" s="9" t="n"/>
      <c r="B310" s="9" t="n"/>
      <c r="C310" s="9" t="n"/>
      <c r="D310" s="9" t="n"/>
      <c r="E310" s="9" t="n"/>
      <c r="F310" s="9" t="n"/>
      <c r="G310" s="9" t="n"/>
      <c r="H310" s="18" t="n"/>
      <c r="I310" s="18" t="n"/>
      <c r="J310" s="18" t="n"/>
      <c r="K310" s="9" t="n"/>
    </row>
    <row r="311" ht="15" customHeight="1">
      <c r="A311" s="16" t="inlineStr">
        <is>
          <t>6050-0026</t>
        </is>
      </c>
      <c r="B311" s="14" t="n"/>
      <c r="C311" s="14" t="n"/>
      <c r="D311" s="14" t="n"/>
      <c r="E311" s="16" t="inlineStr">
        <is>
          <t>OnSite Marketing</t>
        </is>
      </c>
      <c r="F311" s="14" t="n"/>
      <c r="G311" s="14" t="n"/>
      <c r="H311" s="19" t="n"/>
      <c r="I311" s="19" t="n"/>
      <c r="J311" s="20" t="n">
        <v>1243.48</v>
      </c>
      <c r="K311" s="16">
        <f> Beginning Balance =</f>
        <v/>
      </c>
    </row>
    <row r="312" ht="15" customHeight="1">
      <c r="A312" s="9" t="inlineStr">
        <is>
          <t>sms-crys</t>
        </is>
      </c>
      <c r="B312" s="9" t="inlineStr">
        <is>
          <t>Storsafe Management Solutions - Crystal Lake</t>
        </is>
      </c>
      <c r="C312" s="10" t="n">
        <v>45962</v>
      </c>
      <c r="D312" s="11" t="n">
        <v>45962</v>
      </c>
      <c r="E312" s="9" t="inlineStr">
        <is>
          <t>OpenTech Alliance, Inc. (opentechalli)</t>
        </is>
      </c>
      <c r="F312" s="9" t="inlineStr">
        <is>
          <t>P-97379</t>
        </is>
      </c>
      <c r="G312" s="9" t="inlineStr">
        <is>
          <t>NV344733</t>
        </is>
      </c>
      <c r="H312" s="12" t="n">
        <v>124.78</v>
      </c>
      <c r="I312" s="12" t="n">
        <v>0</v>
      </c>
      <c r="J312" s="12" t="n">
        <v>1368.26</v>
      </c>
      <c r="K312" s="13" t="inlineStr">
        <is>
          <t>CIA Lifetime Services 11/1/2025 - 11/30/2025</t>
        </is>
      </c>
    </row>
    <row r="313" ht="15" customHeight="1">
      <c r="A313" s="14" t="n"/>
      <c r="B313" s="14" t="n"/>
      <c r="C313" s="15" t="n"/>
      <c r="D313" s="15" t="n"/>
      <c r="E313" s="16" t="inlineStr">
        <is>
          <t xml:space="preserve">  Net Change=124.78</t>
        </is>
      </c>
      <c r="F313" s="14" t="n"/>
      <c r="G313" s="14" t="n"/>
      <c r="H313" s="17" t="inlineStr">
        <is>
          <t>124.78</t>
        </is>
      </c>
      <c r="I313" s="17" t="inlineStr">
        <is>
          <t>0.00</t>
        </is>
      </c>
      <c r="J313" s="17" t="inlineStr">
        <is>
          <t xml:space="preserve">  1,368.26</t>
        </is>
      </c>
      <c r="K313" s="16">
        <f> Ending Balance =</f>
        <v/>
      </c>
    </row>
    <row r="314" ht="15" customHeight="1">
      <c r="A314" s="9" t="n"/>
      <c r="B314" s="9" t="n"/>
      <c r="C314" s="9" t="n"/>
      <c r="D314" s="9" t="n"/>
      <c r="E314" s="9" t="n"/>
      <c r="F314" s="9" t="n"/>
      <c r="G314" s="9" t="n"/>
      <c r="H314" s="18" t="n"/>
      <c r="I314" s="18" t="n"/>
      <c r="J314" s="18" t="n"/>
      <c r="K314" s="9" t="n"/>
    </row>
    <row r="315" ht="15" customHeight="1">
      <c r="A315" s="16" t="inlineStr">
        <is>
          <t>6050-0030</t>
        </is>
      </c>
      <c r="B315" s="14" t="n"/>
      <c r="C315" s="14" t="n"/>
      <c r="D315" s="14" t="n"/>
      <c r="E315" s="16" t="inlineStr">
        <is>
          <t>Marketing Other</t>
        </is>
      </c>
      <c r="F315" s="14" t="n"/>
      <c r="G315" s="14" t="n"/>
      <c r="H315" s="19" t="n"/>
      <c r="I315" s="19" t="n"/>
      <c r="J315" s="20" t="n">
        <v>32.05</v>
      </c>
      <c r="K315" s="16">
        <f> Beginning Balance =</f>
        <v/>
      </c>
    </row>
    <row r="316" ht="15" customHeight="1">
      <c r="A316" s="14" t="n"/>
      <c r="B316" s="14" t="n"/>
      <c r="C316" s="15" t="n"/>
      <c r="D316" s="15" t="n"/>
      <c r="E316" s="16" t="inlineStr">
        <is>
          <t xml:space="preserve">  Net Change=0.00</t>
        </is>
      </c>
      <c r="F316" s="14" t="n"/>
      <c r="G316" s="14" t="n"/>
      <c r="H316" s="17" t="inlineStr">
        <is>
          <t>0.00</t>
        </is>
      </c>
      <c r="I316" s="17" t="inlineStr">
        <is>
          <t>0.00</t>
        </is>
      </c>
      <c r="J316" s="17" t="inlineStr">
        <is>
          <t xml:space="preserve">  32.05</t>
        </is>
      </c>
      <c r="K316" s="16">
        <f> Ending Balance =</f>
        <v/>
      </c>
    </row>
    <row r="317" ht="15" customHeight="1">
      <c r="A317" s="9" t="n"/>
      <c r="B317" s="9" t="n"/>
      <c r="C317" s="9" t="n"/>
      <c r="D317" s="9" t="n"/>
      <c r="E317" s="9" t="n"/>
      <c r="F317" s="9" t="n"/>
      <c r="G317" s="9" t="n"/>
      <c r="H317" s="18" t="n"/>
      <c r="I317" s="18" t="n"/>
      <c r="J317" s="18" t="n"/>
      <c r="K317" s="9" t="n"/>
    </row>
    <row r="318" ht="15" customHeight="1">
      <c r="A318" s="16" t="inlineStr">
        <is>
          <t>6110-1050</t>
        </is>
      </c>
      <c r="B318" s="14" t="n"/>
      <c r="C318" s="14" t="n"/>
      <c r="D318" s="14" t="n"/>
      <c r="E318" s="16" t="inlineStr">
        <is>
          <t>Repairs and  Maintenance</t>
        </is>
      </c>
      <c r="F318" s="14" t="n"/>
      <c r="G318" s="14" t="n"/>
      <c r="H318" s="19" t="n"/>
      <c r="I318" s="19" t="n"/>
      <c r="J318" s="20" t="n">
        <v>7513.95</v>
      </c>
      <c r="K318" s="16">
        <f> Beginning Balance =</f>
        <v/>
      </c>
    </row>
    <row r="319" ht="15" customHeight="1">
      <c r="A319" s="9" t="inlineStr">
        <is>
          <t>sms-crys</t>
        </is>
      </c>
      <c r="B319" s="9" t="inlineStr">
        <is>
          <t>Storsafe Management Solutions - Crystal Lake</t>
        </is>
      </c>
      <c r="C319" s="10" t="n">
        <v>45992</v>
      </c>
      <c r="D319" s="11" t="n">
        <v>45962</v>
      </c>
      <c r="E319" s="9" t="inlineStr">
        <is>
          <t>Mid-America Asset Management, Inc. (midamerica)</t>
        </is>
      </c>
      <c r="F319" s="9" t="inlineStr">
        <is>
          <t>P-98212</t>
        </is>
      </c>
      <c r="G319" s="9" t="inlineStr">
        <is>
          <t>1125StorSafe SMSCrystal Lake</t>
        </is>
      </c>
      <c r="H319" s="12" t="n">
        <v>250</v>
      </c>
      <c r="I319" s="12" t="n">
        <v>0</v>
      </c>
      <c r="J319" s="12" t="n">
        <v>7763.95</v>
      </c>
      <c r="K319" s="13" t="inlineStr">
        <is>
          <t>11/2025 StorSafe/Elmdale Portfolio Maintenance Fee</t>
        </is>
      </c>
    </row>
    <row r="320" ht="15" customHeight="1">
      <c r="A320" s="14" t="n"/>
      <c r="B320" s="14" t="n"/>
      <c r="C320" s="15" t="n"/>
      <c r="D320" s="15" t="n"/>
      <c r="E320" s="16" t="inlineStr">
        <is>
          <t xml:space="preserve">  Net Change=250.00</t>
        </is>
      </c>
      <c r="F320" s="14" t="n"/>
      <c r="G320" s="14" t="n"/>
      <c r="H320" s="17" t="inlineStr">
        <is>
          <t>250.00</t>
        </is>
      </c>
      <c r="I320" s="17" t="inlineStr">
        <is>
          <t>0.00</t>
        </is>
      </c>
      <c r="J320" s="17" t="inlineStr">
        <is>
          <t xml:space="preserve">  7,763.95</t>
        </is>
      </c>
      <c r="K320" s="16">
        <f> Ending Balance =</f>
        <v/>
      </c>
    </row>
    <row r="321" ht="15" customHeight="1">
      <c r="A321" s="9" t="n"/>
      <c r="B321" s="9" t="n"/>
      <c r="C321" s="9" t="n"/>
      <c r="D321" s="9" t="n"/>
      <c r="E321" s="9" t="n"/>
      <c r="F321" s="9" t="n"/>
      <c r="G321" s="9" t="n"/>
      <c r="H321" s="18" t="n"/>
      <c r="I321" s="18" t="n"/>
      <c r="J321" s="18" t="n"/>
      <c r="K321" s="9" t="n"/>
    </row>
    <row r="322" ht="15" customHeight="1">
      <c r="A322" s="16" t="inlineStr">
        <is>
          <t>6110-1060</t>
        </is>
      </c>
      <c r="B322" s="14" t="n"/>
      <c r="C322" s="14" t="n"/>
      <c r="D322" s="14" t="n"/>
      <c r="E322" s="16" t="inlineStr">
        <is>
          <t>Maintenance Tools and Supplies</t>
        </is>
      </c>
      <c r="F322" s="14" t="n"/>
      <c r="G322" s="14" t="n"/>
      <c r="H322" s="19" t="n"/>
      <c r="I322" s="19" t="n"/>
      <c r="J322" s="20" t="n">
        <v>221.27</v>
      </c>
      <c r="K322" s="16">
        <f> Beginning Balance =</f>
        <v/>
      </c>
    </row>
    <row r="323" ht="15" customHeight="1">
      <c r="A323" s="14" t="n"/>
      <c r="B323" s="14" t="n"/>
      <c r="C323" s="15" t="n"/>
      <c r="D323" s="15" t="n"/>
      <c r="E323" s="16" t="inlineStr">
        <is>
          <t xml:space="preserve">  Net Change=0.00</t>
        </is>
      </c>
      <c r="F323" s="14" t="n"/>
      <c r="G323" s="14" t="n"/>
      <c r="H323" s="17" t="inlineStr">
        <is>
          <t>0.00</t>
        </is>
      </c>
      <c r="I323" s="17" t="inlineStr">
        <is>
          <t>0.00</t>
        </is>
      </c>
      <c r="J323" s="17" t="inlineStr">
        <is>
          <t xml:space="preserve">  221.27</t>
        </is>
      </c>
      <c r="K323" s="16">
        <f> Ending Balance =</f>
        <v/>
      </c>
    </row>
    <row r="324" ht="15" customHeight="1">
      <c r="A324" s="9" t="n"/>
      <c r="B324" s="9" t="n"/>
      <c r="C324" s="9" t="n"/>
      <c r="D324" s="9" t="n"/>
      <c r="E324" s="9" t="n"/>
      <c r="F324" s="9" t="n"/>
      <c r="G324" s="9" t="n"/>
      <c r="H324" s="18" t="n"/>
      <c r="I324" s="18" t="n"/>
      <c r="J324" s="18" t="n"/>
      <c r="K324" s="9" t="n"/>
    </row>
    <row r="325" ht="15" customHeight="1">
      <c r="A325" s="16" t="inlineStr">
        <is>
          <t>6110-1175</t>
        </is>
      </c>
      <c r="B325" s="14" t="n"/>
      <c r="C325" s="14" t="n"/>
      <c r="D325" s="14" t="n"/>
      <c r="E325" s="16" t="inlineStr">
        <is>
          <t>Extermination</t>
        </is>
      </c>
      <c r="F325" s="14" t="n"/>
      <c r="G325" s="14" t="n"/>
      <c r="H325" s="19" t="n"/>
      <c r="I325" s="19" t="n"/>
      <c r="J325" s="20" t="n">
        <v>1390</v>
      </c>
      <c r="K325" s="16">
        <f> Beginning Balance =</f>
        <v/>
      </c>
    </row>
    <row r="326" ht="15" customHeight="1">
      <c r="A326" s="14" t="n"/>
      <c r="B326" s="14" t="n"/>
      <c r="C326" s="15" t="n"/>
      <c r="D326" s="15" t="n"/>
      <c r="E326" s="16" t="inlineStr">
        <is>
          <t xml:space="preserve">  Net Change=0.00</t>
        </is>
      </c>
      <c r="F326" s="14" t="n"/>
      <c r="G326" s="14" t="n"/>
      <c r="H326" s="17" t="inlineStr">
        <is>
          <t>0.00</t>
        </is>
      </c>
      <c r="I326" s="17" t="inlineStr">
        <is>
          <t>0.00</t>
        </is>
      </c>
      <c r="J326" s="17" t="inlineStr">
        <is>
          <t xml:space="preserve">  1,390.00</t>
        </is>
      </c>
      <c r="K326" s="16">
        <f> Ending Balance =</f>
        <v/>
      </c>
    </row>
    <row r="327" ht="15" customHeight="1">
      <c r="A327" s="9" t="n"/>
      <c r="B327" s="9" t="n"/>
      <c r="C327" s="9" t="n"/>
      <c r="D327" s="9" t="n"/>
      <c r="E327" s="9" t="n"/>
      <c r="F327" s="9" t="n"/>
      <c r="G327" s="9" t="n"/>
      <c r="H327" s="18" t="n"/>
      <c r="I327" s="18" t="n"/>
      <c r="J327" s="18" t="n"/>
      <c r="K327" s="9" t="n"/>
    </row>
    <row r="328" ht="15" customHeight="1">
      <c r="A328" s="16" t="inlineStr">
        <is>
          <t>6200-0001</t>
        </is>
      </c>
      <c r="B328" s="14" t="n"/>
      <c r="C328" s="14" t="n"/>
      <c r="D328" s="14" t="n"/>
      <c r="E328" s="16" t="inlineStr">
        <is>
          <t>Trash Disposal</t>
        </is>
      </c>
      <c r="F328" s="14" t="n"/>
      <c r="G328" s="14" t="n"/>
      <c r="H328" s="19" t="n"/>
      <c r="I328" s="19" t="n"/>
      <c r="J328" s="20" t="n">
        <v>3247.12</v>
      </c>
      <c r="K328" s="16">
        <f> Beginning Balance =</f>
        <v/>
      </c>
    </row>
    <row r="329" ht="15" customHeight="1">
      <c r="A329" s="9" t="inlineStr">
        <is>
          <t>sms-crys</t>
        </is>
      </c>
      <c r="B329" s="9" t="inlineStr">
        <is>
          <t>Storsafe Management Solutions - Crystal Lake</t>
        </is>
      </c>
      <c r="C329" s="10" t="n">
        <v>45962</v>
      </c>
      <c r="D329" s="11" t="n">
        <v>45962</v>
      </c>
      <c r="E329" s="9" t="inlineStr">
        <is>
          <t>MDC Environmental Services Inc (mdcmgt)</t>
        </is>
      </c>
      <c r="F329" s="9" t="inlineStr">
        <is>
          <t>P-97181</t>
        </is>
      </c>
      <c r="G329" s="9" t="inlineStr">
        <is>
          <t>453543644</t>
        </is>
      </c>
      <c r="H329" s="12" t="n">
        <v>277.48</v>
      </c>
      <c r="I329" s="12" t="n">
        <v>0</v>
      </c>
      <c r="J329" s="12" t="n">
        <v>3524.6</v>
      </c>
      <c r="K329" s="13" t="inlineStr">
        <is>
          <t>11/01/25-11/30/25 - 920 COG CIR,SKOKIE,IL,60077 - 3084516550</t>
        </is>
      </c>
    </row>
    <row r="330" ht="15" customHeight="1">
      <c r="A330" s="14" t="n"/>
      <c r="B330" s="14" t="n"/>
      <c r="C330" s="15" t="n"/>
      <c r="D330" s="15" t="n"/>
      <c r="E330" s="16" t="inlineStr">
        <is>
          <t xml:space="preserve">  Net Change=277.48</t>
        </is>
      </c>
      <c r="F330" s="14" t="n"/>
      <c r="G330" s="14" t="n"/>
      <c r="H330" s="17" t="inlineStr">
        <is>
          <t>277.48</t>
        </is>
      </c>
      <c r="I330" s="17" t="inlineStr">
        <is>
          <t>0.00</t>
        </is>
      </c>
      <c r="J330" s="17" t="inlineStr">
        <is>
          <t xml:space="preserve">  3,524.60</t>
        </is>
      </c>
      <c r="K330" s="16">
        <f> Ending Balance =</f>
        <v/>
      </c>
    </row>
    <row r="331" ht="15" customHeight="1">
      <c r="A331" s="9" t="n"/>
      <c r="B331" s="9" t="n"/>
      <c r="C331" s="9" t="n"/>
      <c r="D331" s="9" t="n"/>
      <c r="E331" s="9" t="n"/>
      <c r="F331" s="9" t="n"/>
      <c r="G331" s="9" t="n"/>
      <c r="H331" s="18" t="n"/>
      <c r="I331" s="18" t="n"/>
      <c r="J331" s="18" t="n"/>
      <c r="K331" s="9" t="n"/>
    </row>
    <row r="332" ht="15" customHeight="1">
      <c r="A332" s="16" t="inlineStr">
        <is>
          <t>6400-0010</t>
        </is>
      </c>
      <c r="B332" s="14" t="n"/>
      <c r="C332" s="14" t="n"/>
      <c r="D332" s="14" t="n"/>
      <c r="E332" s="16" t="inlineStr">
        <is>
          <t>Electricity</t>
        </is>
      </c>
      <c r="F332" s="14" t="n"/>
      <c r="G332" s="14" t="n"/>
      <c r="H332" s="19" t="n"/>
      <c r="I332" s="19" t="n"/>
      <c r="J332" s="20" t="n">
        <v>3831.54</v>
      </c>
      <c r="K332" s="16">
        <f> Beginning Balance =</f>
        <v/>
      </c>
    </row>
    <row r="333" ht="15" customHeight="1">
      <c r="A333" s="9" t="inlineStr">
        <is>
          <t>sms-crys</t>
        </is>
      </c>
      <c r="B333" s="9" t="inlineStr">
        <is>
          <t>Storsafe Management Solutions - Crystal Lake</t>
        </is>
      </c>
      <c r="C333" s="10" t="n">
        <v>45952</v>
      </c>
      <c r="D333" s="11" t="n">
        <v>45962</v>
      </c>
      <c r="E333" s="9" t="inlineStr">
        <is>
          <t>ComEd (comed)</t>
        </is>
      </c>
      <c r="F333" s="9" t="inlineStr">
        <is>
          <t>P-97286</t>
        </is>
      </c>
      <c r="G333" s="9" t="inlineStr">
        <is>
          <t>453405427</t>
        </is>
      </c>
      <c r="H333" s="12" t="n">
        <v>9.210000000000001</v>
      </c>
      <c r="I333" s="12" t="n">
        <v>0</v>
      </c>
      <c r="J333" s="12" t="n">
        <v>3840.75</v>
      </c>
      <c r="K333" s="13" t="inlineStr">
        <is>
          <t>09/20/25-10/21/25 - 6905 COG CIR,CRYSTAL LAKE,IL,60014 - 7291453000</t>
        </is>
      </c>
    </row>
    <row r="334" ht="15" customHeight="1">
      <c r="A334" s="14" t="n"/>
      <c r="B334" s="14" t="n"/>
      <c r="C334" s="15" t="n"/>
      <c r="D334" s="15" t="n"/>
      <c r="E334" s="16" t="inlineStr">
        <is>
          <t xml:space="preserve">  Net Change=9.21</t>
        </is>
      </c>
      <c r="F334" s="14" t="n"/>
      <c r="G334" s="14" t="n"/>
      <c r="H334" s="17" t="inlineStr">
        <is>
          <t>9.21</t>
        </is>
      </c>
      <c r="I334" s="17" t="inlineStr">
        <is>
          <t>0.00</t>
        </is>
      </c>
      <c r="J334" s="17" t="inlineStr">
        <is>
          <t xml:space="preserve">  3,840.75</t>
        </is>
      </c>
      <c r="K334" s="16">
        <f> Ending Balance =</f>
        <v/>
      </c>
    </row>
    <row r="335" ht="15" customHeight="1">
      <c r="A335" s="9" t="n"/>
      <c r="B335" s="9" t="n"/>
      <c r="C335" s="9" t="n"/>
      <c r="D335" s="9" t="n"/>
      <c r="E335" s="9" t="n"/>
      <c r="F335" s="9" t="n"/>
      <c r="G335" s="9" t="n"/>
      <c r="H335" s="18" t="n"/>
      <c r="I335" s="18" t="n"/>
      <c r="J335" s="18" t="n"/>
      <c r="K335" s="9" t="n"/>
    </row>
    <row r="336" ht="15" customHeight="1">
      <c r="A336" s="16" t="inlineStr">
        <is>
          <t>6400-0046</t>
        </is>
      </c>
      <c r="B336" s="14" t="n"/>
      <c r="C336" s="14" t="n"/>
      <c r="D336" s="14" t="n"/>
      <c r="E336" s="16" t="inlineStr">
        <is>
          <t>Internet Services</t>
        </is>
      </c>
      <c r="F336" s="14" t="n"/>
      <c r="G336" s="14" t="n"/>
      <c r="H336" s="19" t="n"/>
      <c r="I336" s="19" t="n"/>
      <c r="J336" s="20" t="n">
        <v>1441.5</v>
      </c>
      <c r="K336" s="16">
        <f> Beginning Balance =</f>
        <v/>
      </c>
    </row>
    <row r="337" ht="15" customHeight="1">
      <c r="A337" s="9" t="inlineStr">
        <is>
          <t>sms-crys</t>
        </is>
      </c>
      <c r="B337" s="9" t="inlineStr">
        <is>
          <t>Storsafe Management Solutions - Crystal Lake</t>
        </is>
      </c>
      <c r="C337" s="10" t="n">
        <v>45982</v>
      </c>
      <c r="D337" s="11" t="n">
        <v>45962</v>
      </c>
      <c r="E337" s="9" t="inlineStr">
        <is>
          <t>Comcast ACH 112025</t>
        </is>
      </c>
      <c r="F337" s="9" t="inlineStr">
        <is>
          <t>J-76703</t>
        </is>
      </c>
      <c r="G337" s="9" t="n"/>
      <c r="H337" s="12" t="n">
        <v>88.95</v>
      </c>
      <c r="I337" s="12" t="n">
        <v>0</v>
      </c>
      <c r="J337" s="12" t="n">
        <v>1530.45</v>
      </c>
      <c r="K337" s="13" t="inlineStr">
        <is>
          <t>Comcast ACH 112025</t>
        </is>
      </c>
    </row>
    <row r="338" ht="15" customHeight="1">
      <c r="A338" s="9" t="inlineStr">
        <is>
          <t>sms-crys</t>
        </is>
      </c>
      <c r="B338" s="9" t="inlineStr">
        <is>
          <t>Storsafe Management Solutions - Crystal Lake</t>
        </is>
      </c>
      <c r="C338" s="10" t="n">
        <v>45991</v>
      </c>
      <c r="D338" s="11" t="n">
        <v>45962</v>
      </c>
      <c r="E338" s="9" t="inlineStr">
        <is>
          <t>11.2025 CapOne - SMS Crystal Lake</t>
        </is>
      </c>
      <c r="F338" s="9" t="inlineStr">
        <is>
          <t>J-76834</t>
        </is>
      </c>
      <c r="G338" s="9" t="n"/>
      <c r="H338" s="12" t="n">
        <v>60</v>
      </c>
      <c r="I338" s="12" t="n">
        <v>0</v>
      </c>
      <c r="J338" s="12" t="n">
        <v>1590.45</v>
      </c>
      <c r="K338" s="13" t="inlineStr">
        <is>
          <t>11.2025 CapOne - Tmobile</t>
        </is>
      </c>
    </row>
    <row r="339" ht="15" customHeight="1">
      <c r="A339" s="14" t="n"/>
      <c r="B339" s="14" t="n"/>
      <c r="C339" s="15" t="n"/>
      <c r="D339" s="15" t="n"/>
      <c r="E339" s="16" t="inlineStr">
        <is>
          <t xml:space="preserve">  Net Change=148.95</t>
        </is>
      </c>
      <c r="F339" s="14" t="n"/>
      <c r="G339" s="14" t="n"/>
      <c r="H339" s="17" t="inlineStr">
        <is>
          <t>148.95</t>
        </is>
      </c>
      <c r="I339" s="17" t="inlineStr">
        <is>
          <t>0.00</t>
        </is>
      </c>
      <c r="J339" s="17" t="inlineStr">
        <is>
          <t xml:space="preserve">  1,590.45</t>
        </is>
      </c>
      <c r="K339" s="16">
        <f> Ending Balance =</f>
        <v/>
      </c>
    </row>
    <row r="340" ht="15" customHeight="1">
      <c r="A340" s="9" t="n"/>
      <c r="B340" s="9" t="n"/>
      <c r="C340" s="9" t="n"/>
      <c r="D340" s="9" t="n"/>
      <c r="E340" s="9" t="n"/>
      <c r="F340" s="9" t="n"/>
      <c r="G340" s="9" t="n"/>
      <c r="H340" s="18" t="n"/>
      <c r="I340" s="18" t="n"/>
      <c r="J340" s="18" t="n"/>
      <c r="K340" s="9" t="n"/>
    </row>
    <row r="341" ht="15" customHeight="1">
      <c r="A341" s="16" t="inlineStr">
        <is>
          <t>6400-0047</t>
        </is>
      </c>
      <c r="B341" s="14" t="n"/>
      <c r="C341" s="14" t="n"/>
      <c r="D341" s="14" t="n"/>
      <c r="E341" s="16" t="inlineStr">
        <is>
          <t>Telephone Service</t>
        </is>
      </c>
      <c r="F341" s="14" t="n"/>
      <c r="G341" s="14" t="n"/>
      <c r="H341" s="19" t="n"/>
      <c r="I341" s="19" t="n"/>
      <c r="J341" s="20" t="n">
        <v>2060.64</v>
      </c>
      <c r="K341" s="16">
        <f> Beginning Balance =</f>
        <v/>
      </c>
    </row>
    <row r="342" ht="15" customHeight="1">
      <c r="A342" s="9" t="inlineStr">
        <is>
          <t>sms-crys</t>
        </is>
      </c>
      <c r="B342" s="9" t="inlineStr">
        <is>
          <t>Storsafe Management Solutions - Crystal Lake</t>
        </is>
      </c>
      <c r="C342" s="10" t="n">
        <v>45971</v>
      </c>
      <c r="D342" s="11" t="n">
        <v>45962</v>
      </c>
      <c r="E342" s="9" t="inlineStr">
        <is>
          <t>ATT ACH 112025</t>
        </is>
      </c>
      <c r="F342" s="9" t="inlineStr">
        <is>
          <t>J-76701</t>
        </is>
      </c>
      <c r="G342" s="9" t="n"/>
      <c r="H342" s="12" t="n">
        <v>123.57</v>
      </c>
      <c r="I342" s="12" t="n">
        <v>0</v>
      </c>
      <c r="J342" s="12" t="n">
        <v>2184.21</v>
      </c>
      <c r="K342" s="13" t="inlineStr">
        <is>
          <t>ATT ACH 112025</t>
        </is>
      </c>
    </row>
    <row r="343" ht="15" customHeight="1">
      <c r="A343" s="9" t="inlineStr">
        <is>
          <t>sms-crys</t>
        </is>
      </c>
      <c r="B343" s="9" t="inlineStr">
        <is>
          <t>Storsafe Management Solutions - Crystal Lake</t>
        </is>
      </c>
      <c r="C343" s="10" t="n">
        <v>45986</v>
      </c>
      <c r="D343" s="11" t="n">
        <v>45962</v>
      </c>
      <c r="E343" s="9" t="inlineStr">
        <is>
          <t>T-Mobile_ACH 112025</t>
        </is>
      </c>
      <c r="F343" s="9" t="inlineStr">
        <is>
          <t>J-76708</t>
        </is>
      </c>
      <c r="G343" s="9" t="n"/>
      <c r="H343" s="12" t="n">
        <v>78</v>
      </c>
      <c r="I343" s="12" t="n">
        <v>0</v>
      </c>
      <c r="J343" s="12" t="n">
        <v>2262.21</v>
      </c>
      <c r="K343" s="13" t="inlineStr">
        <is>
          <t>T-Mobile_ACH 112025</t>
        </is>
      </c>
    </row>
    <row r="344" ht="15" customHeight="1">
      <c r="A344" s="14" t="n"/>
      <c r="B344" s="14" t="n"/>
      <c r="C344" s="15" t="n"/>
      <c r="D344" s="15" t="n"/>
      <c r="E344" s="16" t="inlineStr">
        <is>
          <t xml:space="preserve">  Net Change=201.57</t>
        </is>
      </c>
      <c r="F344" s="14" t="n"/>
      <c r="G344" s="14" t="n"/>
      <c r="H344" s="17" t="inlineStr">
        <is>
          <t>201.57</t>
        </is>
      </c>
      <c r="I344" s="17" t="inlineStr">
        <is>
          <t>0.00</t>
        </is>
      </c>
      <c r="J344" s="17" t="inlineStr">
        <is>
          <t xml:space="preserve">  2,262.21</t>
        </is>
      </c>
      <c r="K344" s="16">
        <f> Ending Balance =</f>
        <v/>
      </c>
    </row>
    <row r="345" ht="15" customHeight="1">
      <c r="A345" s="9" t="n"/>
      <c r="B345" s="9" t="n"/>
      <c r="C345" s="9" t="n"/>
      <c r="D345" s="9" t="n"/>
      <c r="E345" s="9" t="n"/>
      <c r="F345" s="9" t="n"/>
      <c r="G345" s="9" t="n"/>
      <c r="H345" s="18" t="n"/>
      <c r="I345" s="18" t="n"/>
      <c r="J345" s="18" t="n"/>
      <c r="K345" s="9" t="n"/>
    </row>
    <row r="346" ht="15" customHeight="1">
      <c r="A346" s="16" t="inlineStr">
        <is>
          <t>6450-0010</t>
        </is>
      </c>
      <c r="B346" s="14" t="n"/>
      <c r="C346" s="14" t="n"/>
      <c r="D346" s="14" t="n"/>
      <c r="E346" s="16" t="inlineStr">
        <is>
          <t>Management Fee</t>
        </is>
      </c>
      <c r="F346" s="14" t="n"/>
      <c r="G346" s="14" t="n"/>
      <c r="H346" s="19" t="n"/>
      <c r="I346" s="19" t="n"/>
      <c r="J346" s="20" t="n">
        <v>15492.11</v>
      </c>
      <c r="K346" s="16">
        <f> Beginning Balance =</f>
        <v/>
      </c>
    </row>
    <row r="347" ht="15" customHeight="1">
      <c r="A347" s="9" t="inlineStr">
        <is>
          <t>sms-crys</t>
        </is>
      </c>
      <c r="B347" s="9" t="inlineStr">
        <is>
          <t>Storsafe Management Solutions - Crystal Lake</t>
        </is>
      </c>
      <c r="C347" s="10" t="n">
        <v>45991</v>
      </c>
      <c r="D347" s="11" t="n">
        <v>45962</v>
      </c>
      <c r="E347" s="9" t="inlineStr">
        <is>
          <t>StorSafe Self Storage Management LLC  (storsafe)</t>
        </is>
      </c>
      <c r="F347" s="9" t="inlineStr">
        <is>
          <t>P-98167</t>
        </is>
      </c>
      <c r="G347" s="9" t="inlineStr">
        <is>
          <t>1100016757-23</t>
        </is>
      </c>
      <c r="H347" s="12" t="n">
        <v>1656.22</v>
      </c>
      <c r="I347" s="12" t="n">
        <v>0</v>
      </c>
      <c r="J347" s="12" t="n">
        <v>17148.33</v>
      </c>
      <c r="K347" s="13" t="inlineStr">
        <is>
          <t>Management Fees</t>
        </is>
      </c>
    </row>
    <row r="348" ht="15" customHeight="1">
      <c r="A348" s="14" t="n"/>
      <c r="B348" s="14" t="n"/>
      <c r="C348" s="15" t="n"/>
      <c r="D348" s="15" t="n"/>
      <c r="E348" s="16" t="inlineStr">
        <is>
          <t xml:space="preserve">  Net Change=1,656.22</t>
        </is>
      </c>
      <c r="F348" s="14" t="n"/>
      <c r="G348" s="14" t="n"/>
      <c r="H348" s="17" t="inlineStr">
        <is>
          <t>1,656.22</t>
        </is>
      </c>
      <c r="I348" s="17" t="inlineStr">
        <is>
          <t>0.00</t>
        </is>
      </c>
      <c r="J348" s="17" t="inlineStr">
        <is>
          <t xml:space="preserve">  17,148.33</t>
        </is>
      </c>
      <c r="K348" s="16">
        <f> Ending Balance =</f>
        <v/>
      </c>
    </row>
    <row r="349" ht="15" customHeight="1">
      <c r="A349" s="9" t="n"/>
      <c r="B349" s="9" t="n"/>
      <c r="C349" s="9" t="n"/>
      <c r="D349" s="9" t="n"/>
      <c r="E349" s="9" t="n"/>
      <c r="F349" s="9" t="n"/>
      <c r="G349" s="9" t="n"/>
      <c r="H349" s="18" t="n"/>
      <c r="I349" s="18" t="n"/>
      <c r="J349" s="18" t="n"/>
      <c r="K349" s="9" t="n"/>
    </row>
    <row r="350" ht="15" customHeight="1">
      <c r="A350" s="16" t="inlineStr">
        <is>
          <t>6461-0000</t>
        </is>
      </c>
      <c r="B350" s="14" t="n"/>
      <c r="C350" s="14" t="n"/>
      <c r="D350" s="14" t="n"/>
      <c r="E350" s="16" t="inlineStr">
        <is>
          <t>Property Tax</t>
        </is>
      </c>
      <c r="F350" s="14" t="n"/>
      <c r="G350" s="14" t="n"/>
      <c r="H350" s="19" t="n"/>
      <c r="I350" s="19" t="n"/>
      <c r="J350" s="20" t="n">
        <v>50248.7</v>
      </c>
      <c r="K350" s="16">
        <f> Beginning Balance =</f>
        <v/>
      </c>
    </row>
    <row r="351" ht="15" customHeight="1">
      <c r="A351" s="9" t="inlineStr">
        <is>
          <t>sms-crys</t>
        </is>
      </c>
      <c r="B351" s="9" t="inlineStr">
        <is>
          <t>Storsafe Management Solutions - Crystal Lake</t>
        </is>
      </c>
      <c r="C351" s="10" t="n">
        <v>45991</v>
      </c>
      <c r="D351" s="11" t="n">
        <v>45962</v>
      </c>
      <c r="E351" s="9" t="inlineStr">
        <is>
          <t>:PostRecurring Monthly 2025 Tax expense</t>
        </is>
      </c>
      <c r="F351" s="9" t="inlineStr">
        <is>
          <t>J-76609</t>
        </is>
      </c>
      <c r="G351" s="9" t="inlineStr">
        <is>
          <t>RETaxSMSCLK</t>
        </is>
      </c>
      <c r="H351" s="12" t="n">
        <v>5024.87</v>
      </c>
      <c r="I351" s="12" t="n">
        <v>0</v>
      </c>
      <c r="J351" s="12" t="n">
        <v>55273.57</v>
      </c>
      <c r="K351" s="13" t="inlineStr">
        <is>
          <t>Monthly 2025 Tax expense</t>
        </is>
      </c>
    </row>
    <row r="352" ht="15" customHeight="1">
      <c r="A352" s="14" t="n"/>
      <c r="B352" s="14" t="n"/>
      <c r="C352" s="15" t="n"/>
      <c r="D352" s="15" t="n"/>
      <c r="E352" s="16" t="inlineStr">
        <is>
          <t xml:space="preserve">  Net Change=5,024.87</t>
        </is>
      </c>
      <c r="F352" s="14" t="n"/>
      <c r="G352" s="14" t="n"/>
      <c r="H352" s="17" t="inlineStr">
        <is>
          <t>5,024.87</t>
        </is>
      </c>
      <c r="I352" s="17" t="inlineStr">
        <is>
          <t>0.00</t>
        </is>
      </c>
      <c r="J352" s="17" t="inlineStr">
        <is>
          <t xml:space="preserve">  55,273.57</t>
        </is>
      </c>
      <c r="K352" s="16">
        <f> Ending Balance =</f>
        <v/>
      </c>
    </row>
    <row r="353" ht="15" customHeight="1">
      <c r="A353" s="9" t="n"/>
      <c r="B353" s="9" t="n"/>
      <c r="C353" s="9" t="n"/>
      <c r="D353" s="9" t="n"/>
      <c r="E353" s="9" t="n"/>
      <c r="F353" s="9" t="n"/>
      <c r="G353" s="9" t="n"/>
      <c r="H353" s="18" t="n"/>
      <c r="I353" s="18" t="n"/>
      <c r="J353" s="18" t="n"/>
      <c r="K353" s="9" t="n"/>
    </row>
    <row r="354" ht="15" customHeight="1">
      <c r="A354" s="16" t="inlineStr">
        <is>
          <t>6461-1000</t>
        </is>
      </c>
      <c r="B354" s="14" t="n"/>
      <c r="C354" s="14" t="n"/>
      <c r="D354" s="14" t="n"/>
      <c r="E354" s="16" t="inlineStr">
        <is>
          <t>Property Insurance</t>
        </is>
      </c>
      <c r="F354" s="14" t="n"/>
      <c r="G354" s="14" t="n"/>
      <c r="H354" s="19" t="n"/>
      <c r="I354" s="19" t="n"/>
      <c r="J354" s="20" t="n">
        <v>7410.8</v>
      </c>
      <c r="K354" s="16">
        <f> Beginning Balance =</f>
        <v/>
      </c>
    </row>
    <row r="355" ht="15" customHeight="1">
      <c r="A355" s="9" t="inlineStr">
        <is>
          <t>sms-crys</t>
        </is>
      </c>
      <c r="B355" s="9" t="inlineStr">
        <is>
          <t>Storsafe Management Solutions - Crystal Lake</t>
        </is>
      </c>
      <c r="C355" s="10" t="n">
        <v>45991</v>
      </c>
      <c r="D355" s="11" t="n">
        <v>45962</v>
      </c>
      <c r="E355" s="9" t="inlineStr">
        <is>
          <t>:PostRecurring Monthly Insurance expense</t>
        </is>
      </c>
      <c r="F355" s="9" t="inlineStr">
        <is>
          <t>J-76608</t>
        </is>
      </c>
      <c r="G355" s="9" t="inlineStr">
        <is>
          <t>insuranceSMSCLK</t>
        </is>
      </c>
      <c r="H355" s="12" t="n">
        <v>741.08</v>
      </c>
      <c r="I355" s="12" t="n">
        <v>0</v>
      </c>
      <c r="J355" s="12" t="n">
        <v>8151.88</v>
      </c>
      <c r="K355" s="13" t="inlineStr">
        <is>
          <t>Monthly Insurance expense</t>
        </is>
      </c>
    </row>
    <row r="356" ht="15" customHeight="1">
      <c r="A356" s="14" t="n"/>
      <c r="B356" s="14" t="n"/>
      <c r="C356" s="15" t="n"/>
      <c r="D356" s="15" t="n"/>
      <c r="E356" s="16" t="inlineStr">
        <is>
          <t xml:space="preserve">  Net Change=741.08</t>
        </is>
      </c>
      <c r="F356" s="14" t="n"/>
      <c r="G356" s="14" t="n"/>
      <c r="H356" s="17" t="inlineStr">
        <is>
          <t>741.08</t>
        </is>
      </c>
      <c r="I356" s="17" t="inlineStr">
        <is>
          <t>0.00</t>
        </is>
      </c>
      <c r="J356" s="17" t="inlineStr">
        <is>
          <t xml:space="preserve">  8,151.88</t>
        </is>
      </c>
      <c r="K356" s="16">
        <f> Ending Balance =</f>
        <v/>
      </c>
    </row>
    <row r="357" ht="15" customHeight="1">
      <c r="A357" s="9" t="n"/>
      <c r="B357" s="9" t="n"/>
      <c r="C357" s="9" t="n"/>
      <c r="D357" s="9" t="n"/>
      <c r="E357" s="9" t="n"/>
      <c r="F357" s="9" t="n"/>
      <c r="G357" s="9" t="n"/>
      <c r="H357" s="18" t="n"/>
      <c r="I357" s="18" t="n"/>
      <c r="J357" s="18" t="n"/>
      <c r="K357" s="9" t="n"/>
    </row>
    <row r="358" ht="15" customHeight="1">
      <c r="A358" s="16" t="inlineStr">
        <is>
          <t>7000-0009</t>
        </is>
      </c>
      <c r="B358" s="14" t="n"/>
      <c r="C358" s="14" t="n"/>
      <c r="D358" s="14" t="n"/>
      <c r="E358" s="16" t="inlineStr">
        <is>
          <t>Meals &amp; Entertainment</t>
        </is>
      </c>
      <c r="F358" s="14" t="n"/>
      <c r="G358" s="14" t="n"/>
      <c r="H358" s="19" t="n"/>
      <c r="I358" s="19" t="n"/>
      <c r="J358" s="20" t="n">
        <v>14.01</v>
      </c>
      <c r="K358" s="16">
        <f> Beginning Balance =</f>
        <v/>
      </c>
    </row>
    <row r="359" ht="15" customHeight="1">
      <c r="A359" s="14" t="n"/>
      <c r="B359" s="14" t="n"/>
      <c r="C359" s="15" t="n"/>
      <c r="D359" s="15" t="n"/>
      <c r="E359" s="16" t="inlineStr">
        <is>
          <t xml:space="preserve">  Net Change=0.00</t>
        </is>
      </c>
      <c r="F359" s="14" t="n"/>
      <c r="G359" s="14" t="n"/>
      <c r="H359" s="17" t="inlineStr">
        <is>
          <t>0.00</t>
        </is>
      </c>
      <c r="I359" s="17" t="inlineStr">
        <is>
          <t>0.00</t>
        </is>
      </c>
      <c r="J359" s="17" t="inlineStr">
        <is>
          <t xml:space="preserve">  14.01</t>
        </is>
      </c>
      <c r="K359" s="16">
        <f> Ending Balance =</f>
        <v/>
      </c>
    </row>
    <row r="360" ht="15" customHeight="1">
      <c r="A360" s="9" t="n"/>
      <c r="B360" s="9" t="n"/>
      <c r="C360" s="9" t="n"/>
      <c r="D360" s="9" t="n"/>
      <c r="E360" s="9" t="n"/>
      <c r="F360" s="9" t="n"/>
      <c r="G360" s="9" t="n"/>
      <c r="H360" s="18" t="n"/>
      <c r="I360" s="18" t="n"/>
      <c r="J360" s="18" t="n"/>
      <c r="K360" s="9" t="n"/>
    </row>
    <row r="361" ht="15" customHeight="1">
      <c r="A361" s="16" t="inlineStr">
        <is>
          <t>7000-0013</t>
        </is>
      </c>
      <c r="B361" s="14" t="n"/>
      <c r="C361" s="14" t="n"/>
      <c r="D361" s="14" t="n"/>
      <c r="E361" s="16" t="inlineStr">
        <is>
          <t>Vehicle Expense</t>
        </is>
      </c>
      <c r="F361" s="14" t="n"/>
      <c r="G361" s="14" t="n"/>
      <c r="H361" s="19" t="n"/>
      <c r="I361" s="19" t="n"/>
      <c r="J361" s="20" t="n">
        <v>66.15000000000001</v>
      </c>
      <c r="K361" s="16">
        <f> Beginning Balance =</f>
        <v/>
      </c>
    </row>
    <row r="362" ht="15" customHeight="1">
      <c r="A362" s="14" t="n"/>
      <c r="B362" s="14" t="n"/>
      <c r="C362" s="15" t="n"/>
      <c r="D362" s="15" t="n"/>
      <c r="E362" s="16" t="inlineStr">
        <is>
          <t xml:space="preserve">  Net Change=0.00</t>
        </is>
      </c>
      <c r="F362" s="14" t="n"/>
      <c r="G362" s="14" t="n"/>
      <c r="H362" s="17" t="inlineStr">
        <is>
          <t>0.00</t>
        </is>
      </c>
      <c r="I362" s="17" t="inlineStr">
        <is>
          <t>0.00</t>
        </is>
      </c>
      <c r="J362" s="17" t="inlineStr">
        <is>
          <t xml:space="preserve">  66.15</t>
        </is>
      </c>
      <c r="K362" s="16">
        <f> Ending Balance =</f>
        <v/>
      </c>
    </row>
    <row r="363" ht="15" customHeight="1">
      <c r="A363" s="9" t="n"/>
      <c r="B363" s="9" t="n"/>
      <c r="C363" s="9" t="n"/>
      <c r="D363" s="9" t="n"/>
      <c r="E363" s="9" t="n"/>
      <c r="F363" s="9" t="n"/>
      <c r="G363" s="9" t="n"/>
      <c r="H363" s="18" t="n"/>
      <c r="I363" s="18" t="n"/>
      <c r="J363" s="18" t="n"/>
      <c r="K363" s="9" t="n"/>
    </row>
    <row r="364" ht="15" customHeight="1">
      <c r="A364" s="16" t="inlineStr">
        <is>
          <t>7000-0026</t>
        </is>
      </c>
      <c r="B364" s="14" t="n"/>
      <c r="C364" s="14" t="n"/>
      <c r="D364" s="14" t="n"/>
      <c r="E364" s="16" t="inlineStr">
        <is>
          <t>Software</t>
        </is>
      </c>
      <c r="F364" s="14" t="n"/>
      <c r="G364" s="14" t="n"/>
      <c r="H364" s="19" t="n"/>
      <c r="I364" s="19" t="n"/>
      <c r="J364" s="20" t="n">
        <v>4112.73</v>
      </c>
      <c r="K364" s="16">
        <f> Beginning Balance =</f>
        <v/>
      </c>
    </row>
    <row r="365" ht="15" customHeight="1">
      <c r="A365" s="9" t="inlineStr">
        <is>
          <t>sms-crys</t>
        </is>
      </c>
      <c r="B365" s="9" t="inlineStr">
        <is>
          <t>Storsafe Management Solutions - Crystal Lake</t>
        </is>
      </c>
      <c r="C365" s="10" t="n">
        <v>45961</v>
      </c>
      <c r="D365" s="11" t="n">
        <v>45962</v>
      </c>
      <c r="E365" s="9" t="inlineStr">
        <is>
          <t>Prorize LLC (prorize)</t>
        </is>
      </c>
      <c r="F365" s="9" t="inlineStr">
        <is>
          <t>P-97649</t>
        </is>
      </c>
      <c r="G365" s="9" t="inlineStr">
        <is>
          <t>5016 SMSCrystal Lake</t>
        </is>
      </c>
      <c r="H365" s="12" t="n">
        <v>17.38</v>
      </c>
      <c r="I365" s="12" t="n">
        <v>0</v>
      </c>
      <c r="J365" s="12" t="n">
        <v>4130.11</v>
      </c>
      <c r="K365" s="13" t="inlineStr">
        <is>
          <t>Storable API Fee</t>
        </is>
      </c>
    </row>
    <row r="366" ht="15" customHeight="1">
      <c r="A366" s="9" t="inlineStr">
        <is>
          <t>sms-crys</t>
        </is>
      </c>
      <c r="B366" s="9" t="inlineStr">
        <is>
          <t>Storsafe Management Solutions - Crystal Lake</t>
        </is>
      </c>
      <c r="C366" s="10" t="n">
        <v>45965</v>
      </c>
      <c r="D366" s="11" t="n">
        <v>45962</v>
      </c>
      <c r="E366" s="9" t="inlineStr">
        <is>
          <t>SITELINK SOFTWARE LLC (sitelink)</t>
        </is>
      </c>
      <c r="F366" s="9" t="inlineStr">
        <is>
          <t>P-97232</t>
        </is>
      </c>
      <c r="G366" s="9" t="inlineStr">
        <is>
          <t>1534662</t>
        </is>
      </c>
      <c r="H366" s="12" t="n">
        <v>198.04</v>
      </c>
      <c r="I366" s="12" t="n">
        <v>0</v>
      </c>
      <c r="J366" s="12" t="n">
        <v>4328.15</v>
      </c>
      <c r="K366" s="13" t="inlineStr">
        <is>
          <t>11/2025 Sitelink Web Edition</t>
        </is>
      </c>
    </row>
    <row r="367" ht="15" customHeight="1">
      <c r="A367" s="9" t="inlineStr">
        <is>
          <t>sms-crys</t>
        </is>
      </c>
      <c r="B367" s="9" t="inlineStr">
        <is>
          <t>Storsafe Management Solutions - Crystal Lake</t>
        </is>
      </c>
      <c r="C367" s="10" t="n">
        <v>45979</v>
      </c>
      <c r="D367" s="11" t="n">
        <v>45962</v>
      </c>
      <c r="E367" s="9" t="inlineStr">
        <is>
          <t>SpareBox Technologies (sparebox)</t>
        </is>
      </c>
      <c r="F367" s="9" t="inlineStr">
        <is>
          <t>P-97915</t>
        </is>
      </c>
      <c r="G367" s="9" t="inlineStr">
        <is>
          <t>C1AA727B0014 SMSCrystal Lake</t>
        </is>
      </c>
      <c r="H367" s="12" t="n">
        <v>99</v>
      </c>
      <c r="I367" s="12" t="n">
        <v>0</v>
      </c>
      <c r="J367" s="12" t="n">
        <v>4427.15</v>
      </c>
      <c r="K367" s="13" t="inlineStr">
        <is>
          <t>11/2025 RaFA Subscription</t>
        </is>
      </c>
    </row>
    <row r="368" ht="15" customHeight="1">
      <c r="A368" s="14" t="n"/>
      <c r="B368" s="14" t="n"/>
      <c r="C368" s="15" t="n"/>
      <c r="D368" s="15" t="n"/>
      <c r="E368" s="16" t="inlineStr">
        <is>
          <t xml:space="preserve">  Net Change=314.42</t>
        </is>
      </c>
      <c r="F368" s="14" t="n"/>
      <c r="G368" s="14" t="n"/>
      <c r="H368" s="17" t="inlineStr">
        <is>
          <t>314.42</t>
        </is>
      </c>
      <c r="I368" s="17" t="inlineStr">
        <is>
          <t>0.00</t>
        </is>
      </c>
      <c r="J368" s="17" t="inlineStr">
        <is>
          <t xml:space="preserve">  4,427.15</t>
        </is>
      </c>
      <c r="K368" s="16">
        <f> Ending Balance =</f>
        <v/>
      </c>
    </row>
    <row r="369" ht="15" customHeight="1">
      <c r="A369" s="9" t="n"/>
      <c r="B369" s="9" t="n"/>
      <c r="C369" s="9" t="n"/>
      <c r="D369" s="9" t="n"/>
      <c r="E369" s="9" t="n"/>
      <c r="F369" s="9" t="n"/>
      <c r="G369" s="9" t="n"/>
      <c r="H369" s="18" t="n"/>
      <c r="I369" s="18" t="n"/>
      <c r="J369" s="18" t="n"/>
      <c r="K369" s="9" t="n"/>
    </row>
    <row r="370" ht="15" customHeight="1">
      <c r="A370" s="16" t="inlineStr">
        <is>
          <t>7000-0045</t>
        </is>
      </c>
      <c r="B370" s="14" t="n"/>
      <c r="C370" s="14" t="n"/>
      <c r="D370" s="14" t="n"/>
      <c r="E370" s="16" t="inlineStr">
        <is>
          <t>Bank Charges Expense</t>
        </is>
      </c>
      <c r="F370" s="14" t="n"/>
      <c r="G370" s="14" t="n"/>
      <c r="H370" s="19" t="n"/>
      <c r="I370" s="19" t="n"/>
      <c r="J370" s="20" t="n">
        <v>1915.85</v>
      </c>
      <c r="K370" s="16">
        <f> Beginning Balance =</f>
        <v/>
      </c>
    </row>
    <row r="371" ht="15" customHeight="1">
      <c r="A371" s="9" t="inlineStr">
        <is>
          <t>sms-crys</t>
        </is>
      </c>
      <c r="B371" s="9" t="inlineStr">
        <is>
          <t>Storsafe Management Solutions - Crystal Lake</t>
        </is>
      </c>
      <c r="C371" s="10" t="n">
        <v>45978</v>
      </c>
      <c r="D371" s="11" t="n">
        <v>45962</v>
      </c>
      <c r="E371" s="9" t="inlineStr">
        <is>
          <t>Account Analysis Charge</t>
        </is>
      </c>
      <c r="F371" s="9" t="inlineStr">
        <is>
          <t>J-76702</t>
        </is>
      </c>
      <c r="G371" s="9" t="n"/>
      <c r="H371" s="12" t="n">
        <v>254.61</v>
      </c>
      <c r="I371" s="12" t="n">
        <v>0</v>
      </c>
      <c r="J371" s="12" t="n">
        <v>2170.46</v>
      </c>
      <c r="K371" s="13" t="inlineStr">
        <is>
          <t>Account Analysis Charge</t>
        </is>
      </c>
    </row>
    <row r="372" ht="15" customHeight="1">
      <c r="A372" s="14" t="n"/>
      <c r="B372" s="14" t="n"/>
      <c r="C372" s="15" t="n"/>
      <c r="D372" s="15" t="n"/>
      <c r="E372" s="16" t="inlineStr">
        <is>
          <t xml:space="preserve">  Net Change=254.61</t>
        </is>
      </c>
      <c r="F372" s="14" t="n"/>
      <c r="G372" s="14" t="n"/>
      <c r="H372" s="17" t="inlineStr">
        <is>
          <t>254.61</t>
        </is>
      </c>
      <c r="I372" s="17" t="inlineStr">
        <is>
          <t>0.00</t>
        </is>
      </c>
      <c r="J372" s="17" t="inlineStr">
        <is>
          <t xml:space="preserve">  2,170.46</t>
        </is>
      </c>
      <c r="K372" s="16">
        <f> Ending Balance =</f>
        <v/>
      </c>
    </row>
    <row r="373" ht="15" customHeight="1">
      <c r="A373" s="9" t="n"/>
      <c r="B373" s="9" t="n"/>
      <c r="C373" s="9" t="n"/>
      <c r="D373" s="9" t="n"/>
      <c r="E373" s="9" t="n"/>
      <c r="F373" s="9" t="n"/>
      <c r="G373" s="9" t="n"/>
      <c r="H373" s="18" t="n"/>
      <c r="I373" s="18" t="n"/>
      <c r="J373" s="18" t="n"/>
      <c r="K373" s="9" t="n"/>
    </row>
    <row r="374" ht="15" customHeight="1">
      <c r="A374" s="16" t="inlineStr">
        <is>
          <t>7000-0047</t>
        </is>
      </c>
      <c r="B374" s="14" t="n"/>
      <c r="C374" s="14" t="n"/>
      <c r="D374" s="14" t="n"/>
      <c r="E374" s="16" t="inlineStr">
        <is>
          <t>Credit Card Processing Fees</t>
        </is>
      </c>
      <c r="F374" s="14" t="n"/>
      <c r="G374" s="14" t="n"/>
      <c r="H374" s="19" t="n"/>
      <c r="I374" s="19" t="n"/>
      <c r="J374" s="20" t="n">
        <v>6562.88</v>
      </c>
      <c r="K374" s="16">
        <f> Beginning Balance =</f>
        <v/>
      </c>
    </row>
    <row r="375" ht="15" customHeight="1">
      <c r="A375" s="9" t="inlineStr">
        <is>
          <t>sms-crys</t>
        </is>
      </c>
      <c r="B375" s="9" t="inlineStr">
        <is>
          <t>Storsafe Management Solutions - Crystal Lake</t>
        </is>
      </c>
      <c r="C375" s="10" t="n">
        <v>45967</v>
      </c>
      <c r="D375" s="11" t="n">
        <v>45962</v>
      </c>
      <c r="E375" s="9" t="inlineStr">
        <is>
          <t>Credit Card Processing Fees 112025</t>
        </is>
      </c>
      <c r="F375" s="9" t="inlineStr">
        <is>
          <t>J-76700</t>
        </is>
      </c>
      <c r="G375" s="9" t="n"/>
      <c r="H375" s="12" t="n">
        <v>616.42</v>
      </c>
      <c r="I375" s="12" t="n">
        <v>0</v>
      </c>
      <c r="J375" s="12" t="n">
        <v>7179.3</v>
      </c>
      <c r="K375" s="13" t="inlineStr">
        <is>
          <t>Credit Card Processing Fees 112025</t>
        </is>
      </c>
    </row>
    <row r="376" ht="15" customHeight="1">
      <c r="A376" s="14" t="n"/>
      <c r="B376" s="14" t="n"/>
      <c r="C376" s="15" t="n"/>
      <c r="D376" s="15" t="n"/>
      <c r="E376" s="16" t="inlineStr">
        <is>
          <t xml:space="preserve">  Net Change=616.42</t>
        </is>
      </c>
      <c r="F376" s="14" t="n"/>
      <c r="G376" s="14" t="n"/>
      <c r="H376" s="17" t="inlineStr">
        <is>
          <t>616.42</t>
        </is>
      </c>
      <c r="I376" s="17" t="inlineStr">
        <is>
          <t>0.00</t>
        </is>
      </c>
      <c r="J376" s="17" t="inlineStr">
        <is>
          <t xml:space="preserve">  7,179.30</t>
        </is>
      </c>
      <c r="K376" s="16">
        <f> Ending Balance =</f>
        <v/>
      </c>
    </row>
    <row r="377" ht="15" customHeight="1">
      <c r="A377" s="9" t="n"/>
      <c r="B377" s="9" t="n"/>
      <c r="C377" s="9" t="n"/>
      <c r="D377" s="9" t="n"/>
      <c r="E377" s="9" t="n"/>
      <c r="F377" s="9" t="n"/>
      <c r="G377" s="9" t="n"/>
      <c r="H377" s="18" t="n"/>
      <c r="I377" s="18" t="n"/>
      <c r="J377" s="18" t="n"/>
      <c r="K377" s="9" t="n"/>
    </row>
    <row r="378" ht="15" customHeight="1">
      <c r="A378" s="16" t="inlineStr">
        <is>
          <t>7000-0050</t>
        </is>
      </c>
      <c r="B378" s="14" t="n"/>
      <c r="C378" s="14" t="n"/>
      <c r="D378" s="14" t="n"/>
      <c r="E378" s="16" t="inlineStr">
        <is>
          <t>Postage and Shipping Fees</t>
        </is>
      </c>
      <c r="F378" s="14" t="n"/>
      <c r="G378" s="14" t="n"/>
      <c r="H378" s="19" t="n"/>
      <c r="I378" s="19" t="n"/>
      <c r="J378" s="20" t="n">
        <v>158.66</v>
      </c>
      <c r="K378" s="16">
        <f> Beginning Balance =</f>
        <v/>
      </c>
    </row>
    <row r="379" ht="15" customHeight="1">
      <c r="A379" s="14" t="n"/>
      <c r="B379" s="14" t="n"/>
      <c r="C379" s="15" t="n"/>
      <c r="D379" s="15" t="n"/>
      <c r="E379" s="16" t="inlineStr">
        <is>
          <t xml:space="preserve">  Net Change=0.00</t>
        </is>
      </c>
      <c r="F379" s="14" t="n"/>
      <c r="G379" s="14" t="n"/>
      <c r="H379" s="17" t="inlineStr">
        <is>
          <t>0.00</t>
        </is>
      </c>
      <c r="I379" s="17" t="inlineStr">
        <is>
          <t>0.00</t>
        </is>
      </c>
      <c r="J379" s="17" t="inlineStr">
        <is>
          <t xml:space="preserve">  158.66</t>
        </is>
      </c>
      <c r="K379" s="16">
        <f> Ending Balance =</f>
        <v/>
      </c>
    </row>
    <row r="380" ht="15" customHeight="1">
      <c r="A380" s="9" t="n"/>
      <c r="B380" s="9" t="n"/>
      <c r="C380" s="9" t="n"/>
      <c r="D380" s="9" t="n"/>
      <c r="E380" s="9" t="n"/>
      <c r="F380" s="9" t="n"/>
      <c r="G380" s="9" t="n"/>
      <c r="H380" s="18" t="n"/>
      <c r="I380" s="18" t="n"/>
      <c r="J380" s="18" t="n"/>
      <c r="K380" s="9" t="n"/>
    </row>
    <row r="381" ht="15" customHeight="1">
      <c r="A381" s="16" t="inlineStr">
        <is>
          <t>7000-0054</t>
        </is>
      </c>
      <c r="B381" s="14" t="n"/>
      <c r="C381" s="14" t="n"/>
      <c r="D381" s="14" t="n"/>
      <c r="E381" s="16" t="inlineStr">
        <is>
          <t>Travel Expenses</t>
        </is>
      </c>
      <c r="F381" s="14" t="n"/>
      <c r="G381" s="14" t="n"/>
      <c r="H381" s="19" t="n"/>
      <c r="I381" s="19" t="n"/>
      <c r="J381" s="20" t="n">
        <v>73.83</v>
      </c>
      <c r="K381" s="16">
        <f> Beginning Balance =</f>
        <v/>
      </c>
    </row>
    <row r="382" ht="15" customHeight="1">
      <c r="A382" s="14" t="n"/>
      <c r="B382" s="14" t="n"/>
      <c r="C382" s="15" t="n"/>
      <c r="D382" s="15" t="n"/>
      <c r="E382" s="16" t="inlineStr">
        <is>
          <t xml:space="preserve">  Net Change=0.00</t>
        </is>
      </c>
      <c r="F382" s="14" t="n"/>
      <c r="G382" s="14" t="n"/>
      <c r="H382" s="17" t="inlineStr">
        <is>
          <t>0.00</t>
        </is>
      </c>
      <c r="I382" s="17" t="inlineStr">
        <is>
          <t>0.00</t>
        </is>
      </c>
      <c r="J382" s="17" t="inlineStr">
        <is>
          <t xml:space="preserve">  73.83</t>
        </is>
      </c>
      <c r="K382" s="16">
        <f> Ending Balance =</f>
        <v/>
      </c>
    </row>
    <row r="383" ht="15" customHeight="1">
      <c r="A383" s="9" t="n"/>
      <c r="B383" s="9" t="n"/>
      <c r="C383" s="9" t="n"/>
      <c r="D383" s="9" t="n"/>
      <c r="E383" s="9" t="n"/>
      <c r="F383" s="9" t="n"/>
      <c r="G383" s="9" t="n"/>
      <c r="H383" s="18" t="n"/>
      <c r="I383" s="18" t="n"/>
      <c r="J383" s="18" t="n"/>
      <c r="K383" s="9" t="n"/>
    </row>
    <row r="384" ht="15" customHeight="1">
      <c r="A384" s="16" t="inlineStr">
        <is>
          <t>7000-0060</t>
        </is>
      </c>
      <c r="B384" s="14" t="n"/>
      <c r="C384" s="14" t="n"/>
      <c r="D384" s="14" t="n"/>
      <c r="E384" s="16" t="inlineStr">
        <is>
          <t>Office Supplies</t>
        </is>
      </c>
      <c r="F384" s="14" t="n"/>
      <c r="G384" s="14" t="n"/>
      <c r="H384" s="19" t="n"/>
      <c r="I384" s="19" t="n"/>
      <c r="J384" s="20" t="n">
        <v>48</v>
      </c>
      <c r="K384" s="16">
        <f> Beginning Balance =</f>
        <v/>
      </c>
    </row>
    <row r="385" ht="15" customHeight="1">
      <c r="A385" s="14" t="n"/>
      <c r="B385" s="14" t="n"/>
      <c r="C385" s="15" t="n"/>
      <c r="D385" s="15" t="n"/>
      <c r="E385" s="16" t="inlineStr">
        <is>
          <t xml:space="preserve">  Net Change=0.00</t>
        </is>
      </c>
      <c r="F385" s="14" t="n"/>
      <c r="G385" s="14" t="n"/>
      <c r="H385" s="17" t="inlineStr">
        <is>
          <t>0.00</t>
        </is>
      </c>
      <c r="I385" s="17" t="inlineStr">
        <is>
          <t>0.00</t>
        </is>
      </c>
      <c r="J385" s="17" t="inlineStr">
        <is>
          <t xml:space="preserve">  48.00</t>
        </is>
      </c>
      <c r="K385" s="16">
        <f> Ending Balance =</f>
        <v/>
      </c>
    </row>
    <row r="386" ht="15" customHeight="1">
      <c r="A386" s="9" t="n"/>
      <c r="B386" s="9" t="n"/>
      <c r="C386" s="9" t="n"/>
      <c r="D386" s="9" t="n"/>
      <c r="E386" s="9" t="n"/>
      <c r="F386" s="9" t="n"/>
      <c r="G386" s="9" t="n"/>
      <c r="H386" s="18" t="n"/>
      <c r="I386" s="18" t="n"/>
      <c r="J386" s="18" t="n"/>
      <c r="K386" s="9" t="n"/>
    </row>
    <row r="387" ht="15" customHeight="1">
      <c r="A387" s="16" t="inlineStr">
        <is>
          <t>7200-0001</t>
        </is>
      </c>
      <c r="B387" s="14" t="n"/>
      <c r="C387" s="14" t="n"/>
      <c r="D387" s="14" t="n"/>
      <c r="E387" s="16" t="inlineStr">
        <is>
          <t>Answering Service</t>
        </is>
      </c>
      <c r="F387" s="14" t="n"/>
      <c r="G387" s="14" t="n"/>
      <c r="H387" s="19" t="n"/>
      <c r="I387" s="19" t="n"/>
      <c r="J387" s="20" t="n">
        <v>-117.06</v>
      </c>
      <c r="K387" s="16">
        <f> Beginning Balance =</f>
        <v/>
      </c>
    </row>
    <row r="388" ht="15" customHeight="1">
      <c r="A388" s="14" t="n"/>
      <c r="B388" s="14" t="n"/>
      <c r="C388" s="15" t="n"/>
      <c r="D388" s="15" t="n"/>
      <c r="E388" s="16" t="inlineStr">
        <is>
          <t xml:space="preserve">  Net Change=0.00</t>
        </is>
      </c>
      <c r="F388" s="14" t="n"/>
      <c r="G388" s="14" t="n"/>
      <c r="H388" s="17" t="inlineStr">
        <is>
          <t>0.00</t>
        </is>
      </c>
      <c r="I388" s="17" t="inlineStr">
        <is>
          <t>0.00</t>
        </is>
      </c>
      <c r="J388" s="17" t="inlineStr">
        <is>
          <t xml:space="preserve">  -117.06</t>
        </is>
      </c>
      <c r="K388" s="16">
        <f> Ending Balance =</f>
        <v/>
      </c>
    </row>
    <row r="389" ht="15" customHeight="1">
      <c r="A389" s="9" t="n"/>
      <c r="B389" s="9" t="n"/>
      <c r="C389" s="9" t="n"/>
      <c r="D389" s="9" t="n"/>
      <c r="E389" s="9" t="n"/>
      <c r="F389" s="9" t="n"/>
      <c r="G389" s="9" t="n"/>
      <c r="H389" s="18" t="n"/>
      <c r="I389" s="18" t="n"/>
      <c r="J389" s="18" t="n"/>
      <c r="K389" s="9" t="n"/>
    </row>
    <row r="390" ht="15" customHeight="1">
      <c r="A390" s="16" t="inlineStr">
        <is>
          <t>7200-0002</t>
        </is>
      </c>
      <c r="B390" s="14" t="n"/>
      <c r="C390" s="14" t="n"/>
      <c r="D390" s="14" t="n"/>
      <c r="E390" s="16" t="inlineStr">
        <is>
          <t>Communication Center</t>
        </is>
      </c>
      <c r="F390" s="14" t="n"/>
      <c r="G390" s="14" t="n"/>
      <c r="H390" s="19" t="n"/>
      <c r="I390" s="19" t="n"/>
      <c r="J390" s="20" t="n">
        <v>6700.6</v>
      </c>
      <c r="K390" s="16">
        <f> Beginning Balance =</f>
        <v/>
      </c>
    </row>
    <row r="391" ht="15" customHeight="1">
      <c r="A391" s="9" t="inlineStr">
        <is>
          <t>sms-crys</t>
        </is>
      </c>
      <c r="B391" s="9" t="inlineStr">
        <is>
          <t>Storsafe Management Solutions - Crystal Lake</t>
        </is>
      </c>
      <c r="C391" s="10" t="n">
        <v>45962</v>
      </c>
      <c r="D391" s="11" t="n">
        <v>45962</v>
      </c>
      <c r="E391" s="9" t="inlineStr">
        <is>
          <t>Venn US, Inc. (venn)</t>
        </is>
      </c>
      <c r="F391" s="9" t="inlineStr">
        <is>
          <t>P-97504</t>
        </is>
      </c>
      <c r="G391" s="9" t="inlineStr">
        <is>
          <t>INV00087775 SMS Crystal Lake</t>
        </is>
      </c>
      <c r="H391" s="12" t="n">
        <v>44.64</v>
      </c>
      <c r="I391" s="12" t="n">
        <v>0</v>
      </c>
      <c r="J391" s="12" t="n">
        <v>6745.24</v>
      </c>
      <c r="K391" s="13" t="inlineStr">
        <is>
          <t>11/2025 Software for the Comm Center VAs</t>
        </is>
      </c>
    </row>
    <row r="392" ht="15" customHeight="1">
      <c r="A392" s="9" t="inlineStr">
        <is>
          <t>sms-crys</t>
        </is>
      </c>
      <c r="B392" s="9" t="inlineStr">
        <is>
          <t>Storsafe Management Solutions - Crystal Lake</t>
        </is>
      </c>
      <c r="C392" s="10" t="n">
        <v>45962</v>
      </c>
      <c r="D392" s="11" t="n">
        <v>45962</v>
      </c>
      <c r="E392" s="9" t="inlineStr">
        <is>
          <t>StoreEase, Inc. (storeease)</t>
        </is>
      </c>
      <c r="F392" s="9" t="inlineStr">
        <is>
          <t>P-98351</t>
        </is>
      </c>
      <c r="G392" s="9" t="inlineStr">
        <is>
          <t>INV6138</t>
        </is>
      </c>
      <c r="H392" s="12" t="n">
        <v>250</v>
      </c>
      <c r="I392" s="12" t="n">
        <v>0</v>
      </c>
      <c r="J392" s="12" t="n">
        <v>6995.24</v>
      </c>
      <c r="K392" s="13" t="inlineStr">
        <is>
          <t>November Call Center Fee</t>
        </is>
      </c>
    </row>
    <row r="393" ht="15" customHeight="1">
      <c r="A393" s="9" t="inlineStr">
        <is>
          <t>sms-crys</t>
        </is>
      </c>
      <c r="B393" s="9" t="inlineStr">
        <is>
          <t>Storsafe Management Solutions - Crystal Lake</t>
        </is>
      </c>
      <c r="C393" s="10" t="n">
        <v>45982</v>
      </c>
      <c r="D393" s="11" t="n">
        <v>45962</v>
      </c>
      <c r="E393" s="9" t="inlineStr">
        <is>
          <t>StorSafe Self Storage Management LLC  (storsafe)</t>
        </is>
      </c>
      <c r="F393" s="9" t="inlineStr">
        <is>
          <t>P-97964</t>
        </is>
      </c>
      <c r="G393" s="9" t="inlineStr">
        <is>
          <t>11.21 Payroll - Crystal</t>
        </is>
      </c>
      <c r="H393" s="12" t="n">
        <v>166.15</v>
      </c>
      <c r="I393" s="12" t="n">
        <v>0</v>
      </c>
      <c r="J393" s="12" t="n">
        <v>7161.39</v>
      </c>
      <c r="K393" s="13" t="inlineStr">
        <is>
          <t>11.21 Payroll - Crystal</t>
        </is>
      </c>
    </row>
    <row r="394" ht="15" customHeight="1">
      <c r="A394" s="9" t="inlineStr">
        <is>
          <t>sms-crys</t>
        </is>
      </c>
      <c r="B394" s="9" t="inlineStr">
        <is>
          <t>Storsafe Management Solutions - Crystal Lake</t>
        </is>
      </c>
      <c r="C394" s="10" t="n">
        <v>45996</v>
      </c>
      <c r="D394" s="11" t="n">
        <v>45962</v>
      </c>
      <c r="E394" s="9" t="inlineStr">
        <is>
          <t>StorSafe Self Storage Management LLC  (storsafe)</t>
        </is>
      </c>
      <c r="F394" s="9" t="inlineStr">
        <is>
          <t>P-98249</t>
        </is>
      </c>
      <c r="G394" s="9" t="inlineStr">
        <is>
          <t>12.05 Payroll - SMS Crystal</t>
        </is>
      </c>
      <c r="H394" s="12" t="n">
        <v>166.15</v>
      </c>
      <c r="I394" s="12" t="n">
        <v>0</v>
      </c>
      <c r="J394" s="12" t="n">
        <v>7327.54</v>
      </c>
      <c r="K394" s="13" t="inlineStr">
        <is>
          <t>12.05 Payroll - SMS Crystal</t>
        </is>
      </c>
    </row>
    <row r="395" ht="15" customHeight="1">
      <c r="A395" s="14" t="n"/>
      <c r="B395" s="14" t="n"/>
      <c r="C395" s="15" t="n"/>
      <c r="D395" s="15" t="n"/>
      <c r="E395" s="16" t="inlineStr">
        <is>
          <t xml:space="preserve">  Net Change=626.94</t>
        </is>
      </c>
      <c r="F395" s="14" t="n"/>
      <c r="G395" s="14" t="n"/>
      <c r="H395" s="17" t="inlineStr">
        <is>
          <t>626.94</t>
        </is>
      </c>
      <c r="I395" s="17" t="inlineStr">
        <is>
          <t>0.00</t>
        </is>
      </c>
      <c r="J395" s="17" t="inlineStr">
        <is>
          <t xml:space="preserve">  7,327.54</t>
        </is>
      </c>
      <c r="K395" s="16">
        <f> Ending Balance =</f>
        <v/>
      </c>
    </row>
    <row r="396" ht="15" customHeight="1">
      <c r="A396" s="9" t="n"/>
      <c r="B396" s="9" t="n"/>
      <c r="C396" s="9" t="n"/>
      <c r="D396" s="9" t="n"/>
      <c r="E396" s="9" t="n"/>
      <c r="F396" s="9" t="n"/>
      <c r="G396" s="9" t="n"/>
      <c r="H396" s="18" t="n"/>
      <c r="I396" s="18" t="n"/>
      <c r="J396" s="18" t="n"/>
      <c r="K396" s="9" t="n"/>
    </row>
    <row r="397" ht="15" customHeight="1">
      <c r="A397" s="16" t="inlineStr">
        <is>
          <t>7200-0003</t>
        </is>
      </c>
      <c r="B397" s="14" t="n"/>
      <c r="C397" s="14" t="n"/>
      <c r="D397" s="14" t="n"/>
      <c r="E397" s="16" t="inlineStr">
        <is>
          <t>Auction Costs</t>
        </is>
      </c>
      <c r="F397" s="14" t="n"/>
      <c r="G397" s="14" t="n"/>
      <c r="H397" s="19" t="n"/>
      <c r="I397" s="19" t="n"/>
      <c r="J397" s="20" t="n">
        <v>915.64</v>
      </c>
      <c r="K397" s="16">
        <f> Beginning Balance =</f>
        <v/>
      </c>
    </row>
    <row r="398" ht="15" customHeight="1">
      <c r="A398" s="9" t="inlineStr">
        <is>
          <t>sms-crys</t>
        </is>
      </c>
      <c r="B398" s="9" t="inlineStr">
        <is>
          <t>Storsafe Management Solutions - Crystal Lake</t>
        </is>
      </c>
      <c r="C398" s="10" t="n">
        <v>45901</v>
      </c>
      <c r="D398" s="11" t="n">
        <v>45962</v>
      </c>
      <c r="E398" s="9" t="inlineStr">
        <is>
          <t>AI Lean Inc. (ailean)</t>
        </is>
      </c>
      <c r="F398" s="9" t="inlineStr">
        <is>
          <t>P-96576</t>
        </is>
      </c>
      <c r="G398" s="9" t="inlineStr">
        <is>
          <t>7173 SMSCrystal Lake 112025</t>
        </is>
      </c>
      <c r="H398" s="12" t="n">
        <v>272.12</v>
      </c>
      <c r="I398" s="12" t="n">
        <v>0</v>
      </c>
      <c r="J398" s="12" t="n">
        <v>1187.76</v>
      </c>
      <c r="K398" s="13" t="inlineStr">
        <is>
          <t>11/2025 Saas Fees</t>
        </is>
      </c>
    </row>
    <row r="399" ht="15" customHeight="1">
      <c r="A399" s="9" t="inlineStr">
        <is>
          <t>sms-crys</t>
        </is>
      </c>
      <c r="B399" s="9" t="inlineStr">
        <is>
          <t>Storsafe Management Solutions - Crystal Lake</t>
        </is>
      </c>
      <c r="C399" s="10" t="n">
        <v>45962</v>
      </c>
      <c r="D399" s="11" t="n">
        <v>45962</v>
      </c>
      <c r="E399" s="9" t="inlineStr">
        <is>
          <t>AI Lean Inc. (ailean)</t>
        </is>
      </c>
      <c r="F399" s="9" t="inlineStr">
        <is>
          <t>P-98209</t>
        </is>
      </c>
      <c r="G399" s="9" t="inlineStr">
        <is>
          <t>7521 SMSCrystal Lake</t>
        </is>
      </c>
      <c r="H399" s="12" t="n">
        <v>10</v>
      </c>
      <c r="I399" s="12" t="n">
        <v>0</v>
      </c>
      <c r="J399" s="12" t="n">
        <v>1197.76</v>
      </c>
      <c r="K399" s="13" t="inlineStr">
        <is>
          <t>November TMS Charges</t>
        </is>
      </c>
    </row>
    <row r="400" ht="15" customHeight="1">
      <c r="A400" s="9" t="inlineStr">
        <is>
          <t>sms-crys</t>
        </is>
      </c>
      <c r="B400" s="9" t="inlineStr">
        <is>
          <t>Storsafe Management Solutions - Crystal Lake</t>
        </is>
      </c>
      <c r="C400" s="10" t="n">
        <v>45991</v>
      </c>
      <c r="D400" s="11" t="n">
        <v>45962</v>
      </c>
      <c r="E400" s="9" t="inlineStr">
        <is>
          <t>11.2025 CapOne - SMS Crystal Lake</t>
        </is>
      </c>
      <c r="F400" s="9" t="inlineStr">
        <is>
          <t>J-76834</t>
        </is>
      </c>
      <c r="G400" s="9" t="n"/>
      <c r="H400" s="12" t="n">
        <v>39</v>
      </c>
      <c r="I400" s="12" t="n">
        <v>0</v>
      </c>
      <c r="J400" s="12" t="n">
        <v>1236.76</v>
      </c>
      <c r="K400" s="13" t="inlineStr">
        <is>
          <t>11.2025 CapOne - Locker Fox</t>
        </is>
      </c>
    </row>
    <row r="401" ht="15" customHeight="1">
      <c r="A401" s="14" t="n"/>
      <c r="B401" s="14" t="n"/>
      <c r="C401" s="15" t="n"/>
      <c r="D401" s="15" t="n"/>
      <c r="E401" s="16" t="inlineStr">
        <is>
          <t xml:space="preserve">  Net Change=321.12</t>
        </is>
      </c>
      <c r="F401" s="14" t="n"/>
      <c r="G401" s="14" t="n"/>
      <c r="H401" s="17" t="inlineStr">
        <is>
          <t>321.12</t>
        </is>
      </c>
      <c r="I401" s="17" t="inlineStr">
        <is>
          <t>0.00</t>
        </is>
      </c>
      <c r="J401" s="17" t="inlineStr">
        <is>
          <t xml:space="preserve">  1,236.76</t>
        </is>
      </c>
      <c r="K401" s="16">
        <f> Ending Balance =</f>
        <v/>
      </c>
    </row>
    <row r="402" ht="15" customHeight="1">
      <c r="A402" s="9" t="n"/>
      <c r="B402" s="9" t="n"/>
      <c r="C402" s="9" t="n"/>
      <c r="D402" s="9" t="n"/>
      <c r="E402" s="9" t="n"/>
      <c r="F402" s="9" t="n"/>
      <c r="G402" s="9" t="n"/>
      <c r="H402" s="18" t="n"/>
      <c r="I402" s="18" t="n"/>
      <c r="J402" s="18" t="n"/>
      <c r="K402" s="9" t="n"/>
    </row>
    <row r="403" ht="15" customHeight="1">
      <c r="A403" s="16" t="inlineStr">
        <is>
          <t>7200-0020</t>
        </is>
      </c>
      <c r="B403" s="14" t="n"/>
      <c r="C403" s="14" t="n"/>
      <c r="D403" s="14" t="n"/>
      <c r="E403" s="16" t="inlineStr">
        <is>
          <t>Professional Fees</t>
        </is>
      </c>
      <c r="F403" s="14" t="n"/>
      <c r="G403" s="14" t="n"/>
      <c r="H403" s="19" t="n"/>
      <c r="I403" s="19" t="n"/>
      <c r="J403" s="20" t="n">
        <v>103</v>
      </c>
      <c r="K403" s="16">
        <f> Beginning Balance =</f>
        <v/>
      </c>
    </row>
    <row r="404" ht="15" customHeight="1">
      <c r="A404" s="9" t="inlineStr">
        <is>
          <t>sms-crys</t>
        </is>
      </c>
      <c r="B404" s="9" t="inlineStr">
        <is>
          <t>Storsafe Management Solutions - Crystal Lake</t>
        </is>
      </c>
      <c r="C404" s="10" t="n">
        <v>45994</v>
      </c>
      <c r="D404" s="11" t="n">
        <v>45962</v>
      </c>
      <c r="E404" s="9" t="inlineStr">
        <is>
          <t>StorSafe Self Storage Management LLC  (storsafe)</t>
        </is>
      </c>
      <c r="F404" s="9" t="inlineStr">
        <is>
          <t>P-98437</t>
        </is>
      </c>
      <c r="G404" s="9" t="inlineStr">
        <is>
          <t>20945-433 SMSCrystal Lake</t>
        </is>
      </c>
      <c r="H404" s="12" t="n">
        <v>18</v>
      </c>
      <c r="I404" s="12" t="n">
        <v>0</v>
      </c>
      <c r="J404" s="12" t="n">
        <v>121</v>
      </c>
      <c r="K404" s="13" t="inlineStr">
        <is>
          <t>11/2025 Capturis Service</t>
        </is>
      </c>
    </row>
    <row r="405" ht="15" customHeight="1">
      <c r="A405" s="14" t="n"/>
      <c r="B405" s="14" t="n"/>
      <c r="C405" s="15" t="n"/>
      <c r="D405" s="15" t="n"/>
      <c r="E405" s="16" t="inlineStr">
        <is>
          <t xml:space="preserve">  Net Change=18.00</t>
        </is>
      </c>
      <c r="F405" s="14" t="n"/>
      <c r="G405" s="14" t="n"/>
      <c r="H405" s="17" t="inlineStr">
        <is>
          <t>18.00</t>
        </is>
      </c>
      <c r="I405" s="17" t="inlineStr">
        <is>
          <t>0.00</t>
        </is>
      </c>
      <c r="J405" s="17" t="inlineStr">
        <is>
          <t xml:space="preserve">  121.00</t>
        </is>
      </c>
      <c r="K405" s="16">
        <f> Ending Balance =</f>
        <v/>
      </c>
    </row>
    <row r="406" ht="15" customHeight="1">
      <c r="A406" s="9" t="n"/>
      <c r="B406" s="9" t="n"/>
      <c r="C406" s="9" t="n"/>
      <c r="D406" s="9" t="n"/>
      <c r="E406" s="9" t="n"/>
      <c r="F406" s="9" t="n"/>
      <c r="G406" s="9" t="n"/>
      <c r="H406" s="18" t="n"/>
      <c r="I406" s="18" t="n"/>
      <c r="J406" s="18" t="n"/>
      <c r="K406" s="9" t="n"/>
    </row>
    <row r="407" ht="15" customHeight="1">
      <c r="A407" s="16" t="inlineStr">
        <is>
          <t>7310-0005</t>
        </is>
      </c>
      <c r="B407" s="14" t="n"/>
      <c r="C407" s="14" t="n"/>
      <c r="D407" s="14" t="n"/>
      <c r="E407" s="16" t="inlineStr">
        <is>
          <t>Supervisory Payroll Expense</t>
        </is>
      </c>
      <c r="F407" s="14" t="n"/>
      <c r="G407" s="14" t="n"/>
      <c r="H407" s="19" t="n"/>
      <c r="I407" s="19" t="n"/>
      <c r="J407" s="20" t="n">
        <v>4175.87</v>
      </c>
      <c r="K407" s="16">
        <f> Beginning Balance =</f>
        <v/>
      </c>
    </row>
    <row r="408" ht="15" customHeight="1">
      <c r="A408" s="9" t="inlineStr">
        <is>
          <t>sms-crys</t>
        </is>
      </c>
      <c r="B408" s="9" t="inlineStr">
        <is>
          <t>Storsafe Management Solutions - Crystal Lake</t>
        </is>
      </c>
      <c r="C408" s="10" t="n">
        <v>45962</v>
      </c>
      <c r="D408" s="11" t="n">
        <v>45962</v>
      </c>
      <c r="E408" s="9" t="inlineStr">
        <is>
          <t>:Reversal of J-75839</t>
        </is>
      </c>
      <c r="F408" s="9" t="inlineStr">
        <is>
          <t>J-75840</t>
        </is>
      </c>
      <c r="G408" s="9" t="inlineStr">
        <is>
          <t>:Reversal of J-75839</t>
        </is>
      </c>
      <c r="H408" s="12" t="n">
        <v>13.74</v>
      </c>
      <c r="I408" s="12" t="n">
        <v>0</v>
      </c>
      <c r="J408" s="12" t="n">
        <v>4189.61</v>
      </c>
      <c r="K408" s="13" t="inlineStr">
        <is>
          <t>Adj 11/1 from 10.2025 payroll expense</t>
        </is>
      </c>
    </row>
    <row r="409" ht="15" customHeight="1">
      <c r="A409" s="9" t="inlineStr">
        <is>
          <t>sms-crys</t>
        </is>
      </c>
      <c r="B409" s="9" t="inlineStr">
        <is>
          <t>Storsafe Management Solutions - Crystal Lake</t>
        </is>
      </c>
      <c r="C409" s="10" t="n">
        <v>45982</v>
      </c>
      <c r="D409" s="11" t="n">
        <v>45962</v>
      </c>
      <c r="E409" s="9" t="inlineStr">
        <is>
          <t>StorSafe Self Storage Management LLC  (storsafe)</t>
        </is>
      </c>
      <c r="F409" s="9" t="inlineStr">
        <is>
          <t>P-97964</t>
        </is>
      </c>
      <c r="G409" s="9" t="inlineStr">
        <is>
          <t>11.21 Payroll - Crystal</t>
        </is>
      </c>
      <c r="H409" s="12" t="n">
        <v>192.31</v>
      </c>
      <c r="I409" s="12" t="n">
        <v>0</v>
      </c>
      <c r="J409" s="12" t="n">
        <v>4381.92</v>
      </c>
      <c r="K409" s="13" t="inlineStr">
        <is>
          <t>11.21 Payroll - Crystal</t>
        </is>
      </c>
    </row>
    <row r="410" ht="15" customHeight="1">
      <c r="A410" s="9" t="inlineStr">
        <is>
          <t>sms-crys</t>
        </is>
      </c>
      <c r="B410" s="9" t="inlineStr">
        <is>
          <t>Storsafe Management Solutions - Crystal Lake</t>
        </is>
      </c>
      <c r="C410" s="10" t="n">
        <v>45991</v>
      </c>
      <c r="D410" s="11" t="n">
        <v>45962</v>
      </c>
      <c r="E410" s="9" t="inlineStr">
        <is>
          <t>11.30.2025 payroll accrual</t>
        </is>
      </c>
      <c r="F410" s="9" t="inlineStr">
        <is>
          <t>J-76878</t>
        </is>
      </c>
      <c r="G410" s="9" t="n"/>
      <c r="H410" s="12" t="n">
        <v>13.74</v>
      </c>
      <c r="I410" s="12" t="n">
        <v>0</v>
      </c>
      <c r="J410" s="12" t="n">
        <v>4395.66</v>
      </c>
      <c r="K410" s="13" t="inlineStr">
        <is>
          <t>11.30.2025 payroll accrual</t>
        </is>
      </c>
    </row>
    <row r="411" ht="15" customHeight="1">
      <c r="A411" s="9" t="inlineStr">
        <is>
          <t>sms-crys</t>
        </is>
      </c>
      <c r="B411" s="9" t="inlineStr">
        <is>
          <t>Storsafe Management Solutions - Crystal Lake</t>
        </is>
      </c>
      <c r="C411" s="10" t="n">
        <v>45996</v>
      </c>
      <c r="D411" s="11" t="n">
        <v>45962</v>
      </c>
      <c r="E411" s="9" t="inlineStr">
        <is>
          <t>StorSafe Self Storage Management LLC  (storsafe)</t>
        </is>
      </c>
      <c r="F411" s="9" t="inlineStr">
        <is>
          <t>P-98249</t>
        </is>
      </c>
      <c r="G411" s="9" t="inlineStr">
        <is>
          <t>12.05 Payroll - SMS Crystal</t>
        </is>
      </c>
      <c r="H411" s="12" t="n">
        <v>192.31</v>
      </c>
      <c r="I411" s="12" t="n">
        <v>0</v>
      </c>
      <c r="J411" s="12" t="n">
        <v>4587.97</v>
      </c>
      <c r="K411" s="13" t="inlineStr">
        <is>
          <t>12.05 Payroll - SMS Crystal</t>
        </is>
      </c>
    </row>
    <row r="412" ht="15" customHeight="1">
      <c r="A412" s="14" t="n"/>
      <c r="B412" s="14" t="n"/>
      <c r="C412" s="15" t="n"/>
      <c r="D412" s="15" t="n"/>
      <c r="E412" s="16" t="inlineStr">
        <is>
          <t xml:space="preserve">  Net Change=412.10</t>
        </is>
      </c>
      <c r="F412" s="14" t="n"/>
      <c r="G412" s="14" t="n"/>
      <c r="H412" s="17" t="inlineStr">
        <is>
          <t>412.10</t>
        </is>
      </c>
      <c r="I412" s="17" t="inlineStr">
        <is>
          <t>0.00</t>
        </is>
      </c>
      <c r="J412" s="17" t="inlineStr">
        <is>
          <t xml:space="preserve">  4,587.97</t>
        </is>
      </c>
      <c r="K412" s="16">
        <f> Ending Balance =</f>
        <v/>
      </c>
    </row>
    <row r="413" ht="15" customHeight="1">
      <c r="A413" s="9" t="n"/>
      <c r="B413" s="9" t="n"/>
      <c r="C413" s="9" t="n"/>
      <c r="D413" s="9" t="n"/>
      <c r="E413" s="9" t="n"/>
      <c r="F413" s="9" t="n"/>
      <c r="G413" s="9" t="n"/>
      <c r="H413" s="18" t="n"/>
      <c r="I413" s="18" t="n"/>
      <c r="J413" s="18" t="n"/>
      <c r="K413" s="9" t="n"/>
    </row>
    <row r="414" ht="15" customHeight="1">
      <c r="A414" s="16" t="inlineStr">
        <is>
          <t>8170-0000</t>
        </is>
      </c>
      <c r="B414" s="14" t="n"/>
      <c r="C414" s="14" t="n"/>
      <c r="D414" s="14" t="n"/>
      <c r="E414" s="16" t="inlineStr">
        <is>
          <t>Signage and Awnings</t>
        </is>
      </c>
      <c r="F414" s="14" t="n"/>
      <c r="G414" s="14" t="n"/>
      <c r="H414" s="19" t="n"/>
      <c r="I414" s="19" t="n"/>
      <c r="J414" s="20" t="n">
        <v>841.5700000000001</v>
      </c>
      <c r="K414" s="16">
        <f> Beginning Balance =</f>
        <v/>
      </c>
    </row>
    <row r="415" ht="15" customHeight="1">
      <c r="A415" s="14" t="n"/>
      <c r="B415" s="14" t="n"/>
      <c r="C415" s="15" t="n"/>
      <c r="D415" s="15" t="n"/>
      <c r="E415" s="16" t="inlineStr">
        <is>
          <t xml:space="preserve">  Net Change=0.00</t>
        </is>
      </c>
      <c r="F415" s="14" t="n"/>
      <c r="G415" s="14" t="n"/>
      <c r="H415" s="17" t="inlineStr">
        <is>
          <t>0.00</t>
        </is>
      </c>
      <c r="I415" s="17" t="inlineStr">
        <is>
          <t>0.00</t>
        </is>
      </c>
      <c r="J415" s="17" t="inlineStr">
        <is>
          <t xml:space="preserve">  841.57</t>
        </is>
      </c>
      <c r="K415" s="16">
        <f> Ending Balance =</f>
        <v/>
      </c>
    </row>
    <row r="416" ht="15" customHeight="1">
      <c r="A416" s="9" t="n"/>
      <c r="B416" s="9" t="n"/>
      <c r="C416" s="9" t="n"/>
      <c r="D416" s="9" t="n"/>
      <c r="E416" s="9" t="n"/>
      <c r="F416" s="9" t="n"/>
      <c r="G416" s="9" t="n"/>
      <c r="H416" s="18" t="n"/>
      <c r="I416" s="18" t="n"/>
      <c r="J416" s="18" t="n"/>
      <c r="K416" s="9" t="n"/>
    </row>
    <row r="417" ht="15" customHeight="1">
      <c r="A417" s="16" t="inlineStr">
        <is>
          <t>8179-9999</t>
        </is>
      </c>
      <c r="B417" s="14" t="n"/>
      <c r="C417" s="14" t="n"/>
      <c r="D417" s="14" t="n"/>
      <c r="E417" s="16" t="inlineStr">
        <is>
          <t>Repairs Major</t>
        </is>
      </c>
      <c r="F417" s="14" t="n"/>
      <c r="G417" s="14" t="n"/>
      <c r="H417" s="19" t="n"/>
      <c r="I417" s="19" t="n"/>
      <c r="J417" s="20" t="n">
        <v>5385</v>
      </c>
      <c r="K417" s="16">
        <f> Beginning Balance =</f>
        <v/>
      </c>
    </row>
    <row r="418" ht="15" customHeight="1">
      <c r="A418" s="14" t="n"/>
      <c r="B418" s="14" t="n"/>
      <c r="C418" s="15" t="n"/>
      <c r="D418" s="15" t="n"/>
      <c r="E418" s="16" t="inlineStr">
        <is>
          <t xml:space="preserve">  Net Change=0.00</t>
        </is>
      </c>
      <c r="F418" s="14" t="n"/>
      <c r="G418" s="14" t="n"/>
      <c r="H418" s="17" t="inlineStr">
        <is>
          <t>0.00</t>
        </is>
      </c>
      <c r="I418" s="17" t="inlineStr">
        <is>
          <t>0.00</t>
        </is>
      </c>
      <c r="J418" s="17" t="inlineStr">
        <is>
          <t xml:space="preserve">  5,385.00</t>
        </is>
      </c>
      <c r="K418" s="16">
        <f> Ending Balance =</f>
        <v/>
      </c>
    </row>
    <row r="419" ht="15" customHeight="1">
      <c r="A419" s="9" t="n"/>
      <c r="B419" s="9" t="n"/>
      <c r="C419" s="9" t="n"/>
      <c r="D419" s="9" t="n"/>
      <c r="E419" s="9" t="n"/>
      <c r="F419" s="9" t="n"/>
      <c r="G419" s="9" t="n"/>
      <c r="H419" s="18" t="n"/>
      <c r="I419" s="18" t="n"/>
      <c r="J419" s="18" t="n"/>
      <c r="K419" s="9" t="n"/>
    </row>
    <row r="420" ht="15" customHeight="1">
      <c r="A420" s="16" t="inlineStr">
        <is>
          <t>8540-0000</t>
        </is>
      </c>
      <c r="B420" s="14" t="n"/>
      <c r="C420" s="14" t="n"/>
      <c r="D420" s="14" t="n"/>
      <c r="E420" s="16" t="inlineStr">
        <is>
          <t>Loan Interest</t>
        </is>
      </c>
      <c r="F420" s="14" t="n"/>
      <c r="G420" s="14" t="n"/>
      <c r="H420" s="19" t="n"/>
      <c r="I420" s="19" t="n"/>
      <c r="J420" s="20" t="n">
        <v>66906.39999999999</v>
      </c>
      <c r="K420" s="16">
        <f> Beginning Balance =</f>
        <v/>
      </c>
    </row>
    <row r="421" ht="15" customHeight="1">
      <c r="A421" s="9" t="inlineStr">
        <is>
          <t>sms-crys</t>
        </is>
      </c>
      <c r="B421" s="9" t="inlineStr">
        <is>
          <t>Storsafe Management Solutions - Crystal Lake</t>
        </is>
      </c>
      <c r="C421" s="10" t="n">
        <v>45981</v>
      </c>
      <c r="D421" s="11" t="n">
        <v>45962</v>
      </c>
      <c r="E421" s="9" t="inlineStr">
        <is>
          <t>11/2025 Loan Payment</t>
        </is>
      </c>
      <c r="F421" s="9" t="inlineStr">
        <is>
          <t>J-76710</t>
        </is>
      </c>
      <c r="G421" s="9" t="n"/>
      <c r="H421" s="12" t="n">
        <v>8575.530000000001</v>
      </c>
      <c r="I421" s="12" t="n">
        <v>0</v>
      </c>
      <c r="J421" s="12" t="n">
        <v>75481.92999999999</v>
      </c>
      <c r="K421" s="13" t="inlineStr">
        <is>
          <t>11/2025 Loan Payment</t>
        </is>
      </c>
    </row>
    <row r="422" ht="15" customHeight="1">
      <c r="A422" s="14" t="n"/>
      <c r="B422" s="14" t="n"/>
      <c r="C422" s="15" t="n"/>
      <c r="D422" s="15" t="n"/>
      <c r="E422" s="16" t="inlineStr">
        <is>
          <t xml:space="preserve">  Net Change=8,575.53</t>
        </is>
      </c>
      <c r="F422" s="14" t="n"/>
      <c r="G422" s="14" t="n"/>
      <c r="H422" s="17" t="inlineStr">
        <is>
          <t>8,575.53</t>
        </is>
      </c>
      <c r="I422" s="17" t="inlineStr">
        <is>
          <t>0.00</t>
        </is>
      </c>
      <c r="J422" s="17" t="inlineStr">
        <is>
          <t xml:space="preserve">  75,481.93</t>
        </is>
      </c>
      <c r="K422" s="16">
        <f> Ending Balance =</f>
        <v/>
      </c>
    </row>
    <row r="423" ht="15" customHeight="1">
      <c r="A423" s="9" t="n"/>
      <c r="B423" s="9" t="n"/>
      <c r="C423" s="9" t="n"/>
      <c r="D423" s="9" t="n"/>
      <c r="E423" s="9" t="n"/>
      <c r="F423" s="9" t="n"/>
      <c r="G423" s="9" t="n"/>
      <c r="H423" s="21" t="n"/>
      <c r="I423" s="21" t="n"/>
      <c r="J423" s="18" t="n"/>
      <c r="K423" s="9" t="n"/>
    </row>
    <row r="424" ht="15" customHeight="1">
      <c r="A424" s="13" t="n"/>
      <c r="B424" s="13" t="n"/>
      <c r="C424" s="13" t="n"/>
      <c r="D424" s="13" t="n"/>
      <c r="E424" s="13" t="n"/>
      <c r="F424" s="13" t="n"/>
      <c r="G424" s="13" t="n"/>
      <c r="H424" s="22" t="n">
        <v>91688.39</v>
      </c>
      <c r="I424" s="22" t="n">
        <v>91688.39</v>
      </c>
      <c r="J424" s="23" t="n"/>
      <c r="K424" s="13" t="n"/>
    </row>
  </sheetData>
  <mergeCells count="5">
    <mergeCell ref="A4:K4"/>
    <mergeCell ref="A3:K3"/>
    <mergeCell ref="A2:K2"/>
    <mergeCell ref="A5:K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selection activeCell="A1" sqref="A1"/>
    </sheetView>
  </sheetViews>
  <sheetFormatPr baseColWidth="8" defaultRowHeight="15"/>
  <cols>
    <col width="37.1428571428571" customWidth="1" min="1" max="1"/>
    <col width="17.1428571428571" customWidth="1" min="2" max="2"/>
  </cols>
  <sheetData>
    <row r="1" ht="15" customHeight="1">
      <c r="A1" s="1" t="inlineStr">
        <is>
          <t>Storsafe Management Solutions - Crystal Lake (sms-crys)</t>
        </is>
      </c>
    </row>
    <row r="2" ht="15.75" customHeight="1">
      <c r="A2" s="2" t="inlineStr">
        <is>
          <t>Cash Flow Statement</t>
        </is>
      </c>
    </row>
    <row r="3" ht="15" customHeight="1">
      <c r="A3" s="1" t="inlineStr">
        <is>
          <t>Period = Nov 2025</t>
        </is>
      </c>
    </row>
    <row r="4" ht="15" customHeight="1">
      <c r="A4" s="1" t="inlineStr">
        <is>
          <t>Book = Accrual ; Tree = ysi_cf</t>
        </is>
      </c>
    </row>
    <row r="5" ht="15" customHeight="1">
      <c r="A5" s="3" t="n"/>
      <c r="B5" s="24" t="inlineStr">
        <is>
          <t xml:space="preserve"> Period to Date</t>
        </is>
      </c>
      <c r="C5" s="24" t="inlineStr">
        <is>
          <t>%</t>
        </is>
      </c>
      <c r="D5" s="24" t="inlineStr">
        <is>
          <t xml:space="preserve"> Year to Date</t>
        </is>
      </c>
      <c r="E5" s="24" t="inlineStr">
        <is>
          <t>%</t>
        </is>
      </c>
    </row>
    <row r="6" ht="15" customHeight="1">
      <c r="A6" s="25" t="inlineStr">
        <is>
          <t xml:space="preserve"> INCOME</t>
        </is>
      </c>
      <c r="B6" s="26" t="n"/>
      <c r="C6" s="26" t="n"/>
      <c r="D6" s="26" t="n"/>
      <c r="E6" s="26" t="n"/>
    </row>
    <row r="7" ht="15" customHeight="1">
      <c r="A7" s="9" t="n"/>
      <c r="B7" s="27" t="n"/>
      <c r="C7" s="27" t="n"/>
      <c r="D7" s="27" t="n"/>
      <c r="E7" s="27" t="n"/>
    </row>
    <row r="8" ht="15" customHeight="1">
      <c r="A8" s="9" t="inlineStr">
        <is>
          <t xml:space="preserve">    RENT INCOME</t>
        </is>
      </c>
      <c r="B8" s="18" t="n"/>
      <c r="C8" s="18" t="n"/>
      <c r="D8" s="18" t="n"/>
      <c r="E8" s="18" t="n"/>
    </row>
    <row r="9" ht="15" customHeight="1">
      <c r="A9" s="9" t="inlineStr">
        <is>
          <t xml:space="preserve">        Storage Rent</t>
        </is>
      </c>
      <c r="B9" s="12" t="n">
        <v>33000.15</v>
      </c>
      <c r="C9" s="12" t="n">
        <v>0</v>
      </c>
      <c r="D9" s="12" t="n">
        <v>341296.04</v>
      </c>
      <c r="E9" s="12" t="n">
        <v>0</v>
      </c>
    </row>
    <row r="10" ht="15" customHeight="1">
      <c r="A10" s="9" t="inlineStr">
        <is>
          <t xml:space="preserve">        Less: Concessions</t>
        </is>
      </c>
      <c r="B10" s="28" t="n">
        <v>-661.1900000000001</v>
      </c>
      <c r="C10" s="28" t="n">
        <v>0</v>
      </c>
      <c r="D10" s="28" t="n">
        <v>-7363.82</v>
      </c>
      <c r="E10" s="28" t="n">
        <v>0</v>
      </c>
    </row>
    <row r="11" ht="15" customHeight="1">
      <c r="A11" s="9" t="inlineStr">
        <is>
          <t xml:space="preserve">            NET RENT INCOME</t>
        </is>
      </c>
      <c r="B11" s="29" t="n">
        <v>32338.96</v>
      </c>
      <c r="C11" s="29" t="n">
        <v>0</v>
      </c>
      <c r="D11" s="29" t="n">
        <v>333932.22</v>
      </c>
      <c r="E11" s="29" t="n">
        <v>0</v>
      </c>
    </row>
    <row r="12" ht="15" customHeight="1">
      <c r="A12" s="9" t="inlineStr">
        <is>
          <t xml:space="preserve">        Merchandise Income</t>
        </is>
      </c>
      <c r="B12" s="12" t="n">
        <v>0</v>
      </c>
      <c r="C12" s="12" t="n">
        <v>0</v>
      </c>
      <c r="D12" s="12" t="n">
        <v>719.64</v>
      </c>
      <c r="E12" s="12" t="n">
        <v>0</v>
      </c>
    </row>
    <row r="13" ht="15" customHeight="1">
      <c r="A13" s="9" t="inlineStr">
        <is>
          <t xml:space="preserve">        Merchandise COGS</t>
        </is>
      </c>
      <c r="B13" s="28" t="n">
        <v>-96.43000000000001</v>
      </c>
      <c r="C13" s="28" t="n">
        <v>0</v>
      </c>
      <c r="D13" s="28" t="n">
        <v>-1093.1</v>
      </c>
      <c r="E13" s="28" t="n">
        <v>0</v>
      </c>
    </row>
    <row r="14" ht="15" customHeight="1">
      <c r="A14" s="9" t="inlineStr">
        <is>
          <t xml:space="preserve">            Net Merchandise Sales</t>
        </is>
      </c>
      <c r="B14" s="29" t="n">
        <v>-96.43000000000001</v>
      </c>
      <c r="C14" s="29" t="n">
        <v>0</v>
      </c>
      <c r="D14" s="29" t="n">
        <v>-373.46</v>
      </c>
      <c r="E14" s="29" t="n">
        <v>0</v>
      </c>
    </row>
    <row r="15" ht="15" customHeight="1">
      <c r="A15" s="9" t="inlineStr">
        <is>
          <t xml:space="preserve">        Tenant Protection Income</t>
        </is>
      </c>
      <c r="B15" s="12" t="n">
        <v>789.28</v>
      </c>
      <c r="C15" s="12" t="n">
        <v>0</v>
      </c>
      <c r="D15" s="12" t="n">
        <v>8432.83</v>
      </c>
      <c r="E15" s="12" t="n">
        <v>0</v>
      </c>
    </row>
    <row r="16" ht="15" customHeight="1">
      <c r="A16" s="9" t="inlineStr">
        <is>
          <t xml:space="preserve">        Tenant Protection COGS</t>
        </is>
      </c>
      <c r="B16" s="28" t="n">
        <v>-129.97</v>
      </c>
      <c r="C16" s="28" t="n">
        <v>0</v>
      </c>
      <c r="D16" s="28" t="n">
        <v>-1592.37</v>
      </c>
      <c r="E16" s="28" t="n">
        <v>0</v>
      </c>
    </row>
    <row r="17" ht="15" customHeight="1">
      <c r="A17" s="9" t="inlineStr">
        <is>
          <t xml:space="preserve">            Net Tenant Protection Income</t>
        </is>
      </c>
      <c r="B17" s="29" t="n">
        <v>659.3099999999999</v>
      </c>
      <c r="C17" s="29" t="n">
        <v>0</v>
      </c>
      <c r="D17" s="29" t="n">
        <v>6840.46</v>
      </c>
      <c r="E17" s="29" t="n">
        <v>0</v>
      </c>
    </row>
    <row r="18" ht="15" customHeight="1">
      <c r="A18" s="9" t="inlineStr">
        <is>
          <t xml:space="preserve">        Phone Convenience Fee</t>
        </is>
      </c>
      <c r="B18" s="28" t="n">
        <v>14</v>
      </c>
      <c r="C18" s="28" t="n">
        <v>0</v>
      </c>
      <c r="D18" s="28" t="n">
        <v>70</v>
      </c>
      <c r="E18" s="28" t="n">
        <v>0</v>
      </c>
    </row>
    <row r="19" ht="15" customHeight="1">
      <c r="A19" s="9" t="inlineStr">
        <is>
          <t xml:space="preserve">            TOTAL ANCILLARY INCOME</t>
        </is>
      </c>
      <c r="B19" s="29" t="n">
        <v>576.88</v>
      </c>
      <c r="C19" s="29" t="n">
        <v>0</v>
      </c>
      <c r="D19" s="29" t="n">
        <v>6537</v>
      </c>
      <c r="E19" s="29" t="n">
        <v>0</v>
      </c>
    </row>
    <row r="20" ht="15" customHeight="1">
      <c r="A20" s="9" t="n"/>
      <c r="B20" s="27" t="n"/>
      <c r="C20" s="27" t="n"/>
      <c r="D20" s="27" t="n"/>
      <c r="E20" s="27" t="n"/>
    </row>
    <row r="21" ht="15" customHeight="1">
      <c r="A21" s="9" t="inlineStr">
        <is>
          <t xml:space="preserve">    OTHER INCOME</t>
        </is>
      </c>
      <c r="B21" s="18" t="n"/>
      <c r="C21" s="18" t="n"/>
      <c r="D21" s="18" t="n"/>
      <c r="E21" s="18" t="n"/>
    </row>
    <row r="22" ht="15" customHeight="1">
      <c r="A22" s="9" t="inlineStr">
        <is>
          <t xml:space="preserve">        Late Fee</t>
        </is>
      </c>
      <c r="B22" s="12" t="n">
        <v>1048</v>
      </c>
      <c r="C22" s="12" t="n">
        <v>0</v>
      </c>
      <c r="D22" s="12" t="n">
        <v>5129</v>
      </c>
      <c r="E22" s="12" t="n">
        <v>0</v>
      </c>
    </row>
    <row r="23" ht="15" customHeight="1">
      <c r="A23" s="9" t="inlineStr">
        <is>
          <t xml:space="preserve">        Administrative Fee</t>
        </is>
      </c>
      <c r="B23" s="28" t="n">
        <v>112</v>
      </c>
      <c r="C23" s="28" t="n">
        <v>0</v>
      </c>
      <c r="D23" s="28" t="n">
        <v>1710.86</v>
      </c>
      <c r="E23" s="28" t="n">
        <v>0</v>
      </c>
    </row>
    <row r="24" ht="15" customHeight="1">
      <c r="A24" s="9" t="inlineStr">
        <is>
          <t xml:space="preserve">            TOTAL OTHER INCOME</t>
        </is>
      </c>
      <c r="B24" s="29" t="n">
        <v>1160</v>
      </c>
      <c r="C24" s="29" t="n">
        <v>0</v>
      </c>
      <c r="D24" s="29" t="n">
        <v>6839.86</v>
      </c>
      <c r="E24" s="29" t="n">
        <v>0</v>
      </c>
    </row>
    <row r="25" ht="15" customHeight="1">
      <c r="A25" s="9" t="n"/>
      <c r="B25" s="30" t="n"/>
      <c r="C25" s="30" t="n"/>
      <c r="D25" s="30" t="n"/>
      <c r="E25" s="30" t="n"/>
    </row>
    <row r="26" ht="15" customHeight="1">
      <c r="A26" s="31" t="inlineStr">
        <is>
          <t xml:space="preserve">                TOTAL INCOME</t>
        </is>
      </c>
      <c r="B26" s="32" t="n">
        <v>34075.84</v>
      </c>
      <c r="C26" s="32" t="n">
        <v>0</v>
      </c>
      <c r="D26" s="32" t="n">
        <v>347309.08</v>
      </c>
      <c r="E26" s="32" t="n">
        <v>0</v>
      </c>
    </row>
    <row r="27" ht="15" customHeight="1">
      <c r="A27" s="9" t="n"/>
      <c r="B27" s="27" t="n"/>
      <c r="C27" s="27" t="n"/>
      <c r="D27" s="27" t="n"/>
      <c r="E27" s="27" t="n"/>
    </row>
    <row r="28" ht="15" customHeight="1">
      <c r="A28" s="31" t="inlineStr">
        <is>
          <t xml:space="preserve"> EXPENSES</t>
        </is>
      </c>
      <c r="B28" s="33" t="n"/>
      <c r="C28" s="33" t="n"/>
      <c r="D28" s="33" t="n"/>
      <c r="E28" s="33" t="n"/>
    </row>
    <row r="29" ht="15" customHeight="1">
      <c r="A29" s="9" t="n"/>
      <c r="B29" s="27" t="n"/>
      <c r="C29" s="27" t="n"/>
      <c r="D29" s="27" t="n"/>
      <c r="E29" s="27" t="n"/>
    </row>
    <row r="30" ht="15" customHeight="1">
      <c r="A30" s="9" t="inlineStr">
        <is>
          <t xml:space="preserve">    ADVERTISING and MARKETING</t>
        </is>
      </c>
      <c r="B30" s="18" t="n"/>
      <c r="C30" s="18" t="n"/>
      <c r="D30" s="18" t="n"/>
      <c r="E30" s="18" t="n"/>
    </row>
    <row r="31" ht="15" customHeight="1">
      <c r="A31" s="9" t="inlineStr">
        <is>
          <t xml:space="preserve">        Advertising</t>
        </is>
      </c>
      <c r="B31" s="12" t="n">
        <v>0</v>
      </c>
      <c r="C31" s="12" t="n">
        <v>0</v>
      </c>
      <c r="D31" s="12" t="n">
        <v>38.04</v>
      </c>
      <c r="E31" s="12" t="n">
        <v>0</v>
      </c>
    </row>
    <row r="32" ht="15" customHeight="1">
      <c r="A32" s="9" t="inlineStr">
        <is>
          <t xml:space="preserve">        Internet Marketing</t>
        </is>
      </c>
      <c r="B32" s="12" t="n">
        <v>608.23</v>
      </c>
      <c r="C32" s="12" t="n">
        <v>0</v>
      </c>
      <c r="D32" s="12" t="n">
        <v>8498.639999999999</v>
      </c>
      <c r="E32" s="12" t="n">
        <v>0</v>
      </c>
    </row>
    <row r="33" ht="15" customHeight="1">
      <c r="A33" s="9" t="inlineStr">
        <is>
          <t xml:space="preserve">        OnSite Marketing</t>
        </is>
      </c>
      <c r="B33" s="12" t="n">
        <v>124.78</v>
      </c>
      <c r="C33" s="12" t="n">
        <v>0</v>
      </c>
      <c r="D33" s="12" t="n">
        <v>1368.26</v>
      </c>
      <c r="E33" s="12" t="n">
        <v>0</v>
      </c>
    </row>
    <row r="34" ht="15" customHeight="1">
      <c r="A34" s="9" t="inlineStr">
        <is>
          <t xml:space="preserve">        Marketing Other</t>
        </is>
      </c>
      <c r="B34" s="28" t="n">
        <v>0</v>
      </c>
      <c r="C34" s="28" t="n">
        <v>0</v>
      </c>
      <c r="D34" s="28" t="n">
        <v>32.05</v>
      </c>
      <c r="E34" s="28" t="n">
        <v>0</v>
      </c>
    </row>
    <row r="35" ht="15" customHeight="1">
      <c r="A35" s="9" t="inlineStr">
        <is>
          <t xml:space="preserve">            ADVERTISING and MARKETING TOTAL</t>
        </is>
      </c>
      <c r="B35" s="29" t="n">
        <v>733.01</v>
      </c>
      <c r="C35" s="29" t="n">
        <v>0</v>
      </c>
      <c r="D35" s="29" t="n">
        <v>9936.99</v>
      </c>
      <c r="E35" s="29" t="n">
        <v>0</v>
      </c>
    </row>
    <row r="36" ht="15" customHeight="1">
      <c r="A36" s="9" t="n"/>
      <c r="B36" s="27" t="n"/>
      <c r="C36" s="27" t="n"/>
      <c r="D36" s="27" t="n"/>
      <c r="E36" s="27" t="n"/>
    </row>
    <row r="37" ht="15" customHeight="1">
      <c r="A37" s="9" t="inlineStr">
        <is>
          <t xml:space="preserve">    REPAIRS AND MAINTENANCE</t>
        </is>
      </c>
      <c r="B37" s="18" t="n"/>
      <c r="C37" s="18" t="n"/>
      <c r="D37" s="18" t="n"/>
      <c r="E37" s="18" t="n"/>
    </row>
    <row r="38" ht="15" customHeight="1">
      <c r="A38" s="9" t="inlineStr">
        <is>
          <t xml:space="preserve">        Repairs and  Maintenance</t>
        </is>
      </c>
      <c r="B38" s="12" t="n">
        <v>250</v>
      </c>
      <c r="C38" s="12" t="n">
        <v>0</v>
      </c>
      <c r="D38" s="12" t="n">
        <v>7763.95</v>
      </c>
      <c r="E38" s="12" t="n">
        <v>0</v>
      </c>
    </row>
    <row r="39" ht="15" customHeight="1">
      <c r="A39" s="9" t="inlineStr">
        <is>
          <t xml:space="preserve">        Maintenance Tools and Supplies</t>
        </is>
      </c>
      <c r="B39" s="12" t="n">
        <v>0</v>
      </c>
      <c r="C39" s="12" t="n">
        <v>0</v>
      </c>
      <c r="D39" s="12" t="n">
        <v>221.27</v>
      </c>
      <c r="E39" s="12" t="n">
        <v>0</v>
      </c>
    </row>
    <row r="40" ht="15" customHeight="1">
      <c r="A40" s="9" t="inlineStr">
        <is>
          <t xml:space="preserve">        Extermination</t>
        </is>
      </c>
      <c r="B40" s="28" t="n">
        <v>0</v>
      </c>
      <c r="C40" s="28" t="n">
        <v>0</v>
      </c>
      <c r="D40" s="28" t="n">
        <v>1390</v>
      </c>
      <c r="E40" s="28" t="n">
        <v>0</v>
      </c>
    </row>
    <row r="41" ht="15" customHeight="1">
      <c r="A41" s="9" t="inlineStr">
        <is>
          <t xml:space="preserve">            TOTAL REPAIRS AND MAINTENANCE</t>
        </is>
      </c>
      <c r="B41" s="29" t="n">
        <v>250</v>
      </c>
      <c r="C41" s="29" t="n">
        <v>0</v>
      </c>
      <c r="D41" s="29" t="n">
        <v>9375.219999999999</v>
      </c>
      <c r="E41" s="29" t="n">
        <v>0</v>
      </c>
    </row>
    <row r="42" ht="15" customHeight="1">
      <c r="A42" s="9" t="n"/>
      <c r="B42" s="27" t="n"/>
      <c r="C42" s="27" t="n"/>
      <c r="D42" s="27" t="n"/>
      <c r="E42" s="27" t="n"/>
    </row>
    <row r="43" ht="15" customHeight="1">
      <c r="A43" s="9" t="inlineStr">
        <is>
          <t xml:space="preserve">    GROUNDS</t>
        </is>
      </c>
      <c r="B43" s="18" t="n"/>
      <c r="C43" s="18" t="n"/>
      <c r="D43" s="18" t="n"/>
      <c r="E43" s="18" t="n"/>
    </row>
    <row r="44" ht="15" customHeight="1">
      <c r="A44" s="9" t="inlineStr">
        <is>
          <t xml:space="preserve">        Trash Disposal</t>
        </is>
      </c>
      <c r="B44" s="28" t="n">
        <v>277.48</v>
      </c>
      <c r="C44" s="28" t="n">
        <v>0</v>
      </c>
      <c r="D44" s="28" t="n">
        <v>3524.6</v>
      </c>
      <c r="E44" s="28" t="n">
        <v>0</v>
      </c>
    </row>
    <row r="45" ht="15" customHeight="1">
      <c r="A45" s="9" t="inlineStr">
        <is>
          <t xml:space="preserve">            TOTAL GROUNDS</t>
        </is>
      </c>
      <c r="B45" s="29" t="n">
        <v>277.48</v>
      </c>
      <c r="C45" s="29" t="n">
        <v>0</v>
      </c>
      <c r="D45" s="29" t="n">
        <v>3524.6</v>
      </c>
      <c r="E45" s="29" t="n">
        <v>0</v>
      </c>
    </row>
    <row r="46" ht="15" customHeight="1">
      <c r="A46" s="9" t="n"/>
      <c r="B46" s="27" t="n"/>
      <c r="C46" s="27" t="n"/>
      <c r="D46" s="27" t="n"/>
      <c r="E46" s="27" t="n"/>
    </row>
    <row r="47" ht="15" customHeight="1">
      <c r="A47" s="9" t="inlineStr">
        <is>
          <t xml:space="preserve">    UTILITIES</t>
        </is>
      </c>
      <c r="B47" s="18" t="n"/>
      <c r="C47" s="18" t="n"/>
      <c r="D47" s="18" t="n"/>
      <c r="E47" s="18" t="n"/>
    </row>
    <row r="48" ht="15" customHeight="1">
      <c r="A48" s="9" t="inlineStr">
        <is>
          <t xml:space="preserve">        Electricity</t>
        </is>
      </c>
      <c r="B48" s="12" t="n">
        <v>9.210000000000001</v>
      </c>
      <c r="C48" s="12" t="n">
        <v>0</v>
      </c>
      <c r="D48" s="12" t="n">
        <v>3840.75</v>
      </c>
      <c r="E48" s="12" t="n">
        <v>0</v>
      </c>
    </row>
    <row r="49" ht="15" customHeight="1">
      <c r="A49" s="9" t="inlineStr">
        <is>
          <t xml:space="preserve">        Internet Services</t>
        </is>
      </c>
      <c r="B49" s="12" t="n">
        <v>148.95</v>
      </c>
      <c r="C49" s="12" t="n">
        <v>0</v>
      </c>
      <c r="D49" s="12" t="n">
        <v>1590.45</v>
      </c>
      <c r="E49" s="12" t="n">
        <v>0</v>
      </c>
    </row>
    <row r="50" ht="15" customHeight="1">
      <c r="A50" s="9" t="inlineStr">
        <is>
          <t xml:space="preserve">        Telephone Service</t>
        </is>
      </c>
      <c r="B50" s="28" t="n">
        <v>201.57</v>
      </c>
      <c r="C50" s="28" t="n">
        <v>0</v>
      </c>
      <c r="D50" s="28" t="n">
        <v>2262.21</v>
      </c>
      <c r="E50" s="28" t="n">
        <v>0</v>
      </c>
    </row>
    <row r="51" ht="15" customHeight="1">
      <c r="A51" s="9" t="inlineStr">
        <is>
          <t xml:space="preserve">            TOTAL UTILITIES</t>
        </is>
      </c>
      <c r="B51" s="29" t="n">
        <v>359.73</v>
      </c>
      <c r="C51" s="29" t="n">
        <v>0</v>
      </c>
      <c r="D51" s="29" t="n">
        <v>7693.41</v>
      </c>
      <c r="E51" s="29" t="n">
        <v>0</v>
      </c>
    </row>
    <row r="52" ht="15" customHeight="1">
      <c r="A52" s="9" t="inlineStr">
        <is>
          <t xml:space="preserve">        Management Fee</t>
        </is>
      </c>
      <c r="B52" s="28" t="n">
        <v>1656.22</v>
      </c>
      <c r="C52" s="28" t="n">
        <v>0</v>
      </c>
      <c r="D52" s="28" t="n">
        <v>17148.33</v>
      </c>
      <c r="E52" s="28" t="n">
        <v>0</v>
      </c>
    </row>
    <row r="53" ht="15" customHeight="1">
      <c r="A53" s="9" t="inlineStr">
        <is>
          <t xml:space="preserve">            TOTAL ADMINISTRATIVE &amp; MANAGEMENT EXPENSES</t>
        </is>
      </c>
      <c r="B53" s="29" t="n">
        <v>1656.22</v>
      </c>
      <c r="C53" s="29" t="n">
        <v>0</v>
      </c>
      <c r="D53" s="29" t="n">
        <v>17148.33</v>
      </c>
      <c r="E53" s="29" t="n">
        <v>0</v>
      </c>
    </row>
    <row r="54" ht="15" customHeight="1">
      <c r="A54" s="9" t="inlineStr">
        <is>
          <t xml:space="preserve">        Property Tax</t>
        </is>
      </c>
      <c r="B54" s="12" t="n">
        <v>5024.87</v>
      </c>
      <c r="C54" s="12" t="n">
        <v>0</v>
      </c>
      <c r="D54" s="12" t="n">
        <v>55273.57</v>
      </c>
      <c r="E54" s="12" t="n">
        <v>0</v>
      </c>
    </row>
    <row r="55" ht="15" customHeight="1">
      <c r="A55" s="9" t="inlineStr">
        <is>
          <t xml:space="preserve">        Property Insurance</t>
        </is>
      </c>
      <c r="B55" s="28" t="n">
        <v>741.08</v>
      </c>
      <c r="C55" s="28" t="n">
        <v>0</v>
      </c>
      <c r="D55" s="28" t="n">
        <v>8151.88</v>
      </c>
      <c r="E55" s="28" t="n">
        <v>0</v>
      </c>
    </row>
    <row r="56" ht="15" customHeight="1">
      <c r="A56" s="9" t="inlineStr">
        <is>
          <t xml:space="preserve">            TOTAL PROPERTY TAXES &amp; INSURANCE</t>
        </is>
      </c>
      <c r="B56" s="29" t="n">
        <v>5765.95</v>
      </c>
      <c r="C56" s="29" t="n">
        <v>0</v>
      </c>
      <c r="D56" s="29" t="n">
        <v>63425.45</v>
      </c>
      <c r="E56" s="29" t="n">
        <v>0</v>
      </c>
    </row>
    <row r="57" ht="15" customHeight="1">
      <c r="A57" s="9" t="inlineStr">
        <is>
          <t xml:space="preserve">        Meals &amp; Entertainment</t>
        </is>
      </c>
      <c r="B57" s="12" t="n">
        <v>0</v>
      </c>
      <c r="C57" s="12" t="n">
        <v>0</v>
      </c>
      <c r="D57" s="12" t="n">
        <v>14.01</v>
      </c>
      <c r="E57" s="12" t="n">
        <v>0</v>
      </c>
    </row>
    <row r="58" ht="15" customHeight="1">
      <c r="A58" s="9" t="inlineStr">
        <is>
          <t xml:space="preserve">        Vehicle Expense</t>
        </is>
      </c>
      <c r="B58" s="12" t="n">
        <v>0</v>
      </c>
      <c r="C58" s="12" t="n">
        <v>0</v>
      </c>
      <c r="D58" s="12" t="n">
        <v>66.15000000000001</v>
      </c>
      <c r="E58" s="12" t="n">
        <v>0</v>
      </c>
    </row>
    <row r="59" ht="15" customHeight="1">
      <c r="A59" s="9" t="inlineStr">
        <is>
          <t xml:space="preserve">        Software</t>
        </is>
      </c>
      <c r="B59" s="12" t="n">
        <v>314.42</v>
      </c>
      <c r="C59" s="12" t="n">
        <v>0</v>
      </c>
      <c r="D59" s="12" t="n">
        <v>4427.15</v>
      </c>
      <c r="E59" s="12" t="n">
        <v>0</v>
      </c>
    </row>
    <row r="60" ht="15" customHeight="1">
      <c r="A60" s="9" t="inlineStr">
        <is>
          <t xml:space="preserve">        Bank Charges Expense</t>
        </is>
      </c>
      <c r="B60" s="12" t="n">
        <v>254.61</v>
      </c>
      <c r="C60" s="12" t="n">
        <v>0</v>
      </c>
      <c r="D60" s="12" t="n">
        <v>2170.46</v>
      </c>
      <c r="E60" s="12" t="n">
        <v>0</v>
      </c>
    </row>
    <row r="61" ht="15" customHeight="1">
      <c r="A61" s="9" t="inlineStr">
        <is>
          <t xml:space="preserve">        Credit Card Processing Fees</t>
        </is>
      </c>
      <c r="B61" s="12" t="n">
        <v>616.42</v>
      </c>
      <c r="C61" s="12" t="n">
        <v>0</v>
      </c>
      <c r="D61" s="12" t="n">
        <v>7179.3</v>
      </c>
      <c r="E61" s="12" t="n">
        <v>0</v>
      </c>
    </row>
    <row r="62" ht="15" customHeight="1">
      <c r="A62" s="9" t="inlineStr">
        <is>
          <t xml:space="preserve">        Postage and Shipping Fees</t>
        </is>
      </c>
      <c r="B62" s="12" t="n">
        <v>0</v>
      </c>
      <c r="C62" s="12" t="n">
        <v>0</v>
      </c>
      <c r="D62" s="12" t="n">
        <v>158.66</v>
      </c>
      <c r="E62" s="12" t="n">
        <v>0</v>
      </c>
    </row>
    <row r="63" ht="15" customHeight="1">
      <c r="A63" s="9" t="inlineStr">
        <is>
          <t xml:space="preserve">        Travel Expenses</t>
        </is>
      </c>
      <c r="B63" s="12" t="n">
        <v>0</v>
      </c>
      <c r="C63" s="12" t="n">
        <v>0</v>
      </c>
      <c r="D63" s="12" t="n">
        <v>73.83</v>
      </c>
      <c r="E63" s="12" t="n">
        <v>0</v>
      </c>
    </row>
    <row r="64" ht="15" customHeight="1">
      <c r="A64" s="9" t="inlineStr">
        <is>
          <t xml:space="preserve">        Office Supplies</t>
        </is>
      </c>
      <c r="B64" s="28" t="n">
        <v>0</v>
      </c>
      <c r="C64" s="28" t="n">
        <v>0</v>
      </c>
      <c r="D64" s="28" t="n">
        <v>48</v>
      </c>
      <c r="E64" s="28" t="n">
        <v>0</v>
      </c>
    </row>
    <row r="65" ht="15" customHeight="1">
      <c r="A65" s="9" t="inlineStr">
        <is>
          <t xml:space="preserve">            TOTAL G and A EXPENSE</t>
        </is>
      </c>
      <c r="B65" s="29" t="n">
        <v>1185.45</v>
      </c>
      <c r="C65" s="29" t="n">
        <v>0</v>
      </c>
      <c r="D65" s="29" t="n">
        <v>14137.56</v>
      </c>
      <c r="E65" s="29" t="n">
        <v>0</v>
      </c>
    </row>
    <row r="66" ht="15" customHeight="1">
      <c r="A66" s="9" t="n"/>
      <c r="B66" s="27" t="n"/>
      <c r="C66" s="27" t="n"/>
      <c r="D66" s="27" t="n"/>
      <c r="E66" s="27" t="n"/>
    </row>
    <row r="67" ht="15" customHeight="1">
      <c r="A67" s="9" t="inlineStr">
        <is>
          <t xml:space="preserve">    PROFESSIONAL FEES</t>
        </is>
      </c>
      <c r="B67" s="18" t="n"/>
      <c r="C67" s="18" t="n"/>
      <c r="D67" s="18" t="n"/>
      <c r="E67" s="18" t="n"/>
    </row>
    <row r="68" ht="15" customHeight="1">
      <c r="A68" s="9" t="inlineStr">
        <is>
          <t xml:space="preserve">        Answering Service</t>
        </is>
      </c>
      <c r="B68" s="12" t="n">
        <v>0</v>
      </c>
      <c r="C68" s="12" t="n">
        <v>0</v>
      </c>
      <c r="D68" s="12" t="n">
        <v>-117.06</v>
      </c>
      <c r="E68" s="12" t="n">
        <v>0</v>
      </c>
    </row>
    <row r="69" ht="15" customHeight="1">
      <c r="A69" s="9" t="inlineStr">
        <is>
          <t xml:space="preserve">        Communication Center</t>
        </is>
      </c>
      <c r="B69" s="12" t="n">
        <v>626.9400000000001</v>
      </c>
      <c r="C69" s="12" t="n">
        <v>0</v>
      </c>
      <c r="D69" s="12" t="n">
        <v>7327.54</v>
      </c>
      <c r="E69" s="12" t="n">
        <v>0</v>
      </c>
    </row>
    <row r="70" ht="15" customHeight="1">
      <c r="A70" s="9" t="inlineStr">
        <is>
          <t xml:space="preserve">        Auction Costs</t>
        </is>
      </c>
      <c r="B70" s="12" t="n">
        <v>321.12</v>
      </c>
      <c r="C70" s="12" t="n">
        <v>0</v>
      </c>
      <c r="D70" s="12" t="n">
        <v>1236.76</v>
      </c>
      <c r="E70" s="12" t="n">
        <v>0</v>
      </c>
    </row>
    <row r="71" ht="15" customHeight="1">
      <c r="A71" s="9" t="inlineStr">
        <is>
          <t xml:space="preserve">        Professional Fees</t>
        </is>
      </c>
      <c r="B71" s="28" t="n">
        <v>18</v>
      </c>
      <c r="C71" s="28" t="n">
        <v>0</v>
      </c>
      <c r="D71" s="28" t="n">
        <v>121</v>
      </c>
      <c r="E71" s="28" t="n">
        <v>0</v>
      </c>
    </row>
    <row r="72" ht="15" customHeight="1">
      <c r="A72" s="9" t="inlineStr">
        <is>
          <t xml:space="preserve">            TOTAL PROFESSIONAL FEES</t>
        </is>
      </c>
      <c r="B72" s="29" t="n">
        <v>966.0599999999999</v>
      </c>
      <c r="C72" s="29" t="n">
        <v>0</v>
      </c>
      <c r="D72" s="29" t="n">
        <v>8568.24</v>
      </c>
      <c r="E72" s="29" t="n">
        <v>0</v>
      </c>
    </row>
    <row r="73" ht="15" customHeight="1">
      <c r="A73" s="9" t="n"/>
      <c r="B73" s="27" t="n"/>
      <c r="C73" s="27" t="n"/>
      <c r="D73" s="27" t="n"/>
      <c r="E73" s="27" t="n"/>
    </row>
    <row r="74" ht="15" customHeight="1">
      <c r="A74" s="9" t="inlineStr">
        <is>
          <t xml:space="preserve">        SUPERVISORY PAYROLL</t>
        </is>
      </c>
      <c r="B74" s="18" t="n"/>
      <c r="C74" s="18" t="n"/>
      <c r="D74" s="18" t="n"/>
      <c r="E74" s="18" t="n"/>
    </row>
    <row r="75" ht="15" customHeight="1">
      <c r="A75" s="9" t="inlineStr">
        <is>
          <t xml:space="preserve">          Supervisory Payroll Expense</t>
        </is>
      </c>
      <c r="B75" s="28" t="n">
        <v>412.1</v>
      </c>
      <c r="C75" s="28" t="n">
        <v>0</v>
      </c>
      <c r="D75" s="28" t="n">
        <v>4587.97</v>
      </c>
      <c r="E75" s="28" t="n">
        <v>0</v>
      </c>
    </row>
    <row r="76" ht="15" customHeight="1">
      <c r="A76" s="9" t="inlineStr">
        <is>
          <t xml:space="preserve">            TOTAL SUPERVISORY PAYROLL</t>
        </is>
      </c>
      <c r="B76" s="34" t="n">
        <v>412.1</v>
      </c>
      <c r="C76" s="34" t="n">
        <v>0</v>
      </c>
      <c r="D76" s="34" t="n">
        <v>4587.97</v>
      </c>
      <c r="E76" s="34" t="n">
        <v>0</v>
      </c>
    </row>
    <row r="77" ht="15" customHeight="1">
      <c r="A77" s="9" t="inlineStr">
        <is>
          <t xml:space="preserve">            TOTAL PAYROLL</t>
        </is>
      </c>
      <c r="B77" s="29" t="n">
        <v>412.1</v>
      </c>
      <c r="C77" s="29" t="n">
        <v>0</v>
      </c>
      <c r="D77" s="29" t="n">
        <v>4587.97</v>
      </c>
      <c r="E77" s="29" t="n">
        <v>0</v>
      </c>
    </row>
    <row r="78" ht="15" customHeight="1">
      <c r="A78" s="9" t="n"/>
      <c r="B78" s="30" t="n"/>
      <c r="C78" s="30" t="n"/>
      <c r="D78" s="30" t="n"/>
      <c r="E78" s="30" t="n"/>
    </row>
    <row r="79" ht="15" customHeight="1">
      <c r="A79" s="31" t="inlineStr">
        <is>
          <t xml:space="preserve">    TOTAL NET OPERATING EXPENSES</t>
        </is>
      </c>
      <c r="B79" s="32" t="n">
        <v>11606</v>
      </c>
      <c r="C79" s="32" t="n">
        <v>0</v>
      </c>
      <c r="D79" s="32" t="n">
        <v>138397.77</v>
      </c>
      <c r="E79" s="32" t="n">
        <v>0</v>
      </c>
    </row>
    <row r="80" ht="15" customHeight="1">
      <c r="A80" s="9" t="n"/>
      <c r="B80" s="35" t="n"/>
      <c r="C80" s="35" t="n"/>
      <c r="D80" s="35" t="n"/>
      <c r="E80" s="35" t="n"/>
    </row>
    <row r="81" ht="15" customHeight="1">
      <c r="A81" s="36" t="inlineStr">
        <is>
          <t xml:space="preserve">    NET OPERATING INCOME</t>
        </is>
      </c>
      <c r="B81" s="37" t="n">
        <v>22469.84</v>
      </c>
      <c r="C81" s="37" t="n">
        <v>0</v>
      </c>
      <c r="D81" s="37" t="n">
        <v>208911.31</v>
      </c>
      <c r="E81" s="37" t="n">
        <v>0</v>
      </c>
    </row>
    <row r="82" ht="15" customHeight="1">
      <c r="A82" s="9" t="inlineStr">
        <is>
          <t xml:space="preserve">        Signage and Awnings</t>
        </is>
      </c>
      <c r="B82" s="38" t="n">
        <v>0</v>
      </c>
      <c r="C82" s="38" t="n">
        <v>0</v>
      </c>
      <c r="D82" s="38" t="n">
        <v>841.5700000000001</v>
      </c>
      <c r="E82" s="38" t="n">
        <v>0</v>
      </c>
    </row>
    <row r="83" ht="15" customHeight="1">
      <c r="A83" s="9" t="inlineStr">
        <is>
          <t xml:space="preserve">        Repairs Major</t>
        </is>
      </c>
      <c r="B83" s="28" t="n">
        <v>0</v>
      </c>
      <c r="C83" s="28" t="n">
        <v>0</v>
      </c>
      <c r="D83" s="28" t="n">
        <v>5385</v>
      </c>
      <c r="E83" s="28" t="n">
        <v>0</v>
      </c>
    </row>
    <row r="84" ht="15" customHeight="1">
      <c r="A84" s="9" t="inlineStr">
        <is>
          <t xml:space="preserve">            TOTAL NON-RECURRING EXPENSES</t>
        </is>
      </c>
      <c r="B84" s="29" t="n">
        <v>0</v>
      </c>
      <c r="C84" s="29" t="n">
        <v>0</v>
      </c>
      <c r="D84" s="29" t="n">
        <v>6226.57</v>
      </c>
      <c r="E84" s="29" t="n">
        <v>0</v>
      </c>
    </row>
    <row r="85" ht="15" customHeight="1">
      <c r="A85" s="9" t="inlineStr">
        <is>
          <t xml:space="preserve">        Loan Interest</t>
        </is>
      </c>
      <c r="B85" s="28" t="n">
        <v>8575.530000000001</v>
      </c>
      <c r="C85" s="28" t="n">
        <v>0</v>
      </c>
      <c r="D85" s="28" t="n">
        <v>75481.92999999999</v>
      </c>
      <c r="E85" s="28" t="n">
        <v>0</v>
      </c>
    </row>
    <row r="86" ht="15" customHeight="1">
      <c r="A86" s="9" t="inlineStr">
        <is>
          <t xml:space="preserve">            TOTAL LOAN INTEREST</t>
        </is>
      </c>
      <c r="B86" s="29" t="n">
        <v>8575.530000000001</v>
      </c>
      <c r="C86" s="29" t="n">
        <v>0</v>
      </c>
      <c r="D86" s="29" t="n">
        <v>75481.92999999999</v>
      </c>
      <c r="E86" s="29" t="n">
        <v>0</v>
      </c>
    </row>
    <row r="87" ht="15" customHeight="1">
      <c r="A87" s="9" t="n"/>
      <c r="B87" s="30" t="n"/>
      <c r="C87" s="30" t="n"/>
      <c r="D87" s="30" t="n"/>
      <c r="E87" s="30" t="n"/>
    </row>
    <row r="88" ht="15" customHeight="1">
      <c r="A88" s="31" t="inlineStr">
        <is>
          <t xml:space="preserve">                TOTAL EXPENSES</t>
        </is>
      </c>
      <c r="B88" s="32" t="n">
        <v>8575.530000000001</v>
      </c>
      <c r="C88" s="32" t="n">
        <v>0</v>
      </c>
      <c r="D88" s="32" t="n">
        <v>81708.5</v>
      </c>
      <c r="E88" s="32" t="n">
        <v>0</v>
      </c>
    </row>
    <row r="89" ht="15" customHeight="1">
      <c r="A89" s="9" t="n"/>
      <c r="B89" s="35" t="n"/>
      <c r="C89" s="35" t="n"/>
      <c r="D89" s="35" t="n"/>
      <c r="E89" s="35" t="n"/>
    </row>
    <row r="90" ht="15" customHeight="1">
      <c r="A90" s="31" t="inlineStr">
        <is>
          <t xml:space="preserve">    NET INCOME</t>
        </is>
      </c>
      <c r="B90" s="39" t="n">
        <v>13894.31</v>
      </c>
      <c r="C90" s="39" t="n">
        <v>0</v>
      </c>
      <c r="D90" s="39" t="n">
        <v>127202.81</v>
      </c>
      <c r="E90" s="39" t="n">
        <v>0</v>
      </c>
    </row>
    <row r="91" ht="15" customHeight="1">
      <c r="A91" s="9" t="n"/>
      <c r="B91" s="40" t="n"/>
      <c r="C91" s="40" t="n"/>
      <c r="D91" s="40" t="n"/>
      <c r="E91" s="40" t="n"/>
    </row>
    <row r="92" ht="15" customHeight="1">
      <c r="A92" s="9" t="inlineStr">
        <is>
          <t xml:space="preserve">    ADJUSTMENTS</t>
        </is>
      </c>
      <c r="B92" s="18" t="n"/>
      <c r="C92" s="18" t="n"/>
      <c r="D92" s="18" t="n"/>
      <c r="E92" s="18" t="n"/>
    </row>
    <row r="93" ht="15" customHeight="1">
      <c r="A93" s="9" t="n"/>
      <c r="B93" s="27" t="n"/>
      <c r="C93" s="27" t="n"/>
      <c r="D93" s="27" t="n"/>
      <c r="E93" s="27" t="n"/>
    </row>
    <row r="94" ht="15" customHeight="1">
      <c r="A94" s="9" t="inlineStr">
        <is>
          <t xml:space="preserve"> Accounts Receivable</t>
        </is>
      </c>
      <c r="B94" s="12" t="n">
        <v>-261.75</v>
      </c>
      <c r="C94" s="12" t="n">
        <v>0</v>
      </c>
      <c r="D94" s="12" t="n">
        <v>-8257.469999999999</v>
      </c>
      <c r="E94" s="12" t="n">
        <v>0</v>
      </c>
    </row>
    <row r="95" ht="15" customHeight="1">
      <c r="A95" s="9" t="inlineStr">
        <is>
          <t xml:space="preserve"> Pre-Paid Insurance</t>
        </is>
      </c>
      <c r="B95" s="12" t="n">
        <v>-1473.92</v>
      </c>
      <c r="C95" s="12" t="n">
        <v>0</v>
      </c>
      <c r="D95" s="12" t="n">
        <v>-776.12</v>
      </c>
      <c r="E95" s="12" t="n">
        <v>0</v>
      </c>
    </row>
    <row r="96" ht="15" customHeight="1">
      <c r="A96" s="9" t="inlineStr">
        <is>
          <t xml:space="preserve"> Disputed Bank Transaction</t>
        </is>
      </c>
      <c r="B96" s="12" t="n">
        <v>0</v>
      </c>
      <c r="C96" s="12" t="n">
        <v>0</v>
      </c>
      <c r="D96" s="12" t="n">
        <v>-1516</v>
      </c>
      <c r="E96" s="12" t="n">
        <v>0</v>
      </c>
    </row>
    <row r="97" ht="15" customHeight="1">
      <c r="A97" s="9" t="inlineStr">
        <is>
          <t xml:space="preserve"> Note 1 Principal</t>
        </is>
      </c>
      <c r="B97" s="12" t="n">
        <v>-1775.71</v>
      </c>
      <c r="C97" s="12" t="n">
        <v>0</v>
      </c>
      <c r="D97" s="12" t="n">
        <v>-25150.71</v>
      </c>
      <c r="E97" s="12" t="n">
        <v>0</v>
      </c>
    </row>
    <row r="98" ht="15" customHeight="1">
      <c r="A98" s="9" t="inlineStr">
        <is>
          <t xml:space="preserve"> Due To/(From) Other Property</t>
        </is>
      </c>
      <c r="B98" s="12" t="n">
        <v>0</v>
      </c>
      <c r="C98" s="12" t="n">
        <v>0</v>
      </c>
      <c r="D98" s="12" t="n">
        <v>3079.52</v>
      </c>
      <c r="E98" s="12" t="n">
        <v>0</v>
      </c>
    </row>
    <row r="99" ht="15" customHeight="1">
      <c r="A99" s="9" t="inlineStr">
        <is>
          <t xml:space="preserve"> Accounts Payable</t>
        </is>
      </c>
      <c r="B99" s="12" t="n">
        <v>-3833.81</v>
      </c>
      <c r="C99" s="12" t="n">
        <v>0</v>
      </c>
      <c r="D99" s="12" t="n">
        <v>5422.29</v>
      </c>
      <c r="E99" s="12" t="n">
        <v>0</v>
      </c>
    </row>
    <row r="100" ht="15" customHeight="1">
      <c r="A100" s="9" t="inlineStr">
        <is>
          <t xml:space="preserve"> Prepaid Rent</t>
        </is>
      </c>
      <c r="B100" s="28" t="n">
        <v>-911.89</v>
      </c>
      <c r="C100" s="28" t="n">
        <v>0</v>
      </c>
      <c r="D100" s="28" t="n">
        <v>-253.78</v>
      </c>
      <c r="E100" s="28" t="n">
        <v>0</v>
      </c>
    </row>
    <row r="101" ht="15" customHeight="1">
      <c r="A101" s="9" t="inlineStr">
        <is>
          <t xml:space="preserve"> Tenant Deposits</t>
        </is>
      </c>
      <c r="B101" s="29" t="n">
        <v>0</v>
      </c>
      <c r="C101" s="29" t="n">
        <v>0</v>
      </c>
      <c r="D101" s="29" t="n">
        <v>-940</v>
      </c>
      <c r="E101" s="29" t="n">
        <v>0</v>
      </c>
    </row>
    <row r="102" ht="15" customHeight="1">
      <c r="A102" s="9" t="inlineStr">
        <is>
          <t xml:space="preserve"> Tenant Protection Net Payable</t>
        </is>
      </c>
      <c r="B102" s="12" t="n">
        <v>0</v>
      </c>
      <c r="C102" s="12" t="n">
        <v>0</v>
      </c>
      <c r="D102" s="12" t="n">
        <v>12</v>
      </c>
      <c r="E102" s="12" t="n">
        <v>0</v>
      </c>
    </row>
    <row r="103" ht="15" customHeight="1">
      <c r="A103" s="9" t="inlineStr">
        <is>
          <t xml:space="preserve"> Real Estate Tax Accrual</t>
        </is>
      </c>
      <c r="B103" s="12" t="n">
        <v>5024.87</v>
      </c>
      <c r="C103" s="12" t="n">
        <v>0</v>
      </c>
      <c r="D103" s="12" t="n">
        <v>-2818.19</v>
      </c>
      <c r="E103" s="12" t="n">
        <v>0</v>
      </c>
    </row>
    <row r="104" ht="15" customHeight="1">
      <c r="A104" s="9" t="inlineStr">
        <is>
          <t xml:space="preserve"> Sales Tax Collected</t>
        </is>
      </c>
      <c r="B104" s="12" t="n">
        <v>243.91</v>
      </c>
      <c r="C104" s="12" t="n">
        <v>0</v>
      </c>
      <c r="D104" s="12" t="n">
        <v>1153.68</v>
      </c>
      <c r="E104" s="12" t="n">
        <v>0</v>
      </c>
    </row>
    <row r="105" ht="15" customHeight="1">
      <c r="A105" s="9" t="inlineStr">
        <is>
          <t xml:space="preserve"> Expense Accrual</t>
        </is>
      </c>
      <c r="B105" s="12" t="n">
        <v>-1211.52</v>
      </c>
      <c r="C105" s="12" t="n">
        <v>0</v>
      </c>
      <c r="D105" s="12" t="n">
        <v>1570.17</v>
      </c>
      <c r="E105" s="12" t="n">
        <v>0</v>
      </c>
    </row>
    <row r="106" ht="15" customHeight="1">
      <c r="A106" s="9" t="inlineStr">
        <is>
          <t xml:space="preserve"> Payroll Accrual</t>
        </is>
      </c>
      <c r="B106" s="12" t="n">
        <v>27.48</v>
      </c>
      <c r="C106" s="12" t="n">
        <v>0</v>
      </c>
      <c r="D106" s="12" t="n">
        <v>-27.47</v>
      </c>
      <c r="E106" s="12" t="n">
        <v>0</v>
      </c>
    </row>
    <row r="107" ht="15" customHeight="1">
      <c r="A107" s="9" t="inlineStr">
        <is>
          <t xml:space="preserve"> Owner Distributions</t>
        </is>
      </c>
      <c r="B107" s="12" t="n">
        <v>-15427.82</v>
      </c>
      <c r="C107" s="12" t="n">
        <v>0</v>
      </c>
      <c r="D107" s="12" t="n">
        <v>-104335.19</v>
      </c>
      <c r="E107" s="12" t="n">
        <v>0</v>
      </c>
    </row>
    <row r="108" ht="15" customHeight="1">
      <c r="A108" s="9" t="inlineStr">
        <is>
          <t xml:space="preserve">        Auction Costs</t>
        </is>
      </c>
      <c r="B108" s="12" t="n">
        <v>-321.12</v>
      </c>
      <c r="C108" s="12" t="n">
        <v>0</v>
      </c>
      <c r="D108" s="12" t="n">
        <v>-1236.76</v>
      </c>
      <c r="E108" s="12" t="n">
        <v>0</v>
      </c>
    </row>
    <row r="109" ht="15" customHeight="1">
      <c r="A109" s="9" t="n"/>
      <c r="B109" s="30" t="n"/>
      <c r="C109" s="30" t="n"/>
      <c r="D109" s="30" t="n"/>
      <c r="E109" s="30" t="n"/>
    </row>
    <row r="110" ht="15" customHeight="1">
      <c r="A110" s="9" t="inlineStr">
        <is>
          <t xml:space="preserve">    TOTAL ADJUSTMENTS</t>
        </is>
      </c>
      <c r="B110" s="29" t="n">
        <v>-19921.28</v>
      </c>
      <c r="C110" s="29" t="n">
        <v>0</v>
      </c>
      <c r="D110" s="29" t="n">
        <v>-134074.03</v>
      </c>
      <c r="E110" s="29" t="n">
        <v>0</v>
      </c>
    </row>
    <row r="111" ht="15" customHeight="1">
      <c r="A111" s="9" t="n"/>
      <c r="B111" s="30" t="n"/>
      <c r="C111" s="30" t="n"/>
      <c r="D111" s="30" t="n"/>
      <c r="E111" s="30" t="n"/>
    </row>
    <row r="112" ht="15" customHeight="1">
      <c r="A112" s="9" t="inlineStr">
        <is>
          <t xml:space="preserve">    CASH FLOW</t>
        </is>
      </c>
      <c r="B112" s="29" t="n">
        <v>-6026.97</v>
      </c>
      <c r="C112" s="29" t="n">
        <v>0</v>
      </c>
      <c r="D112" s="29" t="n">
        <v>-6871.22</v>
      </c>
      <c r="E112" s="29" t="n">
        <v>0</v>
      </c>
    </row>
    <row r="113" ht="15" customHeight="1">
      <c r="A113" s="9" t="n"/>
    </row>
    <row r="114" ht="15" customHeight="1">
      <c r="A114" s="31" t="inlineStr">
        <is>
          <t>Period to Date</t>
        </is>
      </c>
      <c r="B114" s="41" t="inlineStr">
        <is>
          <t>Beginning Balance</t>
        </is>
      </c>
      <c r="C114" s="41" t="inlineStr">
        <is>
          <t>Ending Balance</t>
        </is>
      </c>
      <c r="D114" s="41" t="inlineStr">
        <is>
          <t>Difference</t>
        </is>
      </c>
      <c r="E114" s="27" t="n"/>
    </row>
    <row r="115" ht="15" customHeight="1">
      <c r="A115" s="9" t="inlineStr">
        <is>
          <t>Storsafe Management Solutions - Crystal Lake</t>
        </is>
      </c>
      <c r="B115" s="12" t="n">
        <v>21750.98</v>
      </c>
      <c r="C115" s="12" t="n">
        <v>16045.13</v>
      </c>
      <c r="D115" s="12" t="n">
        <v>-5705.85</v>
      </c>
      <c r="E115" s="27" t="n"/>
    </row>
    <row r="116" ht="15" customHeight="1">
      <c r="A116" s="31" t="inlineStr">
        <is>
          <t>Total Cash</t>
        </is>
      </c>
      <c r="B116" s="42" t="n">
        <v>21750.98</v>
      </c>
      <c r="C116" s="42" t="n">
        <v>16045.13</v>
      </c>
      <c r="D116" s="42" t="n">
        <v>-5705.85</v>
      </c>
      <c r="E116" s="27" t="n"/>
    </row>
    <row r="117" ht="15" customHeight="1">
      <c r="A117" s="9" t="n"/>
    </row>
    <row r="118" ht="15" customHeight="1">
      <c r="A118" s="31" t="inlineStr">
        <is>
          <t>Year to Date</t>
        </is>
      </c>
      <c r="B118" s="41" t="inlineStr">
        <is>
          <t>Beginning Balance</t>
        </is>
      </c>
      <c r="C118" s="41" t="inlineStr">
        <is>
          <t>Ending Balance</t>
        </is>
      </c>
      <c r="D118" s="41" t="inlineStr">
        <is>
          <t>Difference</t>
        </is>
      </c>
      <c r="E118" s="27" t="n"/>
    </row>
    <row r="119" ht="15" customHeight="1">
      <c r="A119" s="9" t="inlineStr">
        <is>
          <t>Storsafe Management Solutions - Crystal Lake</t>
        </is>
      </c>
      <c r="B119" s="12" t="n">
        <v>21679.59</v>
      </c>
      <c r="C119" s="12" t="n">
        <v>16045.13</v>
      </c>
      <c r="D119" s="12" t="n">
        <v>-5634.46</v>
      </c>
      <c r="E119" s="27" t="n"/>
    </row>
    <row r="120" ht="15" customHeight="1">
      <c r="A120" s="31" t="inlineStr">
        <is>
          <t>Total Cash</t>
        </is>
      </c>
      <c r="B120" s="42" t="n">
        <v>21679.59</v>
      </c>
      <c r="C120" s="42" t="n">
        <v>16045.13</v>
      </c>
      <c r="D120" s="42" t="n">
        <v>-5634.46</v>
      </c>
      <c r="E120" s="27" t="n"/>
    </row>
  </sheetData>
  <mergeCells count="6">
    <mergeCell ref="A4:E4"/>
    <mergeCell ref="A113:E113"/>
    <mergeCell ref="A2:E2"/>
    <mergeCell ref="A117:E117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cols>
    <col width="37.1428571428571" customWidth="1" min="1" max="1"/>
    <col width="16.4285714285714" customWidth="1" min="2" max="2"/>
  </cols>
  <sheetData>
    <row r="1" ht="15" customHeight="1">
      <c r="A1" s="1" t="inlineStr">
        <is>
          <t>Storsafe Management Solutions - Crystal Lake (sms-crys)</t>
        </is>
      </c>
    </row>
    <row r="2" ht="15.75" customHeight="1">
      <c r="A2" s="2" t="inlineStr">
        <is>
          <t>Statement (12 months)</t>
        </is>
      </c>
    </row>
    <row r="3" ht="15" customHeight="1">
      <c r="A3" s="1" t="inlineStr">
        <is>
          <t>Period = Dec 2024-Nov 2025</t>
        </is>
      </c>
    </row>
    <row r="4" ht="15" customHeight="1">
      <c r="A4" s="1" t="inlineStr">
        <is>
          <t>Book = Accrual</t>
        </is>
      </c>
    </row>
    <row r="5" ht="15" customHeight="1">
      <c r="A5" s="43" t="n"/>
      <c r="B5" s="44" t="inlineStr">
        <is>
          <t>Dec 2024</t>
        </is>
      </c>
      <c r="C5" s="44" t="inlineStr">
        <is>
          <t>Jan 2025</t>
        </is>
      </c>
      <c r="D5" s="44" t="inlineStr">
        <is>
          <t>Feb 2025</t>
        </is>
      </c>
      <c r="E5" s="44" t="inlineStr">
        <is>
          <t>Mar 2025</t>
        </is>
      </c>
      <c r="F5" s="44" t="inlineStr">
        <is>
          <t>Apr 2025</t>
        </is>
      </c>
      <c r="G5" s="44" t="inlineStr">
        <is>
          <t>May 2025</t>
        </is>
      </c>
      <c r="H5" s="44" t="inlineStr">
        <is>
          <t>Jun 2025</t>
        </is>
      </c>
      <c r="I5" s="44" t="inlineStr">
        <is>
          <t>Jul 2025</t>
        </is>
      </c>
      <c r="J5" s="44" t="inlineStr">
        <is>
          <t>Aug 2025</t>
        </is>
      </c>
      <c r="K5" s="44" t="inlineStr">
        <is>
          <t>Sep 2025</t>
        </is>
      </c>
      <c r="L5" s="44" t="inlineStr">
        <is>
          <t>Oct 2025</t>
        </is>
      </c>
      <c r="M5" s="44" t="inlineStr">
        <is>
          <t>Nov 2025</t>
        </is>
      </c>
      <c r="N5" s="44" t="inlineStr">
        <is>
          <t>Total</t>
        </is>
      </c>
    </row>
    <row r="6" ht="15" customHeight="1">
      <c r="A6" s="45" t="inlineStr">
        <is>
          <t xml:space="preserve"> INCOME</t>
        </is>
      </c>
      <c r="B6" s="46" t="n"/>
      <c r="C6" s="46" t="n"/>
      <c r="D6" s="46" t="n"/>
      <c r="E6" s="46" t="n"/>
      <c r="F6" s="46" t="n"/>
      <c r="G6" s="46" t="n"/>
      <c r="H6" s="46" t="n"/>
      <c r="I6" s="46" t="n"/>
      <c r="J6" s="46" t="n"/>
      <c r="K6" s="46" t="n"/>
      <c r="L6" s="46" t="n"/>
      <c r="M6" s="46" t="n"/>
      <c r="N6" s="46" t="n"/>
    </row>
    <row r="7" ht="15" customHeight="1">
      <c r="A7" s="47" t="n"/>
    </row>
    <row r="8" ht="15" customHeight="1">
      <c r="A8" s="47" t="inlineStr">
        <is>
          <t xml:space="preserve">    RENT INCOME</t>
        </is>
      </c>
      <c r="B8" s="48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</row>
    <row r="9" ht="15" customHeight="1">
      <c r="A9" s="47" t="inlineStr">
        <is>
          <t xml:space="preserve">        Storage Rent</t>
        </is>
      </c>
      <c r="B9" s="49" t="n">
        <v>28063.48</v>
      </c>
      <c r="C9" s="49" t="n">
        <v>28824.03</v>
      </c>
      <c r="D9" s="49" t="n">
        <v>28105.34</v>
      </c>
      <c r="E9" s="49" t="n">
        <v>30458.78</v>
      </c>
      <c r="F9" s="49" t="n">
        <v>31258.33</v>
      </c>
      <c r="G9" s="49" t="n">
        <v>31118.8</v>
      </c>
      <c r="H9" s="49" t="n">
        <v>31655.07</v>
      </c>
      <c r="I9" s="49" t="n">
        <v>31694.62</v>
      </c>
      <c r="J9" s="49" t="n">
        <v>30813.92</v>
      </c>
      <c r="K9" s="49" t="n">
        <v>32087.79</v>
      </c>
      <c r="L9" s="49" t="n">
        <v>32279.21</v>
      </c>
      <c r="M9" s="49" t="n">
        <v>33000.15</v>
      </c>
      <c r="N9" s="49" t="n">
        <v>369359.52</v>
      </c>
    </row>
    <row r="10" ht="15" customHeight="1">
      <c r="A10" s="47" t="inlineStr">
        <is>
          <t xml:space="preserve">        Less: Concessions</t>
        </is>
      </c>
      <c r="B10" s="50" t="n">
        <v>-600.1799999999999</v>
      </c>
      <c r="C10" s="50" t="n">
        <v>-1002.53</v>
      </c>
      <c r="D10" s="50" t="n">
        <v>-134.21</v>
      </c>
      <c r="E10" s="50" t="n">
        <v>-217</v>
      </c>
      <c r="F10" s="50" t="n">
        <v>-585.75</v>
      </c>
      <c r="G10" s="50" t="n">
        <v>-76.27</v>
      </c>
      <c r="H10" s="50" t="n">
        <v>-835.86</v>
      </c>
      <c r="I10" s="50" t="n">
        <v>-137.93</v>
      </c>
      <c r="J10" s="50" t="n">
        <v>-1444.98</v>
      </c>
      <c r="K10" s="50" t="n">
        <v>-1591</v>
      </c>
      <c r="L10" s="50" t="n">
        <v>-677.1</v>
      </c>
      <c r="M10" s="50" t="n">
        <v>-661.1900000000001</v>
      </c>
      <c r="N10" s="50" t="n">
        <v>-7964</v>
      </c>
    </row>
    <row r="11" ht="15" customHeight="1">
      <c r="A11" s="47" t="inlineStr">
        <is>
          <t xml:space="preserve">            NET RENT INCOME</t>
        </is>
      </c>
      <c r="B11" s="51" t="n">
        <v>27463.3</v>
      </c>
      <c r="C11" s="51" t="n">
        <v>27821.5</v>
      </c>
      <c r="D11" s="51" t="n">
        <v>27971.13</v>
      </c>
      <c r="E11" s="51" t="n">
        <v>30241.78</v>
      </c>
      <c r="F11" s="51" t="n">
        <v>30672.58</v>
      </c>
      <c r="G11" s="51" t="n">
        <v>31042.53</v>
      </c>
      <c r="H11" s="51" t="n">
        <v>30819.21</v>
      </c>
      <c r="I11" s="51" t="n">
        <v>31556.69</v>
      </c>
      <c r="J11" s="51" t="n">
        <v>29368.94</v>
      </c>
      <c r="K11" s="51" t="n">
        <v>30496.79</v>
      </c>
      <c r="L11" s="51" t="n">
        <v>31602.11</v>
      </c>
      <c r="M11" s="51" t="n">
        <v>32338.96</v>
      </c>
      <c r="N11" s="51" t="n">
        <v>361395.52</v>
      </c>
    </row>
    <row r="12" ht="15" customHeight="1">
      <c r="A12" s="47" t="n"/>
    </row>
    <row r="13" ht="15" customHeight="1">
      <c r="A13" s="47" t="inlineStr">
        <is>
          <t xml:space="preserve">    ANCILLARY INCOME</t>
        </is>
      </c>
      <c r="B13" s="48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</row>
    <row r="14" ht="15" customHeight="1">
      <c r="A14" s="47" t="inlineStr">
        <is>
          <t xml:space="preserve">        Merchandise Income</t>
        </is>
      </c>
      <c r="B14" s="49" t="n">
        <v>0</v>
      </c>
      <c r="C14" s="49" t="n">
        <v>79.95999999999999</v>
      </c>
      <c r="D14" s="49" t="n">
        <v>19.99</v>
      </c>
      <c r="E14" s="49" t="n">
        <v>99.95</v>
      </c>
      <c r="F14" s="49" t="n">
        <v>39.98</v>
      </c>
      <c r="G14" s="49" t="n">
        <v>99.95</v>
      </c>
      <c r="H14" s="49" t="n">
        <v>179.91</v>
      </c>
      <c r="I14" s="49" t="n">
        <v>59.97</v>
      </c>
      <c r="J14" s="49" t="n">
        <v>0</v>
      </c>
      <c r="K14" s="49" t="n">
        <v>19.99</v>
      </c>
      <c r="L14" s="49" t="n">
        <v>119.94</v>
      </c>
      <c r="M14" s="49" t="n">
        <v>0</v>
      </c>
      <c r="N14" s="49" t="n">
        <v>719.64</v>
      </c>
    </row>
    <row r="15" ht="15" customHeight="1">
      <c r="A15" s="47" t="inlineStr">
        <is>
          <t xml:space="preserve">        Merchandise COGS</t>
        </is>
      </c>
      <c r="B15" s="50" t="n">
        <v>-100</v>
      </c>
      <c r="C15" s="50" t="n">
        <v>0</v>
      </c>
      <c r="D15" s="50" t="n">
        <v>-100</v>
      </c>
      <c r="E15" s="50" t="n">
        <v>-196.67</v>
      </c>
      <c r="F15" s="50" t="n">
        <v>0</v>
      </c>
      <c r="G15" s="50" t="n">
        <v>-200</v>
      </c>
      <c r="H15" s="50" t="n">
        <v>-100</v>
      </c>
      <c r="I15" s="50" t="n">
        <v>-100</v>
      </c>
      <c r="J15" s="50" t="n">
        <v>-100</v>
      </c>
      <c r="K15" s="50" t="n">
        <v>-100</v>
      </c>
      <c r="L15" s="50" t="n">
        <v>-100</v>
      </c>
      <c r="M15" s="50" t="n">
        <v>-96.43000000000001</v>
      </c>
      <c r="N15" s="50" t="n">
        <v>-1193.1</v>
      </c>
    </row>
    <row r="16" ht="15" customHeight="1">
      <c r="A16" s="47" t="inlineStr">
        <is>
          <t xml:space="preserve">            Net Merchandise Sales</t>
        </is>
      </c>
      <c r="B16" s="51" t="n">
        <v>-100</v>
      </c>
      <c r="C16" s="51" t="n">
        <v>79.95999999999999</v>
      </c>
      <c r="D16" s="51" t="n">
        <v>-80.01000000000001</v>
      </c>
      <c r="E16" s="51" t="n">
        <v>-96.72</v>
      </c>
      <c r="F16" s="51" t="n">
        <v>39.98</v>
      </c>
      <c r="G16" s="51" t="n">
        <v>-100.05</v>
      </c>
      <c r="H16" s="51" t="n">
        <v>79.91</v>
      </c>
      <c r="I16" s="51" t="n">
        <v>-40.03</v>
      </c>
      <c r="J16" s="51" t="n">
        <v>-100</v>
      </c>
      <c r="K16" s="51" t="n">
        <v>-80.01000000000001</v>
      </c>
      <c r="L16" s="51" t="n">
        <v>19.94</v>
      </c>
      <c r="M16" s="51" t="n">
        <v>-96.43000000000001</v>
      </c>
      <c r="N16" s="51" t="n">
        <v>-473.46</v>
      </c>
    </row>
    <row r="17" ht="15" customHeight="1">
      <c r="A17" s="47" t="inlineStr">
        <is>
          <t xml:space="preserve">        Tenant Protection Income</t>
        </is>
      </c>
      <c r="B17" s="49" t="n">
        <v>747.49</v>
      </c>
      <c r="C17" s="49" t="n">
        <v>739</v>
      </c>
      <c r="D17" s="49" t="n">
        <v>730.62</v>
      </c>
      <c r="E17" s="49" t="n">
        <v>838.34</v>
      </c>
      <c r="F17" s="49" t="n">
        <v>744.59</v>
      </c>
      <c r="G17" s="49" t="n">
        <v>788.36</v>
      </c>
      <c r="H17" s="49" t="n">
        <v>806.65</v>
      </c>
      <c r="I17" s="49" t="n">
        <v>259.06</v>
      </c>
      <c r="J17" s="49" t="n">
        <v>960.4299999999999</v>
      </c>
      <c r="K17" s="49" t="n">
        <v>865.13</v>
      </c>
      <c r="L17" s="49" t="n">
        <v>911.37</v>
      </c>
      <c r="M17" s="49" t="n">
        <v>789.28</v>
      </c>
      <c r="N17" s="49" t="n">
        <v>9180.32</v>
      </c>
    </row>
    <row r="18" ht="15" customHeight="1">
      <c r="A18" s="47" t="inlineStr">
        <is>
          <t xml:space="preserve">        Tenant Protection COGS</t>
        </is>
      </c>
      <c r="B18" s="50" t="n">
        <v>-177.34</v>
      </c>
      <c r="C18" s="50" t="n">
        <v>-149.5</v>
      </c>
      <c r="D18" s="50" t="n">
        <v>-147.8</v>
      </c>
      <c r="E18" s="50" t="n">
        <v>-246.72</v>
      </c>
      <c r="F18" s="50" t="n">
        <v>-257.74</v>
      </c>
      <c r="G18" s="50" t="n">
        <v>-150.12</v>
      </c>
      <c r="H18" s="50" t="n">
        <v>-15.13</v>
      </c>
      <c r="I18" s="50" t="n">
        <v>-115.48</v>
      </c>
      <c r="J18" s="50" t="n">
        <v>-120.97</v>
      </c>
      <c r="K18" s="50" t="n">
        <v>-136.14</v>
      </c>
      <c r="L18" s="50" t="n">
        <v>-122.8</v>
      </c>
      <c r="M18" s="50" t="n">
        <v>-129.97</v>
      </c>
      <c r="N18" s="50" t="n">
        <v>-1769.71</v>
      </c>
    </row>
    <row r="19" ht="15" customHeight="1">
      <c r="A19" s="47" t="inlineStr">
        <is>
          <t xml:space="preserve">            Net Tenant Protection Income</t>
        </is>
      </c>
      <c r="B19" s="51" t="n">
        <v>570.15</v>
      </c>
      <c r="C19" s="51" t="n">
        <v>589.5</v>
      </c>
      <c r="D19" s="51" t="n">
        <v>582.8200000000001</v>
      </c>
      <c r="E19" s="51" t="n">
        <v>591.62</v>
      </c>
      <c r="F19" s="51" t="n">
        <v>486.85</v>
      </c>
      <c r="G19" s="51" t="n">
        <v>638.24</v>
      </c>
      <c r="H19" s="51" t="n">
        <v>791.52</v>
      </c>
      <c r="I19" s="51" t="n">
        <v>143.58</v>
      </c>
      <c r="J19" s="51" t="n">
        <v>839.46</v>
      </c>
      <c r="K19" s="51" t="n">
        <v>728.99</v>
      </c>
      <c r="L19" s="51" t="n">
        <v>788.5700000000001</v>
      </c>
      <c r="M19" s="51" t="n">
        <v>659.3099999999999</v>
      </c>
      <c r="N19" s="51" t="n">
        <v>7410.61</v>
      </c>
    </row>
    <row r="20" ht="15" customHeight="1">
      <c r="A20" s="47" t="inlineStr">
        <is>
          <t xml:space="preserve">        Phone Convenience Fee</t>
        </is>
      </c>
      <c r="B20" s="50" t="n">
        <v>0</v>
      </c>
      <c r="C20" s="50" t="n">
        <v>0</v>
      </c>
      <c r="D20" s="50" t="n">
        <v>0</v>
      </c>
      <c r="E20" s="50" t="n">
        <v>0</v>
      </c>
      <c r="F20" s="50" t="n">
        <v>0</v>
      </c>
      <c r="G20" s="50" t="n">
        <v>0</v>
      </c>
      <c r="H20" s="50" t="n">
        <v>14</v>
      </c>
      <c r="I20" s="50" t="n">
        <v>0</v>
      </c>
      <c r="J20" s="50" t="n">
        <v>7</v>
      </c>
      <c r="K20" s="50" t="n">
        <v>7</v>
      </c>
      <c r="L20" s="50" t="n">
        <v>28</v>
      </c>
      <c r="M20" s="50" t="n">
        <v>14</v>
      </c>
      <c r="N20" s="50" t="n">
        <v>70</v>
      </c>
    </row>
    <row r="21" ht="15" customHeight="1">
      <c r="A21" s="47" t="inlineStr">
        <is>
          <t xml:space="preserve">            TOTAL ANCILLARY INCOME</t>
        </is>
      </c>
      <c r="B21" s="51" t="n">
        <v>470.15</v>
      </c>
      <c r="C21" s="51" t="n">
        <v>669.46</v>
      </c>
      <c r="D21" s="51" t="n">
        <v>502.81</v>
      </c>
      <c r="E21" s="51" t="n">
        <v>494.9</v>
      </c>
      <c r="F21" s="51" t="n">
        <v>526.83</v>
      </c>
      <c r="G21" s="51" t="n">
        <v>538.1900000000001</v>
      </c>
      <c r="H21" s="51" t="n">
        <v>885.4299999999999</v>
      </c>
      <c r="I21" s="51" t="n">
        <v>103.55</v>
      </c>
      <c r="J21" s="51" t="n">
        <v>746.46</v>
      </c>
      <c r="K21" s="51" t="n">
        <v>655.98</v>
      </c>
      <c r="L21" s="51" t="n">
        <v>836.51</v>
      </c>
      <c r="M21" s="51" t="n">
        <v>576.88</v>
      </c>
      <c r="N21" s="51" t="n">
        <v>7007.15</v>
      </c>
    </row>
    <row r="22" ht="15" customHeight="1">
      <c r="A22" s="47" t="n"/>
    </row>
    <row r="23" ht="15" customHeight="1">
      <c r="A23" s="47" t="inlineStr">
        <is>
          <t xml:space="preserve">    OTHER INCOME</t>
        </is>
      </c>
      <c r="B23" s="48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</row>
    <row r="24" ht="15" customHeight="1">
      <c r="A24" s="47" t="inlineStr">
        <is>
          <t xml:space="preserve">        Late Fee</t>
        </is>
      </c>
      <c r="B24" s="49" t="n">
        <v>103</v>
      </c>
      <c r="C24" s="49" t="n">
        <v>276</v>
      </c>
      <c r="D24" s="49" t="n">
        <v>338</v>
      </c>
      <c r="E24" s="49" t="n">
        <v>610</v>
      </c>
      <c r="F24" s="49" t="n">
        <v>490</v>
      </c>
      <c r="G24" s="49" t="n">
        <v>170</v>
      </c>
      <c r="H24" s="49" t="n">
        <v>877</v>
      </c>
      <c r="I24" s="49" t="n">
        <v>218</v>
      </c>
      <c r="J24" s="49" t="n">
        <v>742</v>
      </c>
      <c r="K24" s="49" t="n">
        <v>98</v>
      </c>
      <c r="L24" s="49" t="n">
        <v>262</v>
      </c>
      <c r="M24" s="49" t="n">
        <v>1048</v>
      </c>
      <c r="N24" s="49" t="n">
        <v>5232</v>
      </c>
    </row>
    <row r="25" ht="15" customHeight="1">
      <c r="A25" s="47" t="inlineStr">
        <is>
          <t xml:space="preserve">        Administrative Fee</t>
        </is>
      </c>
      <c r="B25" s="50" t="n">
        <v>29</v>
      </c>
      <c r="C25" s="50" t="n">
        <v>116</v>
      </c>
      <c r="D25" s="50" t="n">
        <v>-949.14</v>
      </c>
      <c r="E25" s="50" t="n">
        <v>159</v>
      </c>
      <c r="F25" s="50" t="n">
        <v>181</v>
      </c>
      <c r="G25" s="50" t="n">
        <v>414</v>
      </c>
      <c r="H25" s="50" t="n">
        <v>319</v>
      </c>
      <c r="I25" s="50" t="n">
        <v>287</v>
      </c>
      <c r="J25" s="50" t="n">
        <v>476</v>
      </c>
      <c r="K25" s="50" t="n">
        <v>187</v>
      </c>
      <c r="L25" s="50" t="n">
        <v>409</v>
      </c>
      <c r="M25" s="50" t="n">
        <v>112</v>
      </c>
      <c r="N25" s="50" t="n">
        <v>1739.86</v>
      </c>
    </row>
    <row r="26" ht="15" customHeight="1">
      <c r="A26" s="47" t="inlineStr">
        <is>
          <t xml:space="preserve">            TOTAL OTHER INCOME</t>
        </is>
      </c>
      <c r="B26" s="51" t="n">
        <v>132</v>
      </c>
      <c r="C26" s="51" t="n">
        <v>392</v>
      </c>
      <c r="D26" s="51" t="n">
        <v>-611.14</v>
      </c>
      <c r="E26" s="51" t="n">
        <v>769</v>
      </c>
      <c r="F26" s="51" t="n">
        <v>671</v>
      </c>
      <c r="G26" s="51" t="n">
        <v>584</v>
      </c>
      <c r="H26" s="51" t="n">
        <v>1196</v>
      </c>
      <c r="I26" s="51" t="n">
        <v>505</v>
      </c>
      <c r="J26" s="51" t="n">
        <v>1218</v>
      </c>
      <c r="K26" s="51" t="n">
        <v>285</v>
      </c>
      <c r="L26" s="51" t="n">
        <v>671</v>
      </c>
      <c r="M26" s="51" t="n">
        <v>1160</v>
      </c>
      <c r="N26" s="51" t="n">
        <v>6971.86</v>
      </c>
    </row>
    <row r="27" ht="15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</row>
    <row r="28" ht="15" customHeight="1">
      <c r="A28" s="54" t="inlineStr">
        <is>
          <t xml:space="preserve">                TOTAL INCOME</t>
        </is>
      </c>
      <c r="B28" s="55" t="n">
        <v>28065.45</v>
      </c>
      <c r="C28" s="55" t="n">
        <v>28882.96</v>
      </c>
      <c r="D28" s="55" t="n">
        <v>27862.8</v>
      </c>
      <c r="E28" s="55" t="n">
        <v>31505.68</v>
      </c>
      <c r="F28" s="55" t="n">
        <v>31870.41</v>
      </c>
      <c r="G28" s="55" t="n">
        <v>32164.72</v>
      </c>
      <c r="H28" s="55" t="n">
        <v>32900.64</v>
      </c>
      <c r="I28" s="55" t="n">
        <v>32165.24</v>
      </c>
      <c r="J28" s="55" t="n">
        <v>31333.4</v>
      </c>
      <c r="K28" s="55" t="n">
        <v>31437.77</v>
      </c>
      <c r="L28" s="55" t="n">
        <v>33109.62</v>
      </c>
      <c r="M28" s="55" t="n">
        <v>34075.84</v>
      </c>
      <c r="N28" s="55" t="n">
        <v>375374.53</v>
      </c>
    </row>
    <row r="29" ht="15" customHeight="1">
      <c r="A29" s="47" t="n"/>
    </row>
    <row r="30" ht="15" customHeight="1">
      <c r="A30" s="54" t="inlineStr">
        <is>
          <t xml:space="preserve"> EXPENSES</t>
        </is>
      </c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  <c r="N30" s="56" t="n"/>
    </row>
    <row r="31" ht="15" customHeight="1">
      <c r="A31" s="47" t="n"/>
    </row>
    <row r="32" ht="15" customHeight="1">
      <c r="A32" s="47" t="inlineStr">
        <is>
          <t xml:space="preserve">    ADVERTISING and MARKETING</t>
        </is>
      </c>
      <c r="B32" s="48" t="n"/>
      <c r="C32" s="48" t="n"/>
      <c r="D32" s="48" t="n"/>
      <c r="E32" s="48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</row>
    <row r="33" ht="15" customHeight="1">
      <c r="A33" s="47" t="inlineStr">
        <is>
          <t xml:space="preserve">        Advertising</t>
        </is>
      </c>
      <c r="B33" s="49" t="n">
        <v>40.9</v>
      </c>
      <c r="C33" s="49" t="n">
        <v>0</v>
      </c>
      <c r="D33" s="49" t="n">
        <v>0</v>
      </c>
      <c r="E33" s="49" t="n">
        <v>38.04</v>
      </c>
      <c r="F33" s="49" t="n">
        <v>0</v>
      </c>
      <c r="G33" s="49" t="n">
        <v>0</v>
      </c>
      <c r="H33" s="49" t="n">
        <v>0</v>
      </c>
      <c r="I33" s="49" t="n">
        <v>0</v>
      </c>
      <c r="J33" s="49" t="n">
        <v>0</v>
      </c>
      <c r="K33" s="49" t="n">
        <v>0</v>
      </c>
      <c r="L33" s="49" t="n">
        <v>0</v>
      </c>
      <c r="M33" s="49" t="n">
        <v>0</v>
      </c>
      <c r="N33" s="49" t="n">
        <v>78.94</v>
      </c>
    </row>
    <row r="34" ht="15" customHeight="1">
      <c r="A34" s="47" t="inlineStr">
        <is>
          <t xml:space="preserve">        Internet Marketing</t>
        </is>
      </c>
      <c r="B34" s="49" t="n">
        <v>758.16</v>
      </c>
      <c r="C34" s="49" t="n">
        <v>789.39</v>
      </c>
      <c r="D34" s="49" t="n">
        <v>777.99</v>
      </c>
      <c r="E34" s="49" t="n">
        <v>743.55</v>
      </c>
      <c r="F34" s="49" t="n">
        <v>749.4400000000001</v>
      </c>
      <c r="G34" s="49" t="n">
        <v>812.77</v>
      </c>
      <c r="H34" s="49" t="n">
        <v>816.35</v>
      </c>
      <c r="I34" s="49" t="n">
        <v>877.72</v>
      </c>
      <c r="J34" s="49" t="n">
        <v>782.99</v>
      </c>
      <c r="K34" s="49" t="n">
        <v>712.13</v>
      </c>
      <c r="L34" s="49" t="n">
        <v>828.08</v>
      </c>
      <c r="M34" s="49" t="n">
        <v>608.23</v>
      </c>
      <c r="N34" s="49" t="n">
        <v>9256.799999999999</v>
      </c>
    </row>
    <row r="35" ht="15" customHeight="1">
      <c r="A35" s="47" t="inlineStr">
        <is>
          <t xml:space="preserve">        OnSite Marketing</t>
        </is>
      </c>
      <c r="B35" s="49" t="n">
        <v>123.34</v>
      </c>
      <c r="C35" s="49" t="n">
        <v>123.34</v>
      </c>
      <c r="D35" s="49" t="n">
        <v>123.34</v>
      </c>
      <c r="E35" s="49" t="n">
        <v>123.34</v>
      </c>
      <c r="F35" s="49" t="n">
        <v>124.78</v>
      </c>
      <c r="G35" s="49" t="n">
        <v>124.78</v>
      </c>
      <c r="H35" s="49" t="n">
        <v>124.78</v>
      </c>
      <c r="I35" s="49" t="n">
        <v>124.78</v>
      </c>
      <c r="J35" s="49" t="n">
        <v>124.78</v>
      </c>
      <c r="K35" s="49" t="n">
        <v>124.78</v>
      </c>
      <c r="L35" s="49" t="n">
        <v>124.78</v>
      </c>
      <c r="M35" s="49" t="n">
        <v>124.78</v>
      </c>
      <c r="N35" s="49" t="n">
        <v>1491.6</v>
      </c>
    </row>
    <row r="36" ht="15" customHeight="1">
      <c r="A36" s="47" t="inlineStr">
        <is>
          <t xml:space="preserve">        Marketing Other</t>
        </is>
      </c>
      <c r="B36" s="50" t="n">
        <v>0</v>
      </c>
      <c r="C36" s="50" t="n">
        <v>0</v>
      </c>
      <c r="D36" s="50" t="n">
        <v>0</v>
      </c>
      <c r="E36" s="50" t="n">
        <v>0</v>
      </c>
      <c r="F36" s="50" t="n">
        <v>0</v>
      </c>
      <c r="G36" s="50" t="n">
        <v>0</v>
      </c>
      <c r="H36" s="50" t="n">
        <v>0</v>
      </c>
      <c r="I36" s="50" t="n">
        <v>0</v>
      </c>
      <c r="J36" s="50" t="n">
        <v>32.05</v>
      </c>
      <c r="K36" s="50" t="n">
        <v>0</v>
      </c>
      <c r="L36" s="50" t="n">
        <v>0</v>
      </c>
      <c r="M36" s="50" t="n">
        <v>0</v>
      </c>
      <c r="N36" s="50" t="n">
        <v>32.05</v>
      </c>
    </row>
    <row r="37" ht="15" customHeight="1">
      <c r="A37" s="47" t="inlineStr">
        <is>
          <t xml:space="preserve">            ADVERTISING and MARKETING TOTAL</t>
        </is>
      </c>
      <c r="B37" s="51" t="n">
        <v>922.4</v>
      </c>
      <c r="C37" s="51" t="n">
        <v>912.73</v>
      </c>
      <c r="D37" s="51" t="n">
        <v>901.33</v>
      </c>
      <c r="E37" s="51" t="n">
        <v>904.9299999999999</v>
      </c>
      <c r="F37" s="51" t="n">
        <v>874.22</v>
      </c>
      <c r="G37" s="51" t="n">
        <v>937.55</v>
      </c>
      <c r="H37" s="51" t="n">
        <v>941.13</v>
      </c>
      <c r="I37" s="51" t="n">
        <v>1002.5</v>
      </c>
      <c r="J37" s="51" t="n">
        <v>939.8200000000001</v>
      </c>
      <c r="K37" s="51" t="n">
        <v>836.91</v>
      </c>
      <c r="L37" s="51" t="n">
        <v>952.86</v>
      </c>
      <c r="M37" s="51" t="n">
        <v>733.01</v>
      </c>
      <c r="N37" s="51" t="n">
        <v>10859.39</v>
      </c>
    </row>
    <row r="38" ht="15" customHeight="1">
      <c r="A38" s="47" t="n"/>
    </row>
    <row r="39" ht="15" customHeight="1">
      <c r="A39" s="47" t="inlineStr">
        <is>
          <t xml:space="preserve">    REPAIRS AND MAINTENANCE</t>
        </is>
      </c>
      <c r="B39" s="48" t="n"/>
      <c r="C39" s="48" t="n"/>
      <c r="D39" s="48" t="n"/>
      <c r="E39" s="48" t="n"/>
      <c r="F39" s="48" t="n"/>
      <c r="G39" s="48" t="n"/>
      <c r="H39" s="48" t="n"/>
      <c r="I39" s="48" t="n"/>
      <c r="J39" s="48" t="n"/>
      <c r="K39" s="48" t="n"/>
      <c r="L39" s="48" t="n"/>
      <c r="M39" s="48" t="n"/>
      <c r="N39" s="48" t="n"/>
    </row>
    <row r="40" ht="15" customHeight="1">
      <c r="A40" s="47" t="inlineStr">
        <is>
          <t xml:space="preserve">        Repairs and  Maintenance</t>
        </is>
      </c>
      <c r="B40" s="49" t="n">
        <v>1241</v>
      </c>
      <c r="C40" s="49" t="n">
        <v>895</v>
      </c>
      <c r="D40" s="49" t="n">
        <v>1050</v>
      </c>
      <c r="E40" s="49" t="n">
        <v>428.76</v>
      </c>
      <c r="F40" s="49" t="n">
        <v>250</v>
      </c>
      <c r="G40" s="49" t="n">
        <v>264.22</v>
      </c>
      <c r="H40" s="49" t="n">
        <v>1013</v>
      </c>
      <c r="I40" s="49" t="n">
        <v>277.08</v>
      </c>
      <c r="J40" s="49" t="n">
        <v>485.02</v>
      </c>
      <c r="K40" s="49" t="n">
        <v>1142.34</v>
      </c>
      <c r="L40" s="49" t="n">
        <v>1708.53</v>
      </c>
      <c r="M40" s="49" t="n">
        <v>250</v>
      </c>
      <c r="N40" s="49" t="n">
        <v>9004.950000000001</v>
      </c>
    </row>
    <row r="41" ht="15" customHeight="1">
      <c r="A41" s="47" t="inlineStr">
        <is>
          <t xml:space="preserve">        Maintenance Tools and Supplies</t>
        </is>
      </c>
      <c r="B41" s="49" t="n">
        <v>0</v>
      </c>
      <c r="C41" s="49" t="n">
        <v>0</v>
      </c>
      <c r="D41" s="49" t="n">
        <v>0</v>
      </c>
      <c r="E41" s="49" t="n">
        <v>0</v>
      </c>
      <c r="F41" s="49" t="n">
        <v>0</v>
      </c>
      <c r="G41" s="49" t="n">
        <v>89.09999999999999</v>
      </c>
      <c r="H41" s="49" t="n">
        <v>0</v>
      </c>
      <c r="I41" s="49" t="n">
        <v>0</v>
      </c>
      <c r="J41" s="49" t="n">
        <v>0</v>
      </c>
      <c r="K41" s="49" t="n">
        <v>132.17</v>
      </c>
      <c r="L41" s="49" t="n">
        <v>0</v>
      </c>
      <c r="M41" s="49" t="n">
        <v>0</v>
      </c>
      <c r="N41" s="49" t="n">
        <v>221.27</v>
      </c>
    </row>
    <row r="42" ht="15" customHeight="1">
      <c r="A42" s="47" t="inlineStr">
        <is>
          <t xml:space="preserve">        Extermination</t>
        </is>
      </c>
      <c r="B42" s="50" t="n">
        <v>0</v>
      </c>
      <c r="C42" s="50" t="n">
        <v>139</v>
      </c>
      <c r="D42" s="50" t="n">
        <v>139</v>
      </c>
      <c r="E42" s="50" t="n">
        <v>139</v>
      </c>
      <c r="F42" s="50" t="n">
        <v>139</v>
      </c>
      <c r="G42" s="50" t="n">
        <v>139</v>
      </c>
      <c r="H42" s="50" t="n">
        <v>139</v>
      </c>
      <c r="I42" s="50" t="n">
        <v>139</v>
      </c>
      <c r="J42" s="50" t="n">
        <v>139</v>
      </c>
      <c r="K42" s="50" t="n">
        <v>139</v>
      </c>
      <c r="L42" s="50" t="n">
        <v>139</v>
      </c>
      <c r="M42" s="50" t="n">
        <v>0</v>
      </c>
      <c r="N42" s="50" t="n">
        <v>1390</v>
      </c>
    </row>
    <row r="43" ht="15" customHeight="1">
      <c r="A43" s="47" t="inlineStr">
        <is>
          <t xml:space="preserve">            TOTAL REPAIRS AND MAINTENANCE</t>
        </is>
      </c>
      <c r="B43" s="51" t="n">
        <v>1241</v>
      </c>
      <c r="C43" s="51" t="n">
        <v>1034</v>
      </c>
      <c r="D43" s="51" t="n">
        <v>1189</v>
      </c>
      <c r="E43" s="51" t="n">
        <v>567.76</v>
      </c>
      <c r="F43" s="51" t="n">
        <v>389</v>
      </c>
      <c r="G43" s="51" t="n">
        <v>492.32</v>
      </c>
      <c r="H43" s="51" t="n">
        <v>1152</v>
      </c>
      <c r="I43" s="51" t="n">
        <v>416.08</v>
      </c>
      <c r="J43" s="51" t="n">
        <v>624.02</v>
      </c>
      <c r="K43" s="51" t="n">
        <v>1413.51</v>
      </c>
      <c r="L43" s="51" t="n">
        <v>1847.53</v>
      </c>
      <c r="M43" s="51" t="n">
        <v>250</v>
      </c>
      <c r="N43" s="51" t="n">
        <v>10616.22</v>
      </c>
    </row>
    <row r="44" ht="15" customHeight="1">
      <c r="A44" s="47" t="n"/>
    </row>
    <row r="45" ht="15" customHeight="1">
      <c r="A45" s="47" t="inlineStr">
        <is>
          <t xml:space="preserve">    GROUNDS</t>
        </is>
      </c>
      <c r="B45" s="48" t="n"/>
      <c r="C45" s="48" t="n"/>
      <c r="D45" s="48" t="n"/>
      <c r="E45" s="48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48" t="n"/>
    </row>
    <row r="46" ht="15" customHeight="1">
      <c r="A46" s="47" t="inlineStr">
        <is>
          <t xml:space="preserve">        Trash Disposal</t>
        </is>
      </c>
      <c r="B46" s="50" t="n">
        <v>250.61</v>
      </c>
      <c r="C46" s="50" t="n">
        <v>253.87</v>
      </c>
      <c r="D46" s="50" t="n">
        <v>247.8</v>
      </c>
      <c r="E46" s="50" t="n">
        <v>252.03</v>
      </c>
      <c r="F46" s="50" t="n">
        <v>250.51</v>
      </c>
      <c r="G46" s="50" t="n">
        <v>276.88</v>
      </c>
      <c r="H46" s="50" t="n">
        <v>275.8</v>
      </c>
      <c r="I46" s="50" t="n">
        <v>556.77</v>
      </c>
      <c r="J46" s="50" t="n">
        <v>279.17</v>
      </c>
      <c r="K46" s="50" t="n">
        <v>279.29</v>
      </c>
      <c r="L46" s="50" t="n">
        <v>575</v>
      </c>
      <c r="M46" s="50" t="n">
        <v>277.48</v>
      </c>
      <c r="N46" s="50" t="n">
        <v>3775.21</v>
      </c>
    </row>
    <row r="47" ht="15" customHeight="1">
      <c r="A47" s="47" t="inlineStr">
        <is>
          <t xml:space="preserve">            TOTAL GROUNDS</t>
        </is>
      </c>
      <c r="B47" s="51" t="n">
        <v>250.61</v>
      </c>
      <c r="C47" s="51" t="n">
        <v>253.87</v>
      </c>
      <c r="D47" s="51" t="n">
        <v>247.8</v>
      </c>
      <c r="E47" s="51" t="n">
        <v>252.03</v>
      </c>
      <c r="F47" s="51" t="n">
        <v>250.51</v>
      </c>
      <c r="G47" s="51" t="n">
        <v>276.88</v>
      </c>
      <c r="H47" s="51" t="n">
        <v>275.8</v>
      </c>
      <c r="I47" s="51" t="n">
        <v>556.77</v>
      </c>
      <c r="J47" s="51" t="n">
        <v>279.17</v>
      </c>
      <c r="K47" s="51" t="n">
        <v>279.29</v>
      </c>
      <c r="L47" s="51" t="n">
        <v>575</v>
      </c>
      <c r="M47" s="51" t="n">
        <v>277.48</v>
      </c>
      <c r="N47" s="51" t="n">
        <v>3775.21</v>
      </c>
    </row>
    <row r="48" ht="15" customHeight="1">
      <c r="A48" s="47" t="n"/>
    </row>
    <row r="49" ht="15" customHeight="1">
      <c r="A49" s="47" t="inlineStr">
        <is>
          <t xml:space="preserve">    UTILITIES</t>
        </is>
      </c>
      <c r="B49" s="48" t="n"/>
      <c r="C49" s="48" t="n"/>
      <c r="D49" s="48" t="n"/>
      <c r="E49" s="48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48" t="n"/>
    </row>
    <row r="50" ht="15" customHeight="1">
      <c r="A50" s="47" t="inlineStr">
        <is>
          <t xml:space="preserve">        Electricity</t>
        </is>
      </c>
      <c r="B50" s="49" t="n">
        <v>120</v>
      </c>
      <c r="C50" s="49" t="n">
        <v>120</v>
      </c>
      <c r="D50" s="49" t="n">
        <v>318.35</v>
      </c>
      <c r="E50" s="49" t="n">
        <v>140</v>
      </c>
      <c r="F50" s="49" t="n">
        <v>140</v>
      </c>
      <c r="G50" s="49" t="n">
        <v>140</v>
      </c>
      <c r="H50" s="49" t="n">
        <v>758</v>
      </c>
      <c r="I50" s="49" t="n">
        <v>750</v>
      </c>
      <c r="J50" s="49" t="n">
        <v>750</v>
      </c>
      <c r="K50" s="49" t="n">
        <v>491.25</v>
      </c>
      <c r="L50" s="49" t="n">
        <v>223.94</v>
      </c>
      <c r="M50" s="49" t="n">
        <v>9.210000000000001</v>
      </c>
      <c r="N50" s="49" t="n">
        <v>3960.75</v>
      </c>
    </row>
    <row r="51" ht="15" customHeight="1">
      <c r="A51" s="47" t="inlineStr">
        <is>
          <t xml:space="preserve">        Internet Services</t>
        </is>
      </c>
      <c r="B51" s="49" t="n">
        <v>145.95</v>
      </c>
      <c r="C51" s="49" t="n">
        <v>148.95</v>
      </c>
      <c r="D51" s="49" t="n">
        <v>160.95</v>
      </c>
      <c r="E51" s="49" t="n">
        <v>148.95</v>
      </c>
      <c r="F51" s="49" t="n">
        <v>148.95</v>
      </c>
      <c r="G51" s="49" t="n">
        <v>148.95</v>
      </c>
      <c r="H51" s="49" t="n">
        <v>88.95</v>
      </c>
      <c r="I51" s="49" t="n">
        <v>148.95</v>
      </c>
      <c r="J51" s="49" t="n">
        <v>148.95</v>
      </c>
      <c r="K51" s="49" t="n">
        <v>148.95</v>
      </c>
      <c r="L51" s="49" t="n">
        <v>148.95</v>
      </c>
      <c r="M51" s="49" t="n">
        <v>148.95</v>
      </c>
      <c r="N51" s="49" t="n">
        <v>1736.4</v>
      </c>
    </row>
    <row r="52" ht="15" customHeight="1">
      <c r="A52" s="47" t="inlineStr">
        <is>
          <t xml:space="preserve">        Telephone Service</t>
        </is>
      </c>
      <c r="B52" s="50" t="n">
        <v>203.57</v>
      </c>
      <c r="C52" s="50" t="n">
        <v>203.43</v>
      </c>
      <c r="D52" s="50" t="n">
        <v>203.43</v>
      </c>
      <c r="E52" s="50" t="n">
        <v>204.01</v>
      </c>
      <c r="F52" s="50" t="n">
        <v>209.01</v>
      </c>
      <c r="G52" s="50" t="n">
        <v>209.08</v>
      </c>
      <c r="H52" s="50" t="n">
        <v>209.01</v>
      </c>
      <c r="I52" s="50" t="n">
        <v>209.01</v>
      </c>
      <c r="J52" s="50" t="n">
        <v>209.01</v>
      </c>
      <c r="K52" s="50" t="n">
        <v>209.08</v>
      </c>
      <c r="L52" s="50" t="n">
        <v>195.57</v>
      </c>
      <c r="M52" s="50" t="n">
        <v>201.57</v>
      </c>
      <c r="N52" s="50" t="n">
        <v>2465.78</v>
      </c>
    </row>
    <row r="53" ht="15" customHeight="1">
      <c r="A53" s="47" t="inlineStr">
        <is>
          <t xml:space="preserve">            TOTAL UTILITIES</t>
        </is>
      </c>
      <c r="B53" s="51" t="n">
        <v>469.52</v>
      </c>
      <c r="C53" s="51" t="n">
        <v>472.38</v>
      </c>
      <c r="D53" s="51" t="n">
        <v>682.73</v>
      </c>
      <c r="E53" s="51" t="n">
        <v>492.96</v>
      </c>
      <c r="F53" s="51" t="n">
        <v>497.96</v>
      </c>
      <c r="G53" s="51" t="n">
        <v>498.03</v>
      </c>
      <c r="H53" s="51" t="n">
        <v>1055.96</v>
      </c>
      <c r="I53" s="51" t="n">
        <v>1107.96</v>
      </c>
      <c r="J53" s="51" t="n">
        <v>1107.96</v>
      </c>
      <c r="K53" s="51" t="n">
        <v>849.28</v>
      </c>
      <c r="L53" s="51" t="n">
        <v>568.46</v>
      </c>
      <c r="M53" s="51" t="n">
        <v>359.73</v>
      </c>
      <c r="N53" s="51" t="n">
        <v>8162.93</v>
      </c>
    </row>
    <row r="54" ht="15" customHeight="1">
      <c r="A54" s="47" t="n"/>
    </row>
    <row r="55" ht="15" customHeight="1">
      <c r="A55" s="47" t="inlineStr">
        <is>
          <t xml:space="preserve">    ADMINISTRATIVE and MANAGEMENT</t>
        </is>
      </c>
      <c r="B55" s="48" t="n"/>
      <c r="C55" s="48" t="n"/>
      <c r="D55" s="48" t="n"/>
      <c r="E55" s="48" t="n"/>
      <c r="F55" s="48" t="n"/>
      <c r="G55" s="48" t="n"/>
      <c r="H55" s="48" t="n"/>
      <c r="I55" s="48" t="n"/>
      <c r="J55" s="48" t="n"/>
      <c r="K55" s="48" t="n"/>
      <c r="L55" s="48" t="n"/>
      <c r="M55" s="48" t="n"/>
      <c r="N55" s="48" t="n"/>
    </row>
    <row r="56" ht="15" customHeight="1">
      <c r="A56" s="47" t="inlineStr">
        <is>
          <t xml:space="preserve">        Management Fee</t>
        </is>
      </c>
      <c r="B56" s="50" t="n">
        <v>1288.43</v>
      </c>
      <c r="C56" s="50" t="n">
        <v>1293.15</v>
      </c>
      <c r="D56" s="50" t="n">
        <v>1337.56</v>
      </c>
      <c r="E56" s="50" t="n">
        <v>1715.5</v>
      </c>
      <c r="F56" s="50" t="n">
        <v>1477.12</v>
      </c>
      <c r="G56" s="50" t="n">
        <v>1552.01</v>
      </c>
      <c r="H56" s="50" t="n">
        <v>1817.54</v>
      </c>
      <c r="I56" s="50" t="n">
        <v>1362.78</v>
      </c>
      <c r="J56" s="50" t="n">
        <v>1650.38</v>
      </c>
      <c r="K56" s="50" t="n">
        <v>1503.06</v>
      </c>
      <c r="L56" s="50" t="n">
        <v>1783.01</v>
      </c>
      <c r="M56" s="50" t="n">
        <v>1656.22</v>
      </c>
      <c r="N56" s="50" t="n">
        <v>18436.76</v>
      </c>
    </row>
    <row r="57" ht="15" customHeight="1">
      <c r="A57" s="47" t="inlineStr">
        <is>
          <t xml:space="preserve">            TOTAL ADMINISTRATIVE &amp; MANAGEMENT EXPENSES</t>
        </is>
      </c>
      <c r="B57" s="51" t="n">
        <v>1288.43</v>
      </c>
      <c r="C57" s="51" t="n">
        <v>1293.15</v>
      </c>
      <c r="D57" s="51" t="n">
        <v>1337.56</v>
      </c>
      <c r="E57" s="51" t="n">
        <v>1715.5</v>
      </c>
      <c r="F57" s="51" t="n">
        <v>1477.12</v>
      </c>
      <c r="G57" s="51" t="n">
        <v>1552.01</v>
      </c>
      <c r="H57" s="51" t="n">
        <v>1817.54</v>
      </c>
      <c r="I57" s="51" t="n">
        <v>1362.78</v>
      </c>
      <c r="J57" s="51" t="n">
        <v>1650.38</v>
      </c>
      <c r="K57" s="51" t="n">
        <v>1503.06</v>
      </c>
      <c r="L57" s="51" t="n">
        <v>1783.01</v>
      </c>
      <c r="M57" s="51" t="n">
        <v>1656.22</v>
      </c>
      <c r="N57" s="51" t="n">
        <v>18436.76</v>
      </c>
    </row>
    <row r="58" ht="15" customHeight="1">
      <c r="A58" s="47" t="n"/>
    </row>
    <row r="59" ht="15" customHeight="1">
      <c r="A59" s="47" t="inlineStr">
        <is>
          <t xml:space="preserve">    PROPERTY TAXES AND INSURANCE</t>
        </is>
      </c>
      <c r="B59" s="48" t="n"/>
      <c r="C59" s="48" t="n"/>
      <c r="D59" s="48" t="n"/>
      <c r="E59" s="48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</row>
    <row r="60" ht="15" customHeight="1">
      <c r="A60" s="47" t="inlineStr">
        <is>
          <t xml:space="preserve">        Property Tax</t>
        </is>
      </c>
      <c r="B60" s="49" t="n">
        <v>4850.26</v>
      </c>
      <c r="C60" s="49" t="n">
        <v>5024.87</v>
      </c>
      <c r="D60" s="49" t="n">
        <v>5024.87</v>
      </c>
      <c r="E60" s="49" t="n">
        <v>5024.87</v>
      </c>
      <c r="F60" s="49" t="n">
        <v>5024.87</v>
      </c>
      <c r="G60" s="49" t="n">
        <v>5024.87</v>
      </c>
      <c r="H60" s="49" t="n">
        <v>5024.87</v>
      </c>
      <c r="I60" s="49" t="n">
        <v>5024.87</v>
      </c>
      <c r="J60" s="49" t="n">
        <v>5024.87</v>
      </c>
      <c r="K60" s="49" t="n">
        <v>5024.87</v>
      </c>
      <c r="L60" s="49" t="n">
        <v>5024.87</v>
      </c>
      <c r="M60" s="49" t="n">
        <v>5024.87</v>
      </c>
      <c r="N60" s="49" t="n">
        <v>60123.83</v>
      </c>
    </row>
    <row r="61" ht="15" customHeight="1">
      <c r="A61" s="47" t="inlineStr">
        <is>
          <t xml:space="preserve">        Property Insurance</t>
        </is>
      </c>
      <c r="B61" s="50" t="n">
        <v>810</v>
      </c>
      <c r="C61" s="50" t="n">
        <v>741.08</v>
      </c>
      <c r="D61" s="50" t="n">
        <v>741.08</v>
      </c>
      <c r="E61" s="50" t="n">
        <v>741.08</v>
      </c>
      <c r="F61" s="50" t="n">
        <v>741.08</v>
      </c>
      <c r="G61" s="50" t="n">
        <v>741.08</v>
      </c>
      <c r="H61" s="50" t="n">
        <v>741.08</v>
      </c>
      <c r="I61" s="50" t="n">
        <v>741.08</v>
      </c>
      <c r="J61" s="50" t="n">
        <v>741.08</v>
      </c>
      <c r="K61" s="50" t="n">
        <v>741.08</v>
      </c>
      <c r="L61" s="50" t="n">
        <v>741.08</v>
      </c>
      <c r="M61" s="50" t="n">
        <v>741.08</v>
      </c>
      <c r="N61" s="50" t="n">
        <v>8961.879999999999</v>
      </c>
    </row>
    <row r="62" ht="15" customHeight="1">
      <c r="A62" s="47" t="inlineStr">
        <is>
          <t xml:space="preserve">            TOTAL PROPERTY TAXES &amp; INSURANCE</t>
        </is>
      </c>
      <c r="B62" s="51" t="n">
        <v>5660.26</v>
      </c>
      <c r="C62" s="51" t="n">
        <v>5765.95</v>
      </c>
      <c r="D62" s="51" t="n">
        <v>5765.95</v>
      </c>
      <c r="E62" s="51" t="n">
        <v>5765.95</v>
      </c>
      <c r="F62" s="51" t="n">
        <v>5765.95</v>
      </c>
      <c r="G62" s="51" t="n">
        <v>5765.95</v>
      </c>
      <c r="H62" s="51" t="n">
        <v>5765.95</v>
      </c>
      <c r="I62" s="51" t="n">
        <v>5765.95</v>
      </c>
      <c r="J62" s="51" t="n">
        <v>5765.95</v>
      </c>
      <c r="K62" s="51" t="n">
        <v>5765.95</v>
      </c>
      <c r="L62" s="51" t="n">
        <v>5765.95</v>
      </c>
      <c r="M62" s="51" t="n">
        <v>5765.95</v>
      </c>
      <c r="N62" s="51" t="n">
        <v>69085.71000000001</v>
      </c>
    </row>
    <row r="63" ht="15" customHeight="1">
      <c r="A63" s="47" t="n"/>
    </row>
    <row r="64" ht="15" customHeight="1">
      <c r="A64" s="47" t="inlineStr">
        <is>
          <t xml:space="preserve">    GENERAL &amp; ADMINISTRATIVE</t>
        </is>
      </c>
      <c r="B64" s="48" t="n"/>
      <c r="C64" s="48" t="n"/>
      <c r="D64" s="48" t="n"/>
      <c r="E64" s="48" t="n"/>
      <c r="F64" s="48" t="n"/>
      <c r="G64" s="48" t="n"/>
      <c r="H64" s="48" t="n"/>
      <c r="I64" s="48" t="n"/>
      <c r="J64" s="48" t="n"/>
      <c r="K64" s="48" t="n"/>
      <c r="L64" s="48" t="n"/>
      <c r="M64" s="48" t="n"/>
      <c r="N64" s="48" t="n"/>
    </row>
    <row r="65" ht="15" customHeight="1">
      <c r="A65" s="47" t="inlineStr">
        <is>
          <t xml:space="preserve">        Meals &amp; Entertainment</t>
        </is>
      </c>
      <c r="B65" s="49" t="n">
        <v>0</v>
      </c>
      <c r="C65" s="49" t="n">
        <v>0</v>
      </c>
      <c r="D65" s="49" t="n">
        <v>0</v>
      </c>
      <c r="E65" s="49" t="n">
        <v>0</v>
      </c>
      <c r="F65" s="49" t="n">
        <v>0</v>
      </c>
      <c r="G65" s="49" t="n">
        <v>0</v>
      </c>
      <c r="H65" s="49" t="n">
        <v>0</v>
      </c>
      <c r="I65" s="49" t="n">
        <v>0</v>
      </c>
      <c r="J65" s="49" t="n">
        <v>0</v>
      </c>
      <c r="K65" s="49" t="n">
        <v>0</v>
      </c>
      <c r="L65" s="49" t="n">
        <v>14.01</v>
      </c>
      <c r="M65" s="49" t="n">
        <v>0</v>
      </c>
      <c r="N65" s="49" t="n">
        <v>14.01</v>
      </c>
    </row>
    <row r="66" ht="15" customHeight="1">
      <c r="A66" s="47" t="inlineStr">
        <is>
          <t xml:space="preserve">        Vehicle Expense</t>
        </is>
      </c>
      <c r="B66" s="49" t="n">
        <v>0</v>
      </c>
      <c r="C66" s="49" t="n">
        <v>0</v>
      </c>
      <c r="D66" s="49" t="n">
        <v>0</v>
      </c>
      <c r="E66" s="49" t="n">
        <v>0</v>
      </c>
      <c r="F66" s="49" t="n">
        <v>66.15000000000001</v>
      </c>
      <c r="G66" s="49" t="n">
        <v>0</v>
      </c>
      <c r="H66" s="49" t="n">
        <v>0</v>
      </c>
      <c r="I66" s="49" t="n">
        <v>0</v>
      </c>
      <c r="J66" s="49" t="n">
        <v>0</v>
      </c>
      <c r="K66" s="49" t="n">
        <v>0</v>
      </c>
      <c r="L66" s="49" t="n">
        <v>0</v>
      </c>
      <c r="M66" s="49" t="n">
        <v>0</v>
      </c>
      <c r="N66" s="49" t="n">
        <v>66.15000000000001</v>
      </c>
    </row>
    <row r="67" ht="15" customHeight="1">
      <c r="A67" s="47" t="inlineStr">
        <is>
          <t xml:space="preserve">        Software</t>
        </is>
      </c>
      <c r="B67" s="49" t="n">
        <v>332.83</v>
      </c>
      <c r="C67" s="49" t="n">
        <v>332.83</v>
      </c>
      <c r="D67" s="49" t="n">
        <v>344.04</v>
      </c>
      <c r="E67" s="49" t="n">
        <v>543.04</v>
      </c>
      <c r="F67" s="49" t="n">
        <v>443.04</v>
      </c>
      <c r="G67" s="49" t="n">
        <v>448.16</v>
      </c>
      <c r="H67" s="49" t="n">
        <v>447.5</v>
      </c>
      <c r="I67" s="49" t="n">
        <v>448.16</v>
      </c>
      <c r="J67" s="49" t="n">
        <v>315.04</v>
      </c>
      <c r="K67" s="49" t="n">
        <v>475.88</v>
      </c>
      <c r="L67" s="49" t="n">
        <v>315.04</v>
      </c>
      <c r="M67" s="49" t="n">
        <v>314.42</v>
      </c>
      <c r="N67" s="49" t="n">
        <v>4759.98</v>
      </c>
    </row>
    <row r="68" ht="15" customHeight="1">
      <c r="A68" s="47" t="inlineStr">
        <is>
          <t xml:space="preserve">        Bank Charges Expense</t>
        </is>
      </c>
      <c r="B68" s="49" t="n">
        <v>0</v>
      </c>
      <c r="C68" s="49" t="n">
        <v>0</v>
      </c>
      <c r="D68" s="49" t="n">
        <v>0</v>
      </c>
      <c r="E68" s="49" t="n">
        <v>164.48</v>
      </c>
      <c r="F68" s="49" t="n">
        <v>259.38</v>
      </c>
      <c r="G68" s="49" t="n">
        <v>258.81</v>
      </c>
      <c r="H68" s="49" t="n">
        <v>216.77</v>
      </c>
      <c r="I68" s="49" t="n">
        <v>255.61</v>
      </c>
      <c r="J68" s="49" t="n">
        <v>258.32</v>
      </c>
      <c r="K68" s="49" t="n">
        <v>267.84</v>
      </c>
      <c r="L68" s="49" t="n">
        <v>234.64</v>
      </c>
      <c r="M68" s="49" t="n">
        <v>254.61</v>
      </c>
      <c r="N68" s="49" t="n">
        <v>2170.46</v>
      </c>
    </row>
    <row r="69" ht="15" customHeight="1">
      <c r="A69" s="47" t="inlineStr">
        <is>
          <t xml:space="preserve">        Credit Card Processing Fees</t>
        </is>
      </c>
      <c r="B69" s="49" t="n">
        <v>804.35</v>
      </c>
      <c r="C69" s="49" t="n">
        <v>538.04</v>
      </c>
      <c r="D69" s="49" t="n">
        <v>533.8200000000001</v>
      </c>
      <c r="E69" s="49" t="n">
        <v>570.36</v>
      </c>
      <c r="F69" s="49" t="n">
        <v>763.45</v>
      </c>
      <c r="G69" s="49" t="n">
        <v>596.52</v>
      </c>
      <c r="H69" s="49" t="n">
        <v>701.11</v>
      </c>
      <c r="I69" s="49" t="n">
        <v>809.8099999999999</v>
      </c>
      <c r="J69" s="49" t="n">
        <v>700.6799999999999</v>
      </c>
      <c r="K69" s="49" t="n">
        <v>655.13</v>
      </c>
      <c r="L69" s="49" t="n">
        <v>693.96</v>
      </c>
      <c r="M69" s="49" t="n">
        <v>616.42</v>
      </c>
      <c r="N69" s="49" t="n">
        <v>7983.65</v>
      </c>
    </row>
    <row r="70" ht="15" customHeight="1">
      <c r="A70" s="47" t="inlineStr">
        <is>
          <t xml:space="preserve">        Postage and Shipping Fees</t>
        </is>
      </c>
      <c r="B70" s="49" t="n">
        <v>45</v>
      </c>
      <c r="C70" s="49" t="n">
        <v>90</v>
      </c>
      <c r="D70" s="49" t="n">
        <v>0</v>
      </c>
      <c r="E70" s="49" t="n">
        <v>0</v>
      </c>
      <c r="F70" s="49" t="n">
        <v>-21.34</v>
      </c>
      <c r="G70" s="49" t="n">
        <v>90</v>
      </c>
      <c r="H70" s="49" t="n">
        <v>0</v>
      </c>
      <c r="I70" s="49" t="n">
        <v>0</v>
      </c>
      <c r="J70" s="49" t="n">
        <v>0</v>
      </c>
      <c r="K70" s="49" t="n">
        <v>0</v>
      </c>
      <c r="L70" s="49" t="n">
        <v>0</v>
      </c>
      <c r="M70" s="49" t="n">
        <v>0</v>
      </c>
      <c r="N70" s="49" t="n">
        <v>203.66</v>
      </c>
    </row>
    <row r="71" ht="15" customHeight="1">
      <c r="A71" s="47" t="inlineStr">
        <is>
          <t xml:space="preserve">        Travel Expenses</t>
        </is>
      </c>
      <c r="B71" s="49" t="n">
        <v>0</v>
      </c>
      <c r="C71" s="49" t="n">
        <v>0</v>
      </c>
      <c r="D71" s="49" t="n">
        <v>0</v>
      </c>
      <c r="E71" s="49" t="n">
        <v>0</v>
      </c>
      <c r="F71" s="49" t="n">
        <v>0</v>
      </c>
      <c r="G71" s="49" t="n">
        <v>0</v>
      </c>
      <c r="H71" s="49" t="n">
        <v>73.83</v>
      </c>
      <c r="I71" s="49" t="n">
        <v>0</v>
      </c>
      <c r="J71" s="49" t="n">
        <v>0</v>
      </c>
      <c r="K71" s="49" t="n">
        <v>0</v>
      </c>
      <c r="L71" s="49" t="n">
        <v>0</v>
      </c>
      <c r="M71" s="49" t="n">
        <v>0</v>
      </c>
      <c r="N71" s="49" t="n">
        <v>73.83</v>
      </c>
    </row>
    <row r="72" ht="15" customHeight="1">
      <c r="A72" s="47" t="inlineStr">
        <is>
          <t xml:space="preserve">        Office Supplies</t>
        </is>
      </c>
      <c r="B72" s="50" t="n">
        <v>0</v>
      </c>
      <c r="C72" s="50" t="n">
        <v>0</v>
      </c>
      <c r="D72" s="50" t="n">
        <v>0</v>
      </c>
      <c r="E72" s="50" t="n">
        <v>0</v>
      </c>
      <c r="F72" s="50" t="n">
        <v>0</v>
      </c>
      <c r="G72" s="50" t="n">
        <v>48</v>
      </c>
      <c r="H72" s="50" t="n">
        <v>0</v>
      </c>
      <c r="I72" s="50" t="n">
        <v>0</v>
      </c>
      <c r="J72" s="50" t="n">
        <v>0</v>
      </c>
      <c r="K72" s="50" t="n">
        <v>0</v>
      </c>
      <c r="L72" s="50" t="n">
        <v>0</v>
      </c>
      <c r="M72" s="50" t="n">
        <v>0</v>
      </c>
      <c r="N72" s="50" t="n">
        <v>48</v>
      </c>
    </row>
    <row r="73" ht="15" customHeight="1">
      <c r="A73" s="47" t="inlineStr">
        <is>
          <t xml:space="preserve">            TOTAL G and A EXPENSE</t>
        </is>
      </c>
      <c r="B73" s="51" t="n">
        <v>1182.18</v>
      </c>
      <c r="C73" s="51" t="n">
        <v>960.87</v>
      </c>
      <c r="D73" s="51" t="n">
        <v>877.86</v>
      </c>
      <c r="E73" s="51" t="n">
        <v>1277.88</v>
      </c>
      <c r="F73" s="51" t="n">
        <v>1510.68</v>
      </c>
      <c r="G73" s="51" t="n">
        <v>1441.49</v>
      </c>
      <c r="H73" s="51" t="n">
        <v>1439.21</v>
      </c>
      <c r="I73" s="51" t="n">
        <v>1513.58</v>
      </c>
      <c r="J73" s="51" t="n">
        <v>1274.04</v>
      </c>
      <c r="K73" s="51" t="n">
        <v>1398.85</v>
      </c>
      <c r="L73" s="51" t="n">
        <v>1257.65</v>
      </c>
      <c r="M73" s="51" t="n">
        <v>1185.45</v>
      </c>
      <c r="N73" s="51" t="n">
        <v>15319.74</v>
      </c>
    </row>
    <row r="74" ht="15" customHeight="1">
      <c r="A74" s="47" t="n"/>
    </row>
    <row r="75" ht="15" customHeight="1">
      <c r="A75" s="47" t="inlineStr">
        <is>
          <t xml:space="preserve">    PROFESSIONAL FEES</t>
        </is>
      </c>
      <c r="B75" s="48" t="n"/>
      <c r="C75" s="48" t="n"/>
      <c r="D75" s="48" t="n"/>
      <c r="E75" s="48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</row>
    <row r="76" ht="15" customHeight="1">
      <c r="A76" s="47" t="inlineStr">
        <is>
          <t xml:space="preserve">        Answering Service</t>
        </is>
      </c>
      <c r="B76" s="49" t="n">
        <v>0</v>
      </c>
      <c r="C76" s="49" t="n">
        <v>0</v>
      </c>
      <c r="D76" s="49" t="n">
        <v>-117.06</v>
      </c>
      <c r="E76" s="49" t="n">
        <v>0</v>
      </c>
      <c r="F76" s="49" t="n">
        <v>0</v>
      </c>
      <c r="G76" s="49" t="n">
        <v>0</v>
      </c>
      <c r="H76" s="49" t="n">
        <v>0</v>
      </c>
      <c r="I76" s="49" t="n">
        <v>0</v>
      </c>
      <c r="J76" s="49" t="n">
        <v>0</v>
      </c>
      <c r="K76" s="49" t="n">
        <v>0</v>
      </c>
      <c r="L76" s="49" t="n">
        <v>0</v>
      </c>
      <c r="M76" s="49" t="n">
        <v>0</v>
      </c>
      <c r="N76" s="49" t="n">
        <v>-117.06</v>
      </c>
    </row>
    <row r="77" ht="15" customHeight="1">
      <c r="A77" s="47" t="inlineStr">
        <is>
          <t xml:space="preserve">        Communication Center</t>
        </is>
      </c>
      <c r="B77" s="49" t="n">
        <v>332.3</v>
      </c>
      <c r="C77" s="49" t="n">
        <v>1082.3</v>
      </c>
      <c r="D77" s="49" t="n">
        <v>582.3</v>
      </c>
      <c r="E77" s="49" t="n">
        <v>582.3</v>
      </c>
      <c r="F77" s="49" t="n">
        <v>332.3</v>
      </c>
      <c r="G77" s="49" t="n">
        <v>686.45</v>
      </c>
      <c r="H77" s="49" t="n">
        <v>806.97</v>
      </c>
      <c r="I77" s="49" t="n">
        <v>632.29</v>
      </c>
      <c r="J77" s="49" t="n">
        <v>632.3</v>
      </c>
      <c r="K77" s="49" t="n">
        <v>570.3</v>
      </c>
      <c r="L77" s="49" t="n">
        <v>793.09</v>
      </c>
      <c r="M77" s="49" t="n">
        <v>626.9400000000001</v>
      </c>
      <c r="N77" s="49" t="n">
        <v>7659.84</v>
      </c>
    </row>
    <row r="78" ht="15" customHeight="1">
      <c r="A78" s="47" t="inlineStr">
        <is>
          <t xml:space="preserve">        Auction Costs</t>
        </is>
      </c>
      <c r="B78" s="49" t="n">
        <v>0</v>
      </c>
      <c r="C78" s="49" t="n">
        <v>0</v>
      </c>
      <c r="D78" s="49" t="n">
        <v>0</v>
      </c>
      <c r="E78" s="49" t="n">
        <v>0</v>
      </c>
      <c r="F78" s="49" t="n">
        <v>0</v>
      </c>
      <c r="G78" s="49" t="n">
        <v>0</v>
      </c>
      <c r="H78" s="49" t="n">
        <v>0</v>
      </c>
      <c r="I78" s="49" t="n">
        <v>0</v>
      </c>
      <c r="J78" s="49" t="n">
        <v>203.4</v>
      </c>
      <c r="K78" s="49" t="n">
        <v>405.12</v>
      </c>
      <c r="L78" s="49" t="n">
        <v>307.12</v>
      </c>
      <c r="M78" s="49" t="n">
        <v>321.12</v>
      </c>
      <c r="N78" s="49" t="n">
        <v>1236.76</v>
      </c>
    </row>
    <row r="79" ht="15" customHeight="1">
      <c r="A79" s="47" t="inlineStr">
        <is>
          <t xml:space="preserve">        Professional Fees</t>
        </is>
      </c>
      <c r="B79" s="50" t="n">
        <v>4</v>
      </c>
      <c r="C79" s="50" t="n">
        <v>8</v>
      </c>
      <c r="D79" s="50" t="n">
        <v>4</v>
      </c>
      <c r="E79" s="50" t="n">
        <v>4</v>
      </c>
      <c r="F79" s="50" t="n">
        <v>4</v>
      </c>
      <c r="G79" s="50" t="n">
        <v>4</v>
      </c>
      <c r="H79" s="50" t="n">
        <v>4</v>
      </c>
      <c r="I79" s="50" t="n">
        <v>30</v>
      </c>
      <c r="J79" s="50" t="n">
        <v>0</v>
      </c>
      <c r="K79" s="50" t="n">
        <v>41</v>
      </c>
      <c r="L79" s="50" t="n">
        <v>4</v>
      </c>
      <c r="M79" s="50" t="n">
        <v>18</v>
      </c>
      <c r="N79" s="50" t="n">
        <v>125</v>
      </c>
    </row>
    <row r="80" ht="15" customHeight="1">
      <c r="A80" s="47" t="inlineStr">
        <is>
          <t xml:space="preserve">            TOTAL PROFESSIONAL FEES</t>
        </is>
      </c>
      <c r="B80" s="51" t="n">
        <v>336.3</v>
      </c>
      <c r="C80" s="51" t="n">
        <v>1090.3</v>
      </c>
      <c r="D80" s="51" t="n">
        <v>469.24</v>
      </c>
      <c r="E80" s="51" t="n">
        <v>586.3</v>
      </c>
      <c r="F80" s="51" t="n">
        <v>336.3</v>
      </c>
      <c r="G80" s="51" t="n">
        <v>690.45</v>
      </c>
      <c r="H80" s="51" t="n">
        <v>810.97</v>
      </c>
      <c r="I80" s="51" t="n">
        <v>662.29</v>
      </c>
      <c r="J80" s="51" t="n">
        <v>835.7</v>
      </c>
      <c r="K80" s="51" t="n">
        <v>1016.42</v>
      </c>
      <c r="L80" s="51" t="n">
        <v>1104.21</v>
      </c>
      <c r="M80" s="51" t="n">
        <v>966.0599999999999</v>
      </c>
      <c r="N80" s="51" t="n">
        <v>8904.540000000001</v>
      </c>
    </row>
    <row r="81" ht="15" customHeight="1">
      <c r="A81" s="47" t="n"/>
    </row>
    <row r="82" ht="15" customHeight="1">
      <c r="A82" s="47" t="inlineStr">
        <is>
          <t xml:space="preserve">        PAYROLL EXPENSE</t>
        </is>
      </c>
      <c r="B82" s="48" t="n"/>
      <c r="C82" s="48" t="n"/>
      <c r="D82" s="48" t="n"/>
      <c r="E82" s="48" t="n"/>
      <c r="F82" s="48" t="n"/>
      <c r="G82" s="48" t="n"/>
      <c r="H82" s="48" t="n"/>
      <c r="I82" s="48" t="n"/>
      <c r="J82" s="48" t="n"/>
      <c r="K82" s="48" t="n"/>
      <c r="L82" s="48" t="n"/>
      <c r="M82" s="48" t="n"/>
      <c r="N82" s="48" t="n"/>
    </row>
    <row r="83" ht="15" customHeight="1">
      <c r="A83" s="47" t="n"/>
    </row>
    <row r="84" ht="15" customHeight="1">
      <c r="A84" s="47" t="inlineStr">
        <is>
          <t xml:space="preserve">        SUPERVISORY PAYROLL</t>
        </is>
      </c>
      <c r="B84" s="48" t="n"/>
      <c r="C84" s="48" t="n"/>
      <c r="D84" s="48" t="n"/>
      <c r="E84" s="48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48" t="n"/>
    </row>
    <row r="85" ht="15" customHeight="1">
      <c r="A85" s="47" t="inlineStr">
        <is>
          <t xml:space="preserve">          Supervisory Payroll Expense</t>
        </is>
      </c>
      <c r="B85" s="50" t="n">
        <v>425.83</v>
      </c>
      <c r="C85" s="50" t="n">
        <v>425.83</v>
      </c>
      <c r="D85" s="50" t="n">
        <v>384.62</v>
      </c>
      <c r="E85" s="50" t="n">
        <v>425.83</v>
      </c>
      <c r="F85" s="50" t="n">
        <v>384.62</v>
      </c>
      <c r="G85" s="50" t="n">
        <v>453.3</v>
      </c>
      <c r="H85" s="50" t="n">
        <v>412.09</v>
      </c>
      <c r="I85" s="50" t="n">
        <v>425.83</v>
      </c>
      <c r="J85" s="50" t="n">
        <v>412.09</v>
      </c>
      <c r="K85" s="50" t="n">
        <v>412.1</v>
      </c>
      <c r="L85" s="50" t="n">
        <v>439.56</v>
      </c>
      <c r="M85" s="50" t="n">
        <v>412.1</v>
      </c>
      <c r="N85" s="50" t="n">
        <v>5013.8</v>
      </c>
    </row>
    <row r="86" ht="15" customHeight="1">
      <c r="A86" s="47" t="inlineStr">
        <is>
          <t xml:space="preserve">            TOTAL SUPERVISORY PAYROLL</t>
        </is>
      </c>
      <c r="B86" s="57" t="n">
        <v>425.83</v>
      </c>
      <c r="C86" s="57" t="n">
        <v>425.83</v>
      </c>
      <c r="D86" s="57" t="n">
        <v>384.62</v>
      </c>
      <c r="E86" s="57" t="n">
        <v>425.83</v>
      </c>
      <c r="F86" s="57" t="n">
        <v>384.62</v>
      </c>
      <c r="G86" s="57" t="n">
        <v>453.3</v>
      </c>
      <c r="H86" s="57" t="n">
        <v>412.09</v>
      </c>
      <c r="I86" s="57" t="n">
        <v>425.83</v>
      </c>
      <c r="J86" s="57" t="n">
        <v>412.09</v>
      </c>
      <c r="K86" s="57" t="n">
        <v>412.1</v>
      </c>
      <c r="L86" s="57" t="n">
        <v>439.56</v>
      </c>
      <c r="M86" s="57" t="n">
        <v>412.1</v>
      </c>
      <c r="N86" s="57" t="n">
        <v>5013.8</v>
      </c>
    </row>
    <row r="87" ht="15" customHeight="1">
      <c r="A87" s="47" t="inlineStr">
        <is>
          <t xml:space="preserve">            TOTAL PAYROLL</t>
        </is>
      </c>
      <c r="B87" s="51" t="n">
        <v>425.83</v>
      </c>
      <c r="C87" s="51" t="n">
        <v>425.83</v>
      </c>
      <c r="D87" s="51" t="n">
        <v>384.62</v>
      </c>
      <c r="E87" s="51" t="n">
        <v>425.83</v>
      </c>
      <c r="F87" s="51" t="n">
        <v>384.62</v>
      </c>
      <c r="G87" s="51" t="n">
        <v>453.3</v>
      </c>
      <c r="H87" s="51" t="n">
        <v>412.09</v>
      </c>
      <c r="I87" s="51" t="n">
        <v>425.83</v>
      </c>
      <c r="J87" s="51" t="n">
        <v>412.09</v>
      </c>
      <c r="K87" s="51" t="n">
        <v>412.1</v>
      </c>
      <c r="L87" s="51" t="n">
        <v>439.56</v>
      </c>
      <c r="M87" s="51" t="n">
        <v>412.1</v>
      </c>
      <c r="N87" s="51" t="n">
        <v>5013.8</v>
      </c>
    </row>
    <row r="88" ht="15" customHeight="1">
      <c r="A88" s="52" t="n"/>
      <c r="B88" s="53" t="n"/>
      <c r="C88" s="53" t="n"/>
      <c r="D88" s="53" t="n"/>
      <c r="E88" s="53" t="n"/>
      <c r="F88" s="53" t="n"/>
      <c r="G88" s="53" t="n"/>
      <c r="H88" s="53" t="n"/>
      <c r="I88" s="53" t="n"/>
      <c r="J88" s="53" t="n"/>
      <c r="K88" s="53" t="n"/>
      <c r="L88" s="53" t="n"/>
      <c r="M88" s="53" t="n"/>
      <c r="N88" s="53" t="n"/>
    </row>
    <row r="89" ht="15" customHeight="1">
      <c r="A89" s="54" t="inlineStr">
        <is>
          <t xml:space="preserve">    TOTAL NET OPERATING EXPENSES</t>
        </is>
      </c>
      <c r="B89" s="55" t="n">
        <v>11776.53</v>
      </c>
      <c r="C89" s="55" t="n">
        <v>12209.08</v>
      </c>
      <c r="D89" s="55" t="n">
        <v>11856.09</v>
      </c>
      <c r="E89" s="55" t="n">
        <v>11989.14</v>
      </c>
      <c r="F89" s="55" t="n">
        <v>11486.36</v>
      </c>
      <c r="G89" s="55" t="n">
        <v>12107.98</v>
      </c>
      <c r="H89" s="55" t="n">
        <v>13670.65</v>
      </c>
      <c r="I89" s="55" t="n">
        <v>12813.74</v>
      </c>
      <c r="J89" s="55" t="n">
        <v>12889.13</v>
      </c>
      <c r="K89" s="55" t="n">
        <v>13475.37</v>
      </c>
      <c r="L89" s="55" t="n">
        <v>14294.23</v>
      </c>
      <c r="M89" s="55" t="n">
        <v>11606</v>
      </c>
      <c r="N89" s="55" t="n">
        <v>150174.3</v>
      </c>
    </row>
    <row r="90" ht="15" customHeight="1">
      <c r="A90" s="52" t="n"/>
      <c r="B90" s="53" t="n"/>
      <c r="C90" s="53" t="n"/>
      <c r="D90" s="53" t="n"/>
      <c r="E90" s="53" t="n"/>
      <c r="F90" s="53" t="n"/>
      <c r="G90" s="53" t="n"/>
      <c r="H90" s="53" t="n"/>
      <c r="I90" s="53" t="n"/>
      <c r="J90" s="53" t="n"/>
      <c r="K90" s="53" t="n"/>
      <c r="L90" s="53" t="n"/>
      <c r="M90" s="53" t="n"/>
      <c r="N90" s="53" t="n"/>
    </row>
    <row r="91" ht="15" customHeight="1">
      <c r="A91" s="58" t="inlineStr">
        <is>
          <t xml:space="preserve">    NET OPERATING INCOME</t>
        </is>
      </c>
      <c r="B91" s="59" t="n">
        <v>16288.92</v>
      </c>
      <c r="C91" s="59" t="n">
        <v>16673.88</v>
      </c>
      <c r="D91" s="59" t="n">
        <v>16006.71</v>
      </c>
      <c r="E91" s="59" t="n">
        <v>19516.54</v>
      </c>
      <c r="F91" s="59" t="n">
        <v>20384.05</v>
      </c>
      <c r="G91" s="59" t="n">
        <v>20056.74</v>
      </c>
      <c r="H91" s="59" t="n">
        <v>19229.99</v>
      </c>
      <c r="I91" s="59" t="n">
        <v>19351.5</v>
      </c>
      <c r="J91" s="59" t="n">
        <v>18444.27</v>
      </c>
      <c r="K91" s="59" t="n">
        <v>17962.4</v>
      </c>
      <c r="L91" s="59" t="n">
        <v>18815.39</v>
      </c>
      <c r="M91" s="59" t="n">
        <v>22469.84</v>
      </c>
      <c r="N91" s="59" t="n">
        <v>225200.23</v>
      </c>
    </row>
    <row r="92" ht="15" customHeight="1">
      <c r="A92" s="47" t="n"/>
    </row>
    <row r="93" ht="15" customHeight="1">
      <c r="A93" s="47" t="inlineStr">
        <is>
          <t xml:space="preserve">    NON RECURRING EXPENSES</t>
        </is>
      </c>
      <c r="B93" s="48" t="n"/>
      <c r="C93" s="48" t="n"/>
      <c r="D93" s="48" t="n"/>
      <c r="E93" s="48" t="n"/>
      <c r="F93" s="48" t="n"/>
      <c r="G93" s="48" t="n"/>
      <c r="H93" s="48" t="n"/>
      <c r="I93" s="48" t="n"/>
      <c r="J93" s="48" t="n"/>
      <c r="K93" s="48" t="n"/>
      <c r="L93" s="48" t="n"/>
      <c r="M93" s="48" t="n"/>
      <c r="N93" s="48" t="n"/>
    </row>
    <row r="94" ht="15" customHeight="1">
      <c r="A94" s="47" t="inlineStr">
        <is>
          <t xml:space="preserve">        Signage and Awnings</t>
        </is>
      </c>
      <c r="B94" s="49" t="n">
        <v>0</v>
      </c>
      <c r="C94" s="49" t="n">
        <v>0</v>
      </c>
      <c r="D94" s="49" t="n">
        <v>0</v>
      </c>
      <c r="E94" s="49" t="n">
        <v>0</v>
      </c>
      <c r="F94" s="49" t="n">
        <v>0</v>
      </c>
      <c r="G94" s="49" t="n">
        <v>0</v>
      </c>
      <c r="H94" s="49" t="n">
        <v>0</v>
      </c>
      <c r="I94" s="49" t="n">
        <v>0</v>
      </c>
      <c r="J94" s="49" t="n">
        <v>0</v>
      </c>
      <c r="K94" s="49" t="n">
        <v>841.5700000000001</v>
      </c>
      <c r="L94" s="49" t="n">
        <v>0</v>
      </c>
      <c r="M94" s="49" t="n">
        <v>0</v>
      </c>
      <c r="N94" s="49" t="n">
        <v>841.5700000000001</v>
      </c>
    </row>
    <row r="95" ht="15" customHeight="1">
      <c r="A95" s="47" t="inlineStr">
        <is>
          <t xml:space="preserve">        Repairs Major</t>
        </is>
      </c>
      <c r="B95" s="50" t="n">
        <v>0</v>
      </c>
      <c r="C95" s="50" t="n">
        <v>1465</v>
      </c>
      <c r="D95" s="50" t="n">
        <v>0</v>
      </c>
      <c r="E95" s="50" t="n">
        <v>0</v>
      </c>
      <c r="F95" s="50" t="n">
        <v>2025</v>
      </c>
      <c r="G95" s="50" t="n">
        <v>0</v>
      </c>
      <c r="H95" s="50" t="n">
        <v>0</v>
      </c>
      <c r="I95" s="50" t="n">
        <v>0</v>
      </c>
      <c r="J95" s="50" t="n">
        <v>0</v>
      </c>
      <c r="K95" s="50" t="n">
        <v>0</v>
      </c>
      <c r="L95" s="50" t="n">
        <v>1895</v>
      </c>
      <c r="M95" s="50" t="n">
        <v>0</v>
      </c>
      <c r="N95" s="50" t="n">
        <v>5385</v>
      </c>
    </row>
    <row r="96" ht="15" customHeight="1">
      <c r="A96" s="47" t="inlineStr">
        <is>
          <t xml:space="preserve">            TOTAL NON-RECURRING EXPENSES</t>
        </is>
      </c>
      <c r="B96" s="51" t="n">
        <v>0</v>
      </c>
      <c r="C96" s="51" t="n">
        <v>1465</v>
      </c>
      <c r="D96" s="51" t="n">
        <v>0</v>
      </c>
      <c r="E96" s="51" t="n">
        <v>0</v>
      </c>
      <c r="F96" s="51" t="n">
        <v>2025</v>
      </c>
      <c r="G96" s="51" t="n">
        <v>0</v>
      </c>
      <c r="H96" s="51" t="n">
        <v>0</v>
      </c>
      <c r="I96" s="51" t="n">
        <v>0</v>
      </c>
      <c r="J96" s="51" t="n">
        <v>0</v>
      </c>
      <c r="K96" s="51" t="n">
        <v>841.5700000000001</v>
      </c>
      <c r="L96" s="51" t="n">
        <v>1895</v>
      </c>
      <c r="M96" s="51" t="n">
        <v>0</v>
      </c>
      <c r="N96" s="51" t="n">
        <v>6226.57</v>
      </c>
    </row>
    <row r="97" ht="15" customHeight="1">
      <c r="A97" s="47" t="n"/>
    </row>
    <row r="98" ht="15" customHeight="1">
      <c r="A98" s="47" t="inlineStr">
        <is>
          <t xml:space="preserve">    LOAN INTEREST EXPENSE</t>
        </is>
      </c>
      <c r="B98" s="48" t="n"/>
      <c r="C98" s="48" t="n"/>
      <c r="D98" s="48" t="n"/>
      <c r="E98" s="48" t="n"/>
      <c r="F98" s="48" t="n"/>
      <c r="G98" s="48" t="n"/>
      <c r="H98" s="48" t="n"/>
      <c r="I98" s="48" t="n"/>
      <c r="J98" s="48" t="n"/>
      <c r="K98" s="48" t="n"/>
      <c r="L98" s="48" t="n"/>
      <c r="M98" s="48" t="n"/>
      <c r="N98" s="48" t="n"/>
    </row>
    <row r="99" ht="15" customHeight="1">
      <c r="A99" s="47" t="inlineStr">
        <is>
          <t xml:space="preserve">        Loan Interest</t>
        </is>
      </c>
      <c r="B99" s="50" t="n">
        <v>5631.05</v>
      </c>
      <c r="C99" s="50" t="n">
        <v>5631.05</v>
      </c>
      <c r="D99" s="50" t="n">
        <v>5463.62</v>
      </c>
      <c r="E99" s="50" t="n">
        <v>5631.05</v>
      </c>
      <c r="F99" s="50" t="n">
        <v>5631.05</v>
      </c>
      <c r="G99" s="50" t="n">
        <v>5258.51</v>
      </c>
      <c r="H99" s="50" t="n">
        <v>5433.06</v>
      </c>
      <c r="I99" s="50" t="n">
        <v>8341.34</v>
      </c>
      <c r="J99" s="50" t="n">
        <v>8608.1</v>
      </c>
      <c r="K99" s="50" t="n">
        <v>8597.58</v>
      </c>
      <c r="L99" s="50" t="n">
        <v>8311.040000000001</v>
      </c>
      <c r="M99" s="50" t="n">
        <v>8575.530000000001</v>
      </c>
      <c r="N99" s="50" t="n">
        <v>81112.98</v>
      </c>
    </row>
    <row r="100" ht="15" customHeight="1">
      <c r="A100" s="47" t="inlineStr">
        <is>
          <t xml:space="preserve">            TOTAL LOAN INTEREST</t>
        </is>
      </c>
      <c r="B100" s="51" t="n">
        <v>5631.05</v>
      </c>
      <c r="C100" s="51" t="n">
        <v>5631.05</v>
      </c>
      <c r="D100" s="51" t="n">
        <v>5463.62</v>
      </c>
      <c r="E100" s="51" t="n">
        <v>5631.05</v>
      </c>
      <c r="F100" s="51" t="n">
        <v>5631.05</v>
      </c>
      <c r="G100" s="51" t="n">
        <v>5258.51</v>
      </c>
      <c r="H100" s="51" t="n">
        <v>5433.06</v>
      </c>
      <c r="I100" s="51" t="n">
        <v>8341.34</v>
      </c>
      <c r="J100" s="51" t="n">
        <v>8608.1</v>
      </c>
      <c r="K100" s="51" t="n">
        <v>8597.58</v>
      </c>
      <c r="L100" s="51" t="n">
        <v>8311.040000000001</v>
      </c>
      <c r="M100" s="51" t="n">
        <v>8575.530000000001</v>
      </c>
      <c r="N100" s="51" t="n">
        <v>81112.98</v>
      </c>
    </row>
    <row r="101" ht="15" customHeight="1">
      <c r="A101" s="52" t="n"/>
      <c r="B101" s="53" t="n"/>
      <c r="C101" s="53" t="n"/>
      <c r="D101" s="53" t="n"/>
      <c r="E101" s="53" t="n"/>
      <c r="F101" s="53" t="n"/>
      <c r="G101" s="53" t="n"/>
      <c r="H101" s="53" t="n"/>
      <c r="I101" s="53" t="n"/>
      <c r="J101" s="53" t="n"/>
      <c r="K101" s="53" t="n"/>
      <c r="L101" s="53" t="n"/>
      <c r="M101" s="53" t="n"/>
      <c r="N101" s="53" t="n"/>
    </row>
    <row r="102" ht="15" customHeight="1">
      <c r="A102" s="54" t="inlineStr">
        <is>
          <t xml:space="preserve">                TOTAL EXPENSES</t>
        </is>
      </c>
      <c r="B102" s="55" t="n">
        <v>5631.05</v>
      </c>
      <c r="C102" s="55" t="n">
        <v>7096.05</v>
      </c>
      <c r="D102" s="55" t="n">
        <v>5463.62</v>
      </c>
      <c r="E102" s="55" t="n">
        <v>5631.05</v>
      </c>
      <c r="F102" s="55" t="n">
        <v>7656.05</v>
      </c>
      <c r="G102" s="55" t="n">
        <v>5258.51</v>
      </c>
      <c r="H102" s="55" t="n">
        <v>5433.06</v>
      </c>
      <c r="I102" s="55" t="n">
        <v>8341.34</v>
      </c>
      <c r="J102" s="55" t="n">
        <v>8608.1</v>
      </c>
      <c r="K102" s="55" t="n">
        <v>9439.15</v>
      </c>
      <c r="L102" s="55" t="n">
        <v>10206.04</v>
      </c>
      <c r="M102" s="55" t="n">
        <v>8575.530000000001</v>
      </c>
      <c r="N102" s="55" t="n">
        <v>87339.55</v>
      </c>
    </row>
    <row r="103" ht="15" customHeight="1">
      <c r="A103" s="52" t="n"/>
      <c r="B103" s="53" t="n"/>
      <c r="C103" s="53" t="n"/>
      <c r="D103" s="53" t="n"/>
      <c r="E103" s="53" t="n"/>
      <c r="F103" s="53" t="n"/>
      <c r="G103" s="53" t="n"/>
      <c r="H103" s="53" t="n"/>
      <c r="I103" s="53" t="n"/>
      <c r="J103" s="53" t="n"/>
      <c r="K103" s="53" t="n"/>
      <c r="L103" s="53" t="n"/>
      <c r="M103" s="53" t="n"/>
      <c r="N103" s="53" t="n"/>
    </row>
    <row r="104" ht="15" customHeight="1">
      <c r="A104" s="54" t="inlineStr">
        <is>
          <t xml:space="preserve">    NET INCOME</t>
        </is>
      </c>
      <c r="B104" s="60" t="n">
        <v>10657.87</v>
      </c>
      <c r="C104" s="60" t="n">
        <v>9577.83</v>
      </c>
      <c r="D104" s="60" t="n">
        <v>10543.09</v>
      </c>
      <c r="E104" s="60" t="n">
        <v>13885.49</v>
      </c>
      <c r="F104" s="60" t="n">
        <v>12728</v>
      </c>
      <c r="G104" s="60" t="n">
        <v>14798.23</v>
      </c>
      <c r="H104" s="60" t="n">
        <v>13796.93</v>
      </c>
      <c r="I104" s="60" t="n">
        <v>11010.16</v>
      </c>
      <c r="J104" s="60" t="n">
        <v>9836.17</v>
      </c>
      <c r="K104" s="60" t="n">
        <v>8523.25</v>
      </c>
      <c r="L104" s="60" t="n">
        <v>8609.35</v>
      </c>
      <c r="M104" s="60" t="n">
        <v>13894.31</v>
      </c>
      <c r="N104" s="60" t="n">
        <v>137860.68</v>
      </c>
    </row>
  </sheetData>
  <mergeCells count="25">
    <mergeCell ref="A31:N31"/>
    <mergeCell ref="A83:N83"/>
    <mergeCell ref="A48:N48"/>
    <mergeCell ref="A92:N92"/>
    <mergeCell ref="A103:N103"/>
    <mergeCell ref="A1:N1"/>
    <mergeCell ref="A88:N88"/>
    <mergeCell ref="A54:N54"/>
    <mergeCell ref="A7:N7"/>
    <mergeCell ref="A90:N90"/>
    <mergeCell ref="A74:N74"/>
    <mergeCell ref="A27:N27"/>
    <mergeCell ref="A3:N3"/>
    <mergeCell ref="A12:N12"/>
    <mergeCell ref="A101:N101"/>
    <mergeCell ref="A2:N2"/>
    <mergeCell ref="A97:N97"/>
    <mergeCell ref="A22:N22"/>
    <mergeCell ref="A4:N4"/>
    <mergeCell ref="A38:N38"/>
    <mergeCell ref="A29:N29"/>
    <mergeCell ref="A81:N81"/>
    <mergeCell ref="A63:N63"/>
    <mergeCell ref="A44:N44"/>
    <mergeCell ref="A58:N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2025-12-22T01:33:26Z</dcterms:created>
  <dcterms:modified xsi:type="dcterms:W3CDTF">2025-12-22T01:33:28Z</dcterms:modified>
</cp:coreProperties>
</file>