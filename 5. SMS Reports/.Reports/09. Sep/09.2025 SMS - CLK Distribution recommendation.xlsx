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ry\Downloads\"/>
    </mc:Choice>
  </mc:AlternateContent>
  <xr:revisionPtr revIDLastSave="0" documentId="13_ncr:1_{481B9827-BF63-4645-A84E-A8ED663E293C}" xr6:coauthVersionLast="47" xr6:coauthVersionMax="47" xr10:uidLastSave="{00000000-0000-0000-0000-000000000000}"/>
  <bookViews>
    <workbookView xWindow="-120" yWindow="-120" windowWidth="29040" windowHeight="15720" xr2:uid="{9BDD080A-0029-44F3-9676-F9C6F6250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16" i="1"/>
  <c r="A15" i="1"/>
  <c r="B7" i="1"/>
  <c r="B3" i="1"/>
  <c r="E12" i="1" l="1"/>
  <c r="E3" i="1"/>
  <c r="E14" i="1"/>
  <c r="E13" i="1"/>
  <c r="E4" i="1"/>
  <c r="E2" i="1"/>
  <c r="A5" i="1"/>
  <c r="A8" i="1" l="1" a="1"/>
  <c r="A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<sst xmlns="http://schemas.openxmlformats.org/spreadsheetml/2006/main" count="7" uniqueCount="6">
  <si>
    <t>Operating hold</t>
  </si>
  <si>
    <t>Book Balance</t>
  </si>
  <si>
    <t>Total Net Income recommended for distributing</t>
  </si>
  <si>
    <t>Crystal Lake</t>
  </si>
  <si>
    <t>Available Cash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</si>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</sst>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mm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2" fillId="0" borderId="0" xfId="0" applyNumberFormat="1" applyFont="1"/>
    <xf numFmtId="44" fontId="0" fillId="0" borderId="0" xfId="0" applyNumberFormat="1"/>
    <xf numFmtId="44" fontId="0" fillId="0" borderId="1" xfId="1" applyFont="1" applyBorder="1"/>
    <xf numFmtId="8" fontId="0" fillId="0" borderId="0" xfId="0" applyNumberFormat="1"/>
    <xf numFmtId="0" fontId="3" fillId="0" borderId="0" xfId="0" applyFont="1"/>
    <xf numFmtId="44" fontId="0" fillId="0" borderId="1" xfId="0" applyNumberFormat="1" applyBorder="1"/>
    <xf numFmtId="8" fontId="0" fillId="0" borderId="0" xfId="0" applyNumberFormat="1" applyAlignment="1">
      <alignment horizontal="left"/>
    </xf>
    <xf numFmtId="44" fontId="0" fillId="2" borderId="0" xfId="0" applyNumberFormat="1" applyFill="1"/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44" fontId="6" fillId="0" borderId="0" xfId="0" applyNumberFormat="1" applyFont="1"/>
    <xf numFmtId="0" fontId="5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6A66-8080-44DF-A67E-98217076E4EC}">
  <dimension ref="A1:E25"/>
  <sheetViews>
    <sheetView tabSelected="1" zoomScaleNormal="100" workbookViewId="0">
      <selection activeCell="D1" sqref="D1"/>
    </sheetView>
  </sheetViews>
  <sheetFormatPr defaultRowHeight="15" x14ac:dyDescent="0.25"/>
  <cols>
    <col min="1" max="1" width="27.7109375" bestFit="1" customWidth="1"/>
    <col min="2" max="2" width="34.140625" bestFit="1" customWidth="1"/>
    <col min="5" max="5" width="9.28515625" style="12" customWidth="1"/>
  </cols>
  <sheetData>
    <row r="1" spans="1:5" x14ac:dyDescent="0.25">
      <c r="A1" s="1" t="s">
        <v>3</v>
      </c>
      <c r="E1" s="11">
        <v>45900</v>
      </c>
    </row>
    <row r="2" spans="1:5" x14ac:dyDescent="0.25">
      <c r="A2" s="1" t="s">
        <v>1</v>
      </c>
      <c r="E2" s="12" t="str">
        <f>IF(MONTH(E1)&lt;10,"0"&amp;MONTH(E1),MONTH(E1))</f>
        <v>08</v>
      </c>
    </row>
    <row r="3" spans="1:5" x14ac:dyDescent="0.25">
      <c r="A3" s="2">
        <v>20116.189999999999</v>
      </c>
      <c r="B3" s="14" t="str">
        <f ca="1">"as of "&amp;TEXT(EOMONTH(TODAY(),-1),"mm.dd.yyyyy")</f>
        <v>as of 09.30.2025</v>
      </c>
      <c r="E3" s="12">
        <f>IF(DAY(E1)&lt;10,"0"&amp;DAY(E1),DAY(E1))</f>
        <v>31</v>
      </c>
    </row>
    <row r="4" spans="1:5" x14ac:dyDescent="0.25">
      <c r="A4" s="5">
        <v>-10000</v>
      </c>
      <c r="B4" s="7" t="s">
        <v>0</v>
      </c>
      <c r="E4" s="12">
        <f>YEAR(E1)</f>
        <v>2025</v>
      </c>
    </row>
    <row r="5" spans="1:5" x14ac:dyDescent="0.25">
      <c r="A5" s="3">
        <f>SUM(A3:A4)</f>
        <v>10116.189999999999</v>
      </c>
      <c r="B5" s="7" t="s">
        <v>4</v>
      </c>
    </row>
    <row r="6" spans="1:5" ht="6.75" customHeight="1" x14ac:dyDescent="0.25">
      <c r="A6" s="3"/>
      <c r="B6" s="7"/>
    </row>
    <row r="7" spans="1:5" x14ac:dyDescent="0.25">
      <c r="A7" s="8">
        <f>8424.25-1753.66</f>
        <v>6670.59</v>
      </c>
      <c r="B7" s="14" t="str">
        <f ca="1">TEXT(EOMONTH(TODAY(),-1),"mmmm")&amp;" Net Income less: note principle"</f>
        <v>September Net Income less: note principle</v>
      </c>
      <c r="E7" s="13" t="s">
        <v>5</v>
      </c>
    </row>
    <row r="8" spans="1:5" x14ac:dyDescent="0.25">
      <c r="A8" s="10" cm="1">
        <f t="array" ref="A8">_xlfn.IFS(A7&lt;0,0,A5&lt;A7,A5,A5&gt;A7,A7)</f>
        <v>6670.59</v>
      </c>
      <c r="B8" s="7" t="s">
        <v>2</v>
      </c>
      <c r="E8" s="12" t="s">
        <v>5</v>
      </c>
    </row>
    <row r="9" spans="1:5" ht="7.5" customHeight="1" x14ac:dyDescent="0.25">
      <c r="A9" s="4"/>
      <c r="B9" s="7"/>
    </row>
    <row r="10" spans="1:5" x14ac:dyDescent="0.25">
      <c r="A10" s="4"/>
      <c r="B10" s="7"/>
    </row>
    <row r="11" spans="1:5" x14ac:dyDescent="0.25">
      <c r="A11" s="4"/>
      <c r="E11" s="11">
        <v>45926</v>
      </c>
    </row>
    <row r="12" spans="1:5" x14ac:dyDescent="0.25">
      <c r="A12" s="4"/>
      <c r="E12" s="12" t="str">
        <f>IF(MONTH(E11)&lt;10,"0"&amp;MONTH(E11),MONTH(E11))</f>
        <v>09</v>
      </c>
    </row>
    <row r="13" spans="1:5" x14ac:dyDescent="0.25">
      <c r="A13" s="4"/>
      <c r="E13" s="12">
        <f>IF(DAY(E11)&lt;10,"0"&amp;DAY(E11),DAY(E11))</f>
        <v>26</v>
      </c>
    </row>
    <row r="14" spans="1:5" x14ac:dyDescent="0.25">
      <c r="A14" s="4"/>
      <c r="E14" s="12">
        <f>YEAR(E11)</f>
        <v>2025</v>
      </c>
    </row>
    <row r="15" spans="1:5" x14ac:dyDescent="0.25">
      <c r="A15" s="15" t="str">
        <f ca="1">"Current Balance @ "&amp;TEXT(TODAY() - (12/24),"mm.dd.yyyyy")</f>
        <v>Current Balance @ 10.21.2025</v>
      </c>
      <c r="B15" s="9">
        <v>19832</v>
      </c>
    </row>
    <row r="16" spans="1:5" x14ac:dyDescent="0.25">
      <c r="A16" s="16" t="str">
        <f ca="1">"includes "&amp;TEXT(TODAY() - (12/24),"mmm")&amp;" income"</f>
        <v>includes Oct income</v>
      </c>
      <c r="B16" s="6"/>
    </row>
    <row r="23" spans="1:1" x14ac:dyDescent="0.25">
      <c r="A23" s="1"/>
    </row>
    <row r="24" spans="1:1" x14ac:dyDescent="0.25">
      <c r="A24" s="1"/>
    </row>
    <row r="25" spans="1:1" x14ac:dyDescent="0.25">
      <c r="A25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McFarlane</dc:creator>
  <cp:lastModifiedBy>Jay Villasurda</cp:lastModifiedBy>
  <dcterms:created xsi:type="dcterms:W3CDTF">2024-05-29T16:11:02Z</dcterms:created>
  <dcterms:modified xsi:type="dcterms:W3CDTF">2025-10-22T04:27:38Z</dcterms:modified>
</cp:coreProperties>
</file>