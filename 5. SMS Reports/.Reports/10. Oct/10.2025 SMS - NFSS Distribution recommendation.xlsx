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mmm"/>
    <numFmt numFmtId="166" formatCode="&quot;$&quot;#,##0.00_);[Red]\(&quot;$&quot;#,##0.00\)"/>
  </numFmts>
  <fonts count="4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sz val="9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1" fillId="0" borderId="0" pivotButton="0" quotePrefix="0" xfId="0"/>
    <xf numFmtId="164" fontId="1" fillId="2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6" fontId="1" fillId="0" borderId="0" pivotButton="0" quotePrefix="0" xfId="0"/>
    <xf numFmtId="165" fontId="1" fillId="0" borderId="0" pivotButton="0" quotePrefix="0" xfId="0"/>
    <xf numFmtId="166" fontId="1" fillId="0" borderId="0" applyAlignment="1" pivotButton="0" quotePrefix="0" xfId="0">
      <alignment horizontal="left"/>
    </xf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7.7109375" customWidth="1" min="1" max="1"/>
    <col width="34.140625" customWidth="1" min="2" max="2"/>
    <col width="9.140625" customWidth="1" min="4" max="4"/>
    <col width="9.28515625" customWidth="1" min="5" max="5"/>
  </cols>
  <sheetData>
    <row r="1">
      <c r="A1" s="1" t="inlineStr">
        <is>
          <t>NFSS</t>
        </is>
      </c>
      <c r="E1" s="2" t="inlineStr"/>
    </row>
    <row r="2">
      <c r="A2" s="1" t="inlineStr">
        <is>
          <t>Book Balance</t>
        </is>
      </c>
    </row>
    <row r="3">
      <c r="A3" s="3" t="n">
        <v>2518.5</v>
      </c>
      <c r="B3" s="4">
        <f>"as of "&amp;TEXT(DATE(2025,10,31),"mm.dd.yyyy")</f>
        <v/>
      </c>
    </row>
    <row r="4">
      <c r="A4" s="3" t="n">
        <v>-10000</v>
      </c>
      <c r="B4" s="4" t="inlineStr">
        <is>
          <t>Operating hold</t>
        </is>
      </c>
    </row>
    <row r="5">
      <c r="A5" s="5">
        <f>SUM(A3:A4)</f>
        <v/>
      </c>
      <c r="B5" s="4" t="inlineStr">
        <is>
          <t>Cash available for distribution</t>
        </is>
      </c>
    </row>
    <row r="6" ht="6.75" customHeight="1">
      <c r="A6" s="5" t="inlineStr"/>
      <c r="B6" s="4" t="inlineStr"/>
    </row>
    <row r="7">
      <c r="A7" s="3">
        <f>-1587.91-590.86</f>
        <v/>
      </c>
      <c r="B7" s="4">
        <f>TEXT(DATE(2025,10,1),"mmmm")&amp;" Net Income less: note principle"</f>
        <v/>
      </c>
      <c r="E7" s="12" t="inlineStr"/>
    </row>
    <row r="8">
      <c r="A8" s="3" t="n">
        <v>500</v>
      </c>
      <c r="B8" s="4" t="inlineStr">
        <is>
          <t>Crown Castle payment</t>
        </is>
      </c>
      <c r="E8" s="12" t="inlineStr"/>
    </row>
    <row r="9">
      <c r="A9" s="7">
        <f>IF(A8&gt;0,A8,MAX(0,MIN(A7,A5)))</f>
        <v/>
      </c>
      <c r="B9" s="4" t="inlineStr">
        <is>
          <t>Total Net Income recommended for distributing</t>
        </is>
      </c>
    </row>
    <row r="10" ht="7.5" customHeight="1">
      <c r="A10" s="3" t="inlineStr"/>
      <c r="B10" s="4" t="inlineStr"/>
    </row>
    <row r="11">
      <c r="A11" s="3" t="inlineStr"/>
      <c r="E11" s="2" t="inlineStr"/>
    </row>
    <row r="12">
      <c r="A12" s="3" t="inlineStr"/>
    </row>
    <row r="13">
      <c r="A13" s="3" t="inlineStr"/>
    </row>
    <row r="14">
      <c r="A14" s="3" t="inlineStr"/>
    </row>
    <row r="15">
      <c r="A15" s="8">
        <f>"Current Balance @ "&amp;TEXT(DATE(2025,10,31),"mm.dd.yyyy")</f>
        <v/>
      </c>
      <c r="B15" s="13" t="n">
        <v>9245.65</v>
      </c>
    </row>
    <row r="16">
      <c r="A16" s="10">
        <f>"includes "&amp;TEXT(DATE(2025,10,1),"mmm")&amp;" income"</f>
        <v/>
      </c>
      <c r="B16" s="14" t="inlineStr"/>
    </row>
    <row r="23">
      <c r="A23" s="1" t="inlineStr"/>
    </row>
    <row r="24">
      <c r="A24" s="1" t="inlineStr"/>
    </row>
    <row r="25">
      <c r="A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2025-11-21T06:27:52Z</dcterms:created>
  <dcterms:modified xmlns:dcterms="http://purl.org/dc/terms/" xmlns:xsi="http://www.w3.org/2001/XMLSchema-instance" xsi:type="dcterms:W3CDTF">2025-11-21T06:39:32Z</dcterms:modified>
</cp:coreProperties>
</file>