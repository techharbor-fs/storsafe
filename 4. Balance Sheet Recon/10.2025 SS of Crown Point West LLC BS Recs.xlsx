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B:\Bank Reconciliations\Balance Sheet Reconciliations\SS of Crown Point West LLC (cpwest)\"/>
    </mc:Choice>
  </mc:AlternateContent>
  <xr:revisionPtr revIDLastSave="0" documentId="8_{BA825493-BCA0-459F-B5EA-215B2B0B6BB4}" xr6:coauthVersionLast="47" xr6:coauthVersionMax="47" xr10:uidLastSave="{00000000-0000-0000-0000-000000000000}"/>
  <bookViews>
    <workbookView xWindow="390" yWindow="390" windowWidth="21600" windowHeight="11385" firstSheet="8" activeTab="8" xr2:uid="{00000000-000D-0000-FFFF-FFFF00000000}"/>
  </bookViews>
  <sheets>
    <sheet name="Cover" sheetId="4" r:id="rId1"/>
    <sheet name="Pre-Paid Insurance" sheetId="9" r:id="rId2"/>
    <sheet name="1350-9000 Pre-Paid Expenses Oth" sheetId="8" state="hidden" r:id="rId3"/>
    <sheet name="Real Estate Tax Accrual" sheetId="10" r:id="rId4"/>
    <sheet name="Sales Tax Collected" sheetId="11" r:id="rId5"/>
    <sheet name="Interest Accrual" sheetId="12" r:id="rId6"/>
    <sheet name="Expense Accrual" sheetId="2" r:id="rId7"/>
    <sheet name="Sheet2" sheetId="3" state="hidden" r:id="rId8"/>
    <sheet name="Yardi Report" sheetId="1" r:id="rId9"/>
    <sheet name="Chart of Accounts" sheetId="5" state="hidden" r:id="rId10"/>
    <sheet name="Account Table" sheetId="6" state="hidden" r:id="rId11"/>
  </sheets>
  <externalReferences>
    <externalReference r:id="rId12"/>
  </externalReferences>
  <definedNames>
    <definedName name="_Account_Lookup">'Account Table'!$E$1:$E$500</definedName>
    <definedName name="_xlnm._FilterDatabase" localSheetId="2" hidden="1">'1350-9000 Pre-Paid Expenses Oth'!$B$7:$H$23</definedName>
    <definedName name="_xlnm._FilterDatabase" localSheetId="6" hidden="1">'Expense Accrual'!$B$7:$I$159</definedName>
    <definedName name="_xlnm._FilterDatabase" localSheetId="1" hidden="1">'Pre-Paid Insurance'!$B$7:$I$23</definedName>
    <definedName name="_xlnm.Print_Titles" localSheetId="8">'Yardi Report'!$1:$6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0" l="1"/>
  <c r="B58" i="10"/>
  <c r="C104" i="2"/>
  <c r="A2" i="2"/>
  <c r="G5" i="2"/>
  <c r="C70" i="2"/>
  <c r="G93" i="2"/>
  <c r="C97" i="2"/>
  <c r="C101" i="2"/>
  <c r="C103" i="2"/>
  <c r="C108" i="2"/>
  <c r="C131" i="2"/>
  <c r="C134" i="2"/>
  <c r="G27" i="11"/>
  <c r="C45" i="10"/>
  <c r="C43" i="9"/>
  <c r="G26" i="11"/>
  <c r="C51" i="10"/>
  <c r="C42" i="9"/>
  <c r="C33" i="9"/>
  <c r="G25" i="11"/>
  <c r="C50" i="10"/>
  <c r="C32" i="9"/>
  <c r="C41" i="9"/>
  <c r="C49" i="10"/>
  <c r="G63" i="10"/>
  <c r="G165" i="2" l="1"/>
  <c r="H5" i="2"/>
  <c r="H165" i="2"/>
  <c r="C40" i="9"/>
  <c r="C31" i="9"/>
  <c r="G22" i="11"/>
  <c r="C44" i="10"/>
  <c r="C39" i="9" l="1"/>
  <c r="C30" i="9"/>
  <c r="C29" i="10"/>
  <c r="G21" i="11" l="1"/>
  <c r="C43" i="10"/>
  <c r="C38" i="9"/>
  <c r="C37" i="9"/>
  <c r="C29" i="9"/>
  <c r="C28" i="9"/>
  <c r="C27" i="9"/>
  <c r="C26" i="9"/>
  <c r="C24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G5" i="12"/>
  <c r="G23" i="12" s="1"/>
  <c r="A2" i="12"/>
  <c r="G12" i="11"/>
  <c r="G20" i="11"/>
  <c r="G19" i="11"/>
  <c r="G18" i="11"/>
  <c r="G17" i="11"/>
  <c r="G16" i="11"/>
  <c r="G15" i="11"/>
  <c r="G14" i="11"/>
  <c r="G13" i="11"/>
  <c r="G9" i="11"/>
  <c r="G5" i="11"/>
  <c r="A2" i="11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4" i="10"/>
  <c r="F13" i="10"/>
  <c r="F12" i="10"/>
  <c r="F11" i="10"/>
  <c r="F10" i="10"/>
  <c r="F9" i="10"/>
  <c r="G5" i="10"/>
  <c r="A2" i="10"/>
  <c r="B10" i="4" a="1"/>
  <c r="B7" i="4" a="1"/>
  <c r="B9" i="4" a="1"/>
  <c r="C7" i="4" a="1"/>
  <c r="B8" i="4" a="1"/>
  <c r="G35" i="11" l="1"/>
  <c r="H35" i="11" s="1"/>
  <c r="B7" i="4"/>
  <c r="B9" i="4"/>
  <c r="C7" i="4"/>
  <c r="B8" i="4"/>
  <c r="B10" i="4"/>
  <c r="H23" i="12"/>
  <c r="H5" i="12"/>
  <c r="G31" i="10"/>
  <c r="G15" i="10"/>
  <c r="G47" i="10"/>
  <c r="C10" i="4" a="1"/>
  <c r="C10" i="4" l="1"/>
  <c r="H5" i="11"/>
  <c r="G66" i="10"/>
  <c r="C9" i="4" a="1"/>
  <c r="C9" i="4" l="1"/>
  <c r="H66" i="10"/>
  <c r="H5" i="10"/>
  <c r="C8" i="4" a="1"/>
  <c r="C8" i="4" l="1"/>
  <c r="G50" i="9"/>
  <c r="G35" i="9"/>
  <c r="G22" i="9"/>
  <c r="G5" i="9"/>
  <c r="A2" i="9"/>
  <c r="F5" i="8"/>
  <c r="A2" i="8"/>
  <c r="G2" i="6"/>
  <c r="G3" i="6" s="1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A1" i="6"/>
  <c r="C1" i="6" s="1"/>
  <c r="A2" i="6"/>
  <c r="B2" i="6"/>
  <c r="A3" i="6"/>
  <c r="C3" i="6" s="1"/>
  <c r="B3" i="6"/>
  <c r="A4" i="6"/>
  <c r="C4" i="6" s="1"/>
  <c r="B4" i="6"/>
  <c r="A5" i="6"/>
  <c r="B5" i="6"/>
  <c r="A6" i="6"/>
  <c r="B6" i="6"/>
  <c r="A7" i="6"/>
  <c r="C7" i="6" s="1"/>
  <c r="B7" i="6"/>
  <c r="A8" i="6"/>
  <c r="C8" i="6" s="1"/>
  <c r="B8" i="6"/>
  <c r="A9" i="6"/>
  <c r="B9" i="6"/>
  <c r="A10" i="6"/>
  <c r="C10" i="6" s="1"/>
  <c r="B10" i="6"/>
  <c r="A11" i="6"/>
  <c r="C11" i="6" s="1"/>
  <c r="B11" i="6"/>
  <c r="A12" i="6"/>
  <c r="C12" i="6" s="1"/>
  <c r="B12" i="6"/>
  <c r="A13" i="6"/>
  <c r="B13" i="6"/>
  <c r="A14" i="6"/>
  <c r="B14" i="6"/>
  <c r="A15" i="6"/>
  <c r="C15" i="6" s="1"/>
  <c r="B15" i="6"/>
  <c r="A16" i="6"/>
  <c r="C16" i="6" s="1"/>
  <c r="B16" i="6"/>
  <c r="A17" i="6"/>
  <c r="B17" i="6"/>
  <c r="A18" i="6"/>
  <c r="C18" i="6" s="1"/>
  <c r="B18" i="6"/>
  <c r="A19" i="6"/>
  <c r="C19" i="6" s="1"/>
  <c r="B19" i="6"/>
  <c r="A20" i="6"/>
  <c r="C20" i="6" s="1"/>
  <c r="B20" i="6"/>
  <c r="A21" i="6"/>
  <c r="B21" i="6"/>
  <c r="A22" i="6"/>
  <c r="B22" i="6"/>
  <c r="A23" i="6"/>
  <c r="C23" i="6" s="1"/>
  <c r="B23" i="6"/>
  <c r="A24" i="6"/>
  <c r="C24" i="6" s="1"/>
  <c r="B24" i="6"/>
  <c r="A25" i="6"/>
  <c r="B25" i="6"/>
  <c r="A26" i="6"/>
  <c r="C26" i="6" s="1"/>
  <c r="B26" i="6"/>
  <c r="A27" i="6"/>
  <c r="C27" i="6" s="1"/>
  <c r="B27" i="6"/>
  <c r="A28" i="6"/>
  <c r="C28" i="6" s="1"/>
  <c r="B28" i="6"/>
  <c r="A29" i="6"/>
  <c r="B29" i="6"/>
  <c r="A30" i="6"/>
  <c r="B30" i="6"/>
  <c r="A31" i="6"/>
  <c r="C31" i="6" s="1"/>
  <c r="B31" i="6"/>
  <c r="A32" i="6"/>
  <c r="C32" i="6" s="1"/>
  <c r="B32" i="6"/>
  <c r="A33" i="6"/>
  <c r="B33" i="6"/>
  <c r="A34" i="6"/>
  <c r="C34" i="6" s="1"/>
  <c r="B34" i="6"/>
  <c r="A35" i="6"/>
  <c r="C35" i="6" s="1"/>
  <c r="B35" i="6"/>
  <c r="A36" i="6"/>
  <c r="C36" i="6" s="1"/>
  <c r="B36" i="6"/>
  <c r="A37" i="6"/>
  <c r="B37" i="6"/>
  <c r="A38" i="6"/>
  <c r="B38" i="6"/>
  <c r="A39" i="6"/>
  <c r="C39" i="6" s="1"/>
  <c r="B39" i="6"/>
  <c r="A40" i="6"/>
  <c r="C40" i="6" s="1"/>
  <c r="B40" i="6"/>
  <c r="A41" i="6"/>
  <c r="B41" i="6"/>
  <c r="A42" i="6"/>
  <c r="C42" i="6" s="1"/>
  <c r="B42" i="6"/>
  <c r="A43" i="6"/>
  <c r="C43" i="6" s="1"/>
  <c r="B43" i="6"/>
  <c r="A44" i="6"/>
  <c r="C44" i="6" s="1"/>
  <c r="B44" i="6"/>
  <c r="A45" i="6"/>
  <c r="B45" i="6"/>
  <c r="A46" i="6"/>
  <c r="B46" i="6"/>
  <c r="A47" i="6"/>
  <c r="C47" i="6" s="1"/>
  <c r="B47" i="6"/>
  <c r="A48" i="6"/>
  <c r="C48" i="6" s="1"/>
  <c r="B48" i="6"/>
  <c r="A49" i="6"/>
  <c r="B49" i="6"/>
  <c r="A50" i="6"/>
  <c r="C50" i="6" s="1"/>
  <c r="B50" i="6"/>
  <c r="A51" i="6"/>
  <c r="C51" i="6" s="1"/>
  <c r="B51" i="6"/>
  <c r="A52" i="6"/>
  <c r="C52" i="6" s="1"/>
  <c r="B52" i="6"/>
  <c r="A53" i="6"/>
  <c r="B53" i="6"/>
  <c r="A54" i="6"/>
  <c r="B54" i="6"/>
  <c r="A55" i="6"/>
  <c r="C55" i="6" s="1"/>
  <c r="B55" i="6"/>
  <c r="A56" i="6"/>
  <c r="C56" i="6" s="1"/>
  <c r="B56" i="6"/>
  <c r="A57" i="6"/>
  <c r="B57" i="6"/>
  <c r="A58" i="6"/>
  <c r="C58" i="6" s="1"/>
  <c r="B58" i="6"/>
  <c r="A59" i="6"/>
  <c r="C59" i="6" s="1"/>
  <c r="B59" i="6"/>
  <c r="A60" i="6"/>
  <c r="C60" i="6" s="1"/>
  <c r="B60" i="6"/>
  <c r="A61" i="6"/>
  <c r="B61" i="6"/>
  <c r="A62" i="6"/>
  <c r="C62" i="6" s="1"/>
  <c r="B62" i="6"/>
  <c r="A63" i="6"/>
  <c r="B63" i="6"/>
  <c r="A64" i="6"/>
  <c r="B64" i="6"/>
  <c r="A65" i="6"/>
  <c r="B65" i="6"/>
  <c r="A66" i="6"/>
  <c r="C66" i="6" s="1"/>
  <c r="B66" i="6"/>
  <c r="A67" i="6"/>
  <c r="C67" i="6" s="1"/>
  <c r="B67" i="6"/>
  <c r="A68" i="6"/>
  <c r="C68" i="6" s="1"/>
  <c r="B68" i="6"/>
  <c r="A69" i="6"/>
  <c r="B69" i="6"/>
  <c r="A70" i="6"/>
  <c r="B70" i="6"/>
  <c r="A71" i="6"/>
  <c r="C71" i="6" s="1"/>
  <c r="B71" i="6"/>
  <c r="A72" i="6"/>
  <c r="C72" i="6" s="1"/>
  <c r="B72" i="6"/>
  <c r="A73" i="6"/>
  <c r="B73" i="6"/>
  <c r="A74" i="6"/>
  <c r="C74" i="6" s="1"/>
  <c r="B74" i="6"/>
  <c r="A75" i="6"/>
  <c r="C75" i="6" s="1"/>
  <c r="B75" i="6"/>
  <c r="A76" i="6"/>
  <c r="C76" i="6" s="1"/>
  <c r="B76" i="6"/>
  <c r="A77" i="6"/>
  <c r="B77" i="6"/>
  <c r="A78" i="6"/>
  <c r="B78" i="6"/>
  <c r="A79" i="6"/>
  <c r="C79" i="6" s="1"/>
  <c r="B79" i="6"/>
  <c r="A80" i="6"/>
  <c r="C80" i="6" s="1"/>
  <c r="B80" i="6"/>
  <c r="A81" i="6"/>
  <c r="B81" i="6"/>
  <c r="A82" i="6"/>
  <c r="B82" i="6"/>
  <c r="A83" i="6"/>
  <c r="C83" i="6" s="1"/>
  <c r="B83" i="6"/>
  <c r="A84" i="6"/>
  <c r="C84" i="6" s="1"/>
  <c r="B84" i="6"/>
  <c r="A85" i="6"/>
  <c r="B85" i="6"/>
  <c r="A86" i="6"/>
  <c r="B86" i="6"/>
  <c r="A87" i="6"/>
  <c r="C87" i="6" s="1"/>
  <c r="B87" i="6"/>
  <c r="A88" i="6"/>
  <c r="C88" i="6" s="1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C95" i="6" s="1"/>
  <c r="B95" i="6"/>
  <c r="A96" i="6"/>
  <c r="C96" i="6" s="1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C103" i="6" s="1"/>
  <c r="B103" i="6"/>
  <c r="A104" i="6"/>
  <c r="C104" i="6" s="1"/>
  <c r="B104" i="6"/>
  <c r="A105" i="6"/>
  <c r="B105" i="6"/>
  <c r="A106" i="6"/>
  <c r="B106" i="6"/>
  <c r="A107" i="6"/>
  <c r="C107" i="6" s="1"/>
  <c r="B107" i="6"/>
  <c r="A108" i="6"/>
  <c r="C108" i="6" s="1"/>
  <c r="B108" i="6"/>
  <c r="A109" i="6"/>
  <c r="B109" i="6"/>
  <c r="A110" i="6"/>
  <c r="B110" i="6"/>
  <c r="A111" i="6"/>
  <c r="C111" i="6" s="1"/>
  <c r="B111" i="6"/>
  <c r="A112" i="6"/>
  <c r="C112" i="6" s="1"/>
  <c r="B112" i="6"/>
  <c r="A113" i="6"/>
  <c r="B113" i="6"/>
  <c r="A114" i="6"/>
  <c r="B114" i="6"/>
  <c r="A115" i="6"/>
  <c r="C115" i="6" s="1"/>
  <c r="B115" i="6"/>
  <c r="A116" i="6"/>
  <c r="C116" i="6" s="1"/>
  <c r="B116" i="6"/>
  <c r="A117" i="6"/>
  <c r="B117" i="6"/>
  <c r="A118" i="6"/>
  <c r="B118" i="6"/>
  <c r="A119" i="6"/>
  <c r="C119" i="6" s="1"/>
  <c r="B119" i="6"/>
  <c r="A120" i="6"/>
  <c r="C120" i="6" s="1"/>
  <c r="B120" i="6"/>
  <c r="A121" i="6"/>
  <c r="B121" i="6"/>
  <c r="A122" i="6"/>
  <c r="B122" i="6"/>
  <c r="A123" i="6"/>
  <c r="C123" i="6" s="1"/>
  <c r="B123" i="6"/>
  <c r="A124" i="6"/>
  <c r="C124" i="6" s="1"/>
  <c r="B124" i="6"/>
  <c r="A125" i="6"/>
  <c r="B125" i="6"/>
  <c r="A126" i="6"/>
  <c r="B126" i="6"/>
  <c r="A127" i="6"/>
  <c r="C127" i="6" s="1"/>
  <c r="B127" i="6"/>
  <c r="A128" i="6"/>
  <c r="C128" i="6" s="1"/>
  <c r="B128" i="6"/>
  <c r="A129" i="6"/>
  <c r="B129" i="6"/>
  <c r="A130" i="6"/>
  <c r="B130" i="6"/>
  <c r="A131" i="6"/>
  <c r="C131" i="6" s="1"/>
  <c r="B131" i="6"/>
  <c r="A132" i="6"/>
  <c r="B132" i="6"/>
  <c r="A133" i="6"/>
  <c r="B133" i="6"/>
  <c r="A134" i="6"/>
  <c r="B134" i="6"/>
  <c r="A135" i="6"/>
  <c r="C135" i="6" s="1"/>
  <c r="B135" i="6"/>
  <c r="A136" i="6"/>
  <c r="C136" i="6" s="1"/>
  <c r="B136" i="6"/>
  <c r="A137" i="6"/>
  <c r="B137" i="6"/>
  <c r="A138" i="6"/>
  <c r="B138" i="6"/>
  <c r="A139" i="6"/>
  <c r="C139" i="6" s="1"/>
  <c r="B139" i="6"/>
  <c r="A140" i="6"/>
  <c r="C140" i="6" s="1"/>
  <c r="B140" i="6"/>
  <c r="A141" i="6"/>
  <c r="B141" i="6"/>
  <c r="A142" i="6"/>
  <c r="B142" i="6"/>
  <c r="A143" i="6"/>
  <c r="C143" i="6" s="1"/>
  <c r="B143" i="6"/>
  <c r="A144" i="6"/>
  <c r="C144" i="6" s="1"/>
  <c r="B144" i="6"/>
  <c r="A145" i="6"/>
  <c r="B145" i="6"/>
  <c r="A146" i="6"/>
  <c r="B146" i="6"/>
  <c r="A147" i="6"/>
  <c r="C147" i="6" s="1"/>
  <c r="B147" i="6"/>
  <c r="A148" i="6"/>
  <c r="C148" i="6" s="1"/>
  <c r="B148" i="6"/>
  <c r="A149" i="6"/>
  <c r="B149" i="6"/>
  <c r="A150" i="6"/>
  <c r="B150" i="6"/>
  <c r="A151" i="6"/>
  <c r="B151" i="6"/>
  <c r="A152" i="6"/>
  <c r="B152" i="6"/>
  <c r="A153" i="6"/>
  <c r="B153" i="6"/>
  <c r="A154" i="6"/>
  <c r="B154" i="6"/>
  <c r="A155" i="6"/>
  <c r="C155" i="6" s="1"/>
  <c r="B155" i="6"/>
  <c r="A156" i="6"/>
  <c r="C156" i="6" s="1"/>
  <c r="B156" i="6"/>
  <c r="A157" i="6"/>
  <c r="B157" i="6"/>
  <c r="A158" i="6"/>
  <c r="B158" i="6"/>
  <c r="A159" i="6"/>
  <c r="C159" i="6" s="1"/>
  <c r="B159" i="6"/>
  <c r="A160" i="6"/>
  <c r="C160" i="6" s="1"/>
  <c r="B160" i="6"/>
  <c r="A161" i="6"/>
  <c r="B161" i="6"/>
  <c r="A162" i="6"/>
  <c r="B162" i="6"/>
  <c r="A163" i="6"/>
  <c r="C163" i="6" s="1"/>
  <c r="B163" i="6"/>
  <c r="A164" i="6"/>
  <c r="C164" i="6" s="1"/>
  <c r="B164" i="6"/>
  <c r="A165" i="6"/>
  <c r="B165" i="6"/>
  <c r="A166" i="6"/>
  <c r="B166" i="6"/>
  <c r="A167" i="6"/>
  <c r="C167" i="6" s="1"/>
  <c r="B167" i="6"/>
  <c r="A168" i="6"/>
  <c r="C168" i="6" s="1"/>
  <c r="B168" i="6"/>
  <c r="A169" i="6"/>
  <c r="B169" i="6"/>
  <c r="A170" i="6"/>
  <c r="B170" i="6"/>
  <c r="A171" i="6"/>
  <c r="C171" i="6" s="1"/>
  <c r="B171" i="6"/>
  <c r="A172" i="6"/>
  <c r="C172" i="6" s="1"/>
  <c r="B172" i="6"/>
  <c r="A173" i="6"/>
  <c r="B173" i="6"/>
  <c r="A174" i="6"/>
  <c r="B174" i="6"/>
  <c r="A175" i="6"/>
  <c r="C175" i="6" s="1"/>
  <c r="B175" i="6"/>
  <c r="A176" i="6"/>
  <c r="C176" i="6" s="1"/>
  <c r="B176" i="6"/>
  <c r="A177" i="6"/>
  <c r="B177" i="6"/>
  <c r="A178" i="6"/>
  <c r="B178" i="6"/>
  <c r="A179" i="6"/>
  <c r="C179" i="6" s="1"/>
  <c r="B179" i="6"/>
  <c r="A180" i="6"/>
  <c r="C180" i="6" s="1"/>
  <c r="B180" i="6"/>
  <c r="A181" i="6"/>
  <c r="B181" i="6"/>
  <c r="A182" i="6"/>
  <c r="B182" i="6"/>
  <c r="A183" i="6"/>
  <c r="C183" i="6" s="1"/>
  <c r="B183" i="6"/>
  <c r="A184" i="6"/>
  <c r="C184" i="6" s="1"/>
  <c r="B184" i="6"/>
  <c r="A185" i="6"/>
  <c r="B185" i="6"/>
  <c r="A186" i="6"/>
  <c r="B186" i="6"/>
  <c r="A187" i="6"/>
  <c r="C187" i="6" s="1"/>
  <c r="B187" i="6"/>
  <c r="A188" i="6"/>
  <c r="B188" i="6"/>
  <c r="A189" i="6"/>
  <c r="B189" i="6"/>
  <c r="A190" i="6"/>
  <c r="B190" i="6"/>
  <c r="A191" i="6"/>
  <c r="B191" i="6"/>
  <c r="A192" i="6"/>
  <c r="C192" i="6" s="1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199" i="6"/>
  <c r="B199" i="6"/>
  <c r="A200" i="6"/>
  <c r="B200" i="6"/>
  <c r="A201" i="6"/>
  <c r="B201" i="6"/>
  <c r="A202" i="6"/>
  <c r="B202" i="6"/>
  <c r="A203" i="6"/>
  <c r="B203" i="6"/>
  <c r="A204" i="6"/>
  <c r="C204" i="6" s="1"/>
  <c r="B204" i="6"/>
  <c r="A205" i="6"/>
  <c r="B205" i="6"/>
  <c r="A206" i="6"/>
  <c r="B206" i="6"/>
  <c r="A207" i="6"/>
  <c r="B207" i="6"/>
  <c r="A208" i="6"/>
  <c r="C208" i="6" s="1"/>
  <c r="B208" i="6"/>
  <c r="A209" i="6"/>
  <c r="B209" i="6"/>
  <c r="A210" i="6"/>
  <c r="B210" i="6"/>
  <c r="A211" i="6"/>
  <c r="C211" i="6" s="1"/>
  <c r="B211" i="6"/>
  <c r="A212" i="6"/>
  <c r="C212" i="6" s="1"/>
  <c r="B212" i="6"/>
  <c r="A213" i="6"/>
  <c r="B213" i="6"/>
  <c r="A214" i="6"/>
  <c r="B214" i="6"/>
  <c r="A215" i="6"/>
  <c r="B215" i="6"/>
  <c r="A216" i="6"/>
  <c r="C216" i="6" s="1"/>
  <c r="B216" i="6"/>
  <c r="A217" i="6"/>
  <c r="B217" i="6"/>
  <c r="A218" i="6"/>
  <c r="B218" i="6"/>
  <c r="A219" i="6"/>
  <c r="C219" i="6" s="1"/>
  <c r="B219" i="6"/>
  <c r="A220" i="6"/>
  <c r="C220" i="6" s="1"/>
  <c r="B220" i="6"/>
  <c r="A221" i="6"/>
  <c r="B221" i="6"/>
  <c r="A222" i="6"/>
  <c r="B222" i="6"/>
  <c r="A223" i="6"/>
  <c r="C223" i="6" s="1"/>
  <c r="B223" i="6"/>
  <c r="A224" i="6"/>
  <c r="C224" i="6" s="1"/>
  <c r="B224" i="6"/>
  <c r="A225" i="6"/>
  <c r="B225" i="6"/>
  <c r="A226" i="6"/>
  <c r="B226" i="6"/>
  <c r="A227" i="6"/>
  <c r="C227" i="6" s="1"/>
  <c r="B227" i="6"/>
  <c r="A228" i="6"/>
  <c r="C228" i="6" s="1"/>
  <c r="B228" i="6"/>
  <c r="A229" i="6"/>
  <c r="B229" i="6"/>
  <c r="A230" i="6"/>
  <c r="B230" i="6"/>
  <c r="A231" i="6"/>
  <c r="C231" i="6" s="1"/>
  <c r="B231" i="6"/>
  <c r="A232" i="6"/>
  <c r="C232" i="6" s="1"/>
  <c r="B232" i="6"/>
  <c r="A233" i="6"/>
  <c r="B233" i="6"/>
  <c r="A234" i="6"/>
  <c r="B234" i="6"/>
  <c r="A235" i="6"/>
  <c r="B235" i="6"/>
  <c r="A236" i="6"/>
  <c r="C236" i="6" s="1"/>
  <c r="B236" i="6"/>
  <c r="A237" i="6"/>
  <c r="B237" i="6"/>
  <c r="A238" i="6"/>
  <c r="B238" i="6"/>
  <c r="A239" i="6"/>
  <c r="B239" i="6"/>
  <c r="A240" i="6"/>
  <c r="C240" i="6" s="1"/>
  <c r="B240" i="6"/>
  <c r="A241" i="6"/>
  <c r="B241" i="6"/>
  <c r="A242" i="6"/>
  <c r="B242" i="6"/>
  <c r="A243" i="6"/>
  <c r="B243" i="6"/>
  <c r="A244" i="6"/>
  <c r="C244" i="6" s="1"/>
  <c r="B244" i="6"/>
  <c r="A245" i="6"/>
  <c r="B245" i="6"/>
  <c r="A246" i="6"/>
  <c r="B246" i="6"/>
  <c r="A247" i="6"/>
  <c r="B247" i="6"/>
  <c r="A248" i="6"/>
  <c r="C248" i="6" s="1"/>
  <c r="B248" i="6"/>
  <c r="A249" i="6"/>
  <c r="B249" i="6"/>
  <c r="A250" i="6"/>
  <c r="B250" i="6"/>
  <c r="A251" i="6"/>
  <c r="C251" i="6" s="1"/>
  <c r="B251" i="6"/>
  <c r="A252" i="6"/>
  <c r="C252" i="6" s="1"/>
  <c r="B252" i="6"/>
  <c r="A253" i="6"/>
  <c r="B253" i="6"/>
  <c r="A254" i="6"/>
  <c r="B254" i="6"/>
  <c r="A255" i="6"/>
  <c r="C255" i="6" s="1"/>
  <c r="B255" i="6"/>
  <c r="A256" i="6"/>
  <c r="B256" i="6"/>
  <c r="A257" i="6"/>
  <c r="B257" i="6"/>
  <c r="A258" i="6"/>
  <c r="B258" i="6"/>
  <c r="A259" i="6"/>
  <c r="B259" i="6"/>
  <c r="A260" i="6"/>
  <c r="B260" i="6"/>
  <c r="A261" i="6"/>
  <c r="B261" i="6"/>
  <c r="A262" i="6"/>
  <c r="B262" i="6"/>
  <c r="A263" i="6"/>
  <c r="B263" i="6"/>
  <c r="A264" i="6"/>
  <c r="C264" i="6" s="1"/>
  <c r="B264" i="6"/>
  <c r="A265" i="6"/>
  <c r="B265" i="6"/>
  <c r="A266" i="6"/>
  <c r="B266" i="6"/>
  <c r="A267" i="6"/>
  <c r="B267" i="6"/>
  <c r="A268" i="6"/>
  <c r="B268" i="6"/>
  <c r="A269" i="6"/>
  <c r="B269" i="6"/>
  <c r="A270" i="6"/>
  <c r="B270" i="6"/>
  <c r="A271" i="6"/>
  <c r="B271" i="6"/>
  <c r="A272" i="6"/>
  <c r="B272" i="6"/>
  <c r="A273" i="6"/>
  <c r="B273" i="6"/>
  <c r="A274" i="6"/>
  <c r="B274" i="6"/>
  <c r="A275" i="6"/>
  <c r="C275" i="6" s="1"/>
  <c r="B275" i="6"/>
  <c r="A276" i="6"/>
  <c r="C276" i="6" s="1"/>
  <c r="B276" i="6"/>
  <c r="A277" i="6"/>
  <c r="B277" i="6"/>
  <c r="A278" i="6"/>
  <c r="B278" i="6"/>
  <c r="A279" i="6"/>
  <c r="B279" i="6"/>
  <c r="A280" i="6"/>
  <c r="B280" i="6"/>
  <c r="A281" i="6"/>
  <c r="B281" i="6"/>
  <c r="A282" i="6"/>
  <c r="B282" i="6"/>
  <c r="A283" i="6"/>
  <c r="B283" i="6"/>
  <c r="A284" i="6"/>
  <c r="B284" i="6"/>
  <c r="A285" i="6"/>
  <c r="B285" i="6"/>
  <c r="A286" i="6"/>
  <c r="B286" i="6"/>
  <c r="A287" i="6"/>
  <c r="B287" i="6"/>
  <c r="A288" i="6"/>
  <c r="C288" i="6" s="1"/>
  <c r="B288" i="6"/>
  <c r="A289" i="6"/>
  <c r="B289" i="6"/>
  <c r="A290" i="6"/>
  <c r="B290" i="6"/>
  <c r="A291" i="6"/>
  <c r="C291" i="6" s="1"/>
  <c r="B291" i="6"/>
  <c r="A292" i="6"/>
  <c r="C292" i="6" s="1"/>
  <c r="B292" i="6"/>
  <c r="A293" i="6"/>
  <c r="B293" i="6"/>
  <c r="A294" i="6"/>
  <c r="B294" i="6"/>
  <c r="A295" i="6"/>
  <c r="B295" i="6"/>
  <c r="A296" i="6"/>
  <c r="C296" i="6" s="1"/>
  <c r="B296" i="6"/>
  <c r="A297" i="6"/>
  <c r="B297" i="6"/>
  <c r="A298" i="6"/>
  <c r="B298" i="6"/>
  <c r="A299" i="6"/>
  <c r="B299" i="6"/>
  <c r="A300" i="6"/>
  <c r="B300" i="6"/>
  <c r="A301" i="6"/>
  <c r="B301" i="6"/>
  <c r="A302" i="6"/>
  <c r="B302" i="6"/>
  <c r="A303" i="6"/>
  <c r="B303" i="6"/>
  <c r="A304" i="6"/>
  <c r="B304" i="6"/>
  <c r="A305" i="6"/>
  <c r="B305" i="6"/>
  <c r="A306" i="6"/>
  <c r="B306" i="6"/>
  <c r="A307" i="6"/>
  <c r="B307" i="6"/>
  <c r="A308" i="6"/>
  <c r="B308" i="6"/>
  <c r="A309" i="6"/>
  <c r="B309" i="6"/>
  <c r="A310" i="6"/>
  <c r="B310" i="6"/>
  <c r="A311" i="6"/>
  <c r="C311" i="6" s="1"/>
  <c r="B311" i="6"/>
  <c r="A312" i="6"/>
  <c r="C312" i="6" s="1"/>
  <c r="B312" i="6"/>
  <c r="A313" i="6"/>
  <c r="B313" i="6"/>
  <c r="A314" i="6"/>
  <c r="B314" i="6"/>
  <c r="A315" i="6"/>
  <c r="C315" i="6" s="1"/>
  <c r="B315" i="6"/>
  <c r="A316" i="6"/>
  <c r="B316" i="6"/>
  <c r="A317" i="6"/>
  <c r="B317" i="6"/>
  <c r="A318" i="6"/>
  <c r="B318" i="6"/>
  <c r="A319" i="6"/>
  <c r="C319" i="6" s="1"/>
  <c r="B319" i="6"/>
  <c r="A320" i="6"/>
  <c r="C320" i="6" s="1"/>
  <c r="B320" i="6"/>
  <c r="A321" i="6"/>
  <c r="B321" i="6"/>
  <c r="A322" i="6"/>
  <c r="B322" i="6"/>
  <c r="A323" i="6"/>
  <c r="C323" i="6" s="1"/>
  <c r="B323" i="6"/>
  <c r="A324" i="6"/>
  <c r="C324" i="6" s="1"/>
  <c r="B324" i="6"/>
  <c r="A325" i="6"/>
  <c r="B325" i="6"/>
  <c r="A326" i="6"/>
  <c r="B326" i="6"/>
  <c r="A327" i="6"/>
  <c r="B327" i="6"/>
  <c r="A328" i="6"/>
  <c r="B328" i="6"/>
  <c r="A329" i="6"/>
  <c r="B329" i="6"/>
  <c r="A330" i="6"/>
  <c r="B330" i="6"/>
  <c r="A331" i="6"/>
  <c r="B331" i="6"/>
  <c r="A332" i="6"/>
  <c r="C332" i="6" s="1"/>
  <c r="B332" i="6"/>
  <c r="A333" i="6"/>
  <c r="B333" i="6"/>
  <c r="A334" i="6"/>
  <c r="B334" i="6"/>
  <c r="A335" i="6"/>
  <c r="C335" i="6" s="1"/>
  <c r="B335" i="6"/>
  <c r="A336" i="6"/>
  <c r="C336" i="6" s="1"/>
  <c r="B336" i="6"/>
  <c r="A337" i="6"/>
  <c r="B337" i="6"/>
  <c r="A338" i="6"/>
  <c r="B338" i="6"/>
  <c r="A339" i="6"/>
  <c r="B339" i="6"/>
  <c r="A340" i="6"/>
  <c r="C340" i="6" s="1"/>
  <c r="B340" i="6"/>
  <c r="A341" i="6"/>
  <c r="B341" i="6"/>
  <c r="A342" i="6"/>
  <c r="B342" i="6"/>
  <c r="A343" i="6"/>
  <c r="B343" i="6"/>
  <c r="A344" i="6"/>
  <c r="C344" i="6" s="1"/>
  <c r="B344" i="6"/>
  <c r="A345" i="6"/>
  <c r="B345" i="6"/>
  <c r="A346" i="6"/>
  <c r="B346" i="6"/>
  <c r="A347" i="6"/>
  <c r="B347" i="6"/>
  <c r="A348" i="6"/>
  <c r="C348" i="6" s="1"/>
  <c r="B348" i="6"/>
  <c r="A349" i="6"/>
  <c r="B349" i="6"/>
  <c r="A350" i="6"/>
  <c r="B350" i="6"/>
  <c r="A351" i="6"/>
  <c r="B351" i="6"/>
  <c r="A352" i="6"/>
  <c r="C352" i="6" s="1"/>
  <c r="B352" i="6"/>
  <c r="A353" i="6"/>
  <c r="B353" i="6"/>
  <c r="A354" i="6"/>
  <c r="B354" i="6"/>
  <c r="A355" i="6"/>
  <c r="B355" i="6"/>
  <c r="A356" i="6"/>
  <c r="B356" i="6"/>
  <c r="A357" i="6"/>
  <c r="B357" i="6"/>
  <c r="A358" i="6"/>
  <c r="B358" i="6"/>
  <c r="A359" i="6"/>
  <c r="B359" i="6"/>
  <c r="A360" i="6"/>
  <c r="C360" i="6" s="1"/>
  <c r="B360" i="6"/>
  <c r="A361" i="6"/>
  <c r="B361" i="6"/>
  <c r="A362" i="6"/>
  <c r="B362" i="6"/>
  <c r="A363" i="6"/>
  <c r="B363" i="6"/>
  <c r="A364" i="6"/>
  <c r="C364" i="6" s="1"/>
  <c r="B364" i="6"/>
  <c r="A365" i="6"/>
  <c r="B365" i="6"/>
  <c r="A366" i="6"/>
  <c r="B366" i="6"/>
  <c r="A367" i="6"/>
  <c r="B367" i="6"/>
  <c r="A368" i="6"/>
  <c r="B368" i="6"/>
  <c r="A369" i="6"/>
  <c r="B369" i="6"/>
  <c r="A370" i="6"/>
  <c r="B370" i="6"/>
  <c r="A371" i="6"/>
  <c r="B371" i="6"/>
  <c r="A372" i="6"/>
  <c r="C372" i="6" s="1"/>
  <c r="B372" i="6"/>
  <c r="A373" i="6"/>
  <c r="B373" i="6"/>
  <c r="A374" i="6"/>
  <c r="B374" i="6"/>
  <c r="A375" i="6"/>
  <c r="B375" i="6"/>
  <c r="A376" i="6"/>
  <c r="C376" i="6" s="1"/>
  <c r="B376" i="6"/>
  <c r="A377" i="6"/>
  <c r="B377" i="6"/>
  <c r="A378" i="6"/>
  <c r="B378" i="6"/>
  <c r="A379" i="6"/>
  <c r="B379" i="6"/>
  <c r="A380" i="6"/>
  <c r="C380" i="6" s="1"/>
  <c r="B380" i="6"/>
  <c r="A381" i="6"/>
  <c r="B381" i="6"/>
  <c r="A382" i="6"/>
  <c r="B382" i="6"/>
  <c r="A383" i="6"/>
  <c r="B383" i="6"/>
  <c r="A384" i="6"/>
  <c r="C384" i="6" s="1"/>
  <c r="B384" i="6"/>
  <c r="A385" i="6"/>
  <c r="B385" i="6"/>
  <c r="A386" i="6"/>
  <c r="B386" i="6"/>
  <c r="A387" i="6"/>
  <c r="B387" i="6"/>
  <c r="A388" i="6"/>
  <c r="B388" i="6"/>
  <c r="A389" i="6"/>
  <c r="B389" i="6"/>
  <c r="A390" i="6"/>
  <c r="B390" i="6"/>
  <c r="A391" i="6"/>
  <c r="B391" i="6"/>
  <c r="A392" i="6"/>
  <c r="C392" i="6" s="1"/>
  <c r="B392" i="6"/>
  <c r="A393" i="6"/>
  <c r="B393" i="6"/>
  <c r="A394" i="6"/>
  <c r="B394" i="6"/>
  <c r="A395" i="6"/>
  <c r="B395" i="6"/>
  <c r="A396" i="6"/>
  <c r="B396" i="6"/>
  <c r="A397" i="6"/>
  <c r="B397" i="6"/>
  <c r="A398" i="6"/>
  <c r="B398" i="6"/>
  <c r="A399" i="6"/>
  <c r="B399" i="6"/>
  <c r="A400" i="6"/>
  <c r="C400" i="6" s="1"/>
  <c r="B400" i="6"/>
  <c r="A401" i="6"/>
  <c r="B401" i="6"/>
  <c r="A402" i="6"/>
  <c r="B402" i="6"/>
  <c r="A403" i="6"/>
  <c r="B403" i="6"/>
  <c r="A404" i="6"/>
  <c r="C404" i="6" s="1"/>
  <c r="B404" i="6"/>
  <c r="A405" i="6"/>
  <c r="B405" i="6"/>
  <c r="A406" i="6"/>
  <c r="B406" i="6"/>
  <c r="A407" i="6"/>
  <c r="B407" i="6"/>
  <c r="A408" i="6"/>
  <c r="C408" i="6" s="1"/>
  <c r="B408" i="6"/>
  <c r="A409" i="6"/>
  <c r="B409" i="6"/>
  <c r="A410" i="6"/>
  <c r="B410" i="6"/>
  <c r="A411" i="6"/>
  <c r="B411" i="6"/>
  <c r="A412" i="6"/>
  <c r="C412" i="6" s="1"/>
  <c r="B412" i="6"/>
  <c r="A413" i="6"/>
  <c r="B413" i="6"/>
  <c r="A414" i="6"/>
  <c r="B414" i="6"/>
  <c r="A415" i="6"/>
  <c r="B415" i="6"/>
  <c r="A416" i="6"/>
  <c r="B416" i="6"/>
  <c r="A417" i="6"/>
  <c r="B417" i="6"/>
  <c r="A418" i="6"/>
  <c r="B418" i="6"/>
  <c r="A419" i="6"/>
  <c r="B419" i="6"/>
  <c r="A420" i="6"/>
  <c r="C420" i="6" s="1"/>
  <c r="B420" i="6"/>
  <c r="A421" i="6"/>
  <c r="B421" i="6"/>
  <c r="A422" i="6"/>
  <c r="B422" i="6"/>
  <c r="A423" i="6"/>
  <c r="B423" i="6"/>
  <c r="A424" i="6"/>
  <c r="C424" i="6" s="1"/>
  <c r="B424" i="6"/>
  <c r="A425" i="6"/>
  <c r="B425" i="6"/>
  <c r="A426" i="6"/>
  <c r="B426" i="6"/>
  <c r="A427" i="6"/>
  <c r="B427" i="6"/>
  <c r="A428" i="6"/>
  <c r="C428" i="6" s="1"/>
  <c r="B428" i="6"/>
  <c r="A429" i="6"/>
  <c r="B429" i="6"/>
  <c r="A430" i="6"/>
  <c r="B430" i="6"/>
  <c r="A431" i="6"/>
  <c r="B431" i="6"/>
  <c r="A432" i="6"/>
  <c r="C432" i="6" s="1"/>
  <c r="B432" i="6"/>
  <c r="A433" i="6"/>
  <c r="B433" i="6"/>
  <c r="A434" i="6"/>
  <c r="B434" i="6"/>
  <c r="A435" i="6"/>
  <c r="B435" i="6"/>
  <c r="A436" i="6"/>
  <c r="C436" i="6" s="1"/>
  <c r="B436" i="6"/>
  <c r="A437" i="6"/>
  <c r="B437" i="6"/>
  <c r="A438" i="6"/>
  <c r="B438" i="6"/>
  <c r="A439" i="6"/>
  <c r="B439" i="6"/>
  <c r="A440" i="6"/>
  <c r="C440" i="6" s="1"/>
  <c r="B440" i="6"/>
  <c r="A441" i="6"/>
  <c r="B441" i="6"/>
  <c r="A442" i="6"/>
  <c r="B442" i="6"/>
  <c r="A443" i="6"/>
  <c r="B443" i="6"/>
  <c r="A444" i="6"/>
  <c r="C444" i="6" s="1"/>
  <c r="B444" i="6"/>
  <c r="A445" i="6"/>
  <c r="B445" i="6"/>
  <c r="A446" i="6"/>
  <c r="B446" i="6"/>
  <c r="A447" i="6"/>
  <c r="B447" i="6"/>
  <c r="A448" i="6"/>
  <c r="C448" i="6" s="1"/>
  <c r="B448" i="6"/>
  <c r="A449" i="6"/>
  <c r="B449" i="6"/>
  <c r="A450" i="6"/>
  <c r="B450" i="6"/>
  <c r="A451" i="6"/>
  <c r="B451" i="6"/>
  <c r="A452" i="6"/>
  <c r="C452" i="6" s="1"/>
  <c r="B452" i="6"/>
  <c r="A453" i="6"/>
  <c r="B453" i="6"/>
  <c r="A454" i="6"/>
  <c r="B454" i="6"/>
  <c r="A455" i="6"/>
  <c r="B455" i="6"/>
  <c r="A456" i="6"/>
  <c r="B456" i="6"/>
  <c r="A457" i="6"/>
  <c r="B457" i="6"/>
  <c r="A458" i="6"/>
  <c r="B458" i="6"/>
  <c r="A459" i="6"/>
  <c r="B459" i="6"/>
  <c r="A460" i="6"/>
  <c r="C460" i="6" s="1"/>
  <c r="B460" i="6"/>
  <c r="A461" i="6"/>
  <c r="B461" i="6"/>
  <c r="A462" i="6"/>
  <c r="B462" i="6"/>
  <c r="A463" i="6"/>
  <c r="B463" i="6"/>
  <c r="A464" i="6"/>
  <c r="B464" i="6"/>
  <c r="A465" i="6"/>
  <c r="B465" i="6"/>
  <c r="A466" i="6"/>
  <c r="B466" i="6"/>
  <c r="A467" i="6"/>
  <c r="B467" i="6"/>
  <c r="B1" i="6"/>
  <c r="A1" i="4"/>
  <c r="A1" i="2" s="1"/>
  <c r="H23" i="3"/>
  <c r="H27" i="3" s="1"/>
  <c r="H32" i="3" s="1"/>
  <c r="B6" i="4" a="1"/>
  <c r="B11" i="4" a="1"/>
  <c r="B11" i="4" l="1"/>
  <c r="B6" i="4"/>
  <c r="A1" i="11"/>
  <c r="A1" i="10"/>
  <c r="A1" i="12"/>
  <c r="G52" i="9"/>
  <c r="A1" i="9"/>
  <c r="E277" i="6"/>
  <c r="E229" i="6"/>
  <c r="E201" i="6"/>
  <c r="A1" i="8"/>
  <c r="F25" i="8"/>
  <c r="G25" i="8" s="1"/>
  <c r="E354" i="6"/>
  <c r="E246" i="6"/>
  <c r="E206" i="6"/>
  <c r="E202" i="6"/>
  <c r="E57" i="6"/>
  <c r="E53" i="6"/>
  <c r="E49" i="6"/>
  <c r="E45" i="6"/>
  <c r="E41" i="6"/>
  <c r="E37" i="6"/>
  <c r="E33" i="6"/>
  <c r="E29" i="6"/>
  <c r="E25" i="6"/>
  <c r="E21" i="6"/>
  <c r="E17" i="6"/>
  <c r="E13" i="6"/>
  <c r="E9" i="6"/>
  <c r="E5" i="6"/>
  <c r="C41" i="6"/>
  <c r="C25" i="6"/>
  <c r="C9" i="6"/>
  <c r="E64" i="6"/>
  <c r="E467" i="6"/>
  <c r="E463" i="6"/>
  <c r="E455" i="6"/>
  <c r="E415" i="6"/>
  <c r="E399" i="6"/>
  <c r="E395" i="6"/>
  <c r="E391" i="6"/>
  <c r="E363" i="6"/>
  <c r="E355" i="6"/>
  <c r="C2" i="6"/>
  <c r="C49" i="6"/>
  <c r="C33" i="6"/>
  <c r="C17" i="6"/>
  <c r="E450" i="6"/>
  <c r="C450" i="6"/>
  <c r="E430" i="6"/>
  <c r="C430" i="6"/>
  <c r="E410" i="6"/>
  <c r="C410" i="6"/>
  <c r="E390" i="6"/>
  <c r="C390" i="6"/>
  <c r="E465" i="6"/>
  <c r="C465" i="6"/>
  <c r="E445" i="6"/>
  <c r="E429" i="6"/>
  <c r="C429" i="6"/>
  <c r="E417" i="6"/>
  <c r="C417" i="6"/>
  <c r="E405" i="6"/>
  <c r="E397" i="6"/>
  <c r="C397" i="6"/>
  <c r="E385" i="6"/>
  <c r="C385" i="6"/>
  <c r="E369" i="6"/>
  <c r="C369" i="6"/>
  <c r="E357" i="6"/>
  <c r="C357" i="6"/>
  <c r="E349" i="6"/>
  <c r="C349" i="6"/>
  <c r="E341" i="6"/>
  <c r="C341" i="6"/>
  <c r="E454" i="6"/>
  <c r="C454" i="6"/>
  <c r="E442" i="6"/>
  <c r="C442" i="6"/>
  <c r="E422" i="6"/>
  <c r="C422" i="6"/>
  <c r="E402" i="6"/>
  <c r="C402" i="6"/>
  <c r="E382" i="6"/>
  <c r="C382" i="6"/>
  <c r="E366" i="6"/>
  <c r="E346" i="6"/>
  <c r="C346" i="6"/>
  <c r="E457" i="6"/>
  <c r="C457" i="6"/>
  <c r="E453" i="6"/>
  <c r="C453" i="6"/>
  <c r="E441" i="6"/>
  <c r="C441" i="6"/>
  <c r="E433" i="6"/>
  <c r="C433" i="6"/>
  <c r="E421" i="6"/>
  <c r="C421" i="6"/>
  <c r="E409" i="6"/>
  <c r="C409" i="6"/>
  <c r="E393" i="6"/>
  <c r="E381" i="6"/>
  <c r="C381" i="6"/>
  <c r="E373" i="6"/>
  <c r="C373" i="6"/>
  <c r="E365" i="6"/>
  <c r="E353" i="6"/>
  <c r="C353" i="6"/>
  <c r="E345" i="6"/>
  <c r="C345" i="6"/>
  <c r="E337" i="6"/>
  <c r="C337" i="6"/>
  <c r="E466" i="6"/>
  <c r="C466" i="6"/>
  <c r="E446" i="6"/>
  <c r="E426" i="6"/>
  <c r="C426" i="6"/>
  <c r="E406" i="6"/>
  <c r="E386" i="6"/>
  <c r="C386" i="6"/>
  <c r="E370" i="6"/>
  <c r="C370" i="6"/>
  <c r="E350" i="6"/>
  <c r="C350" i="6"/>
  <c r="E461" i="6"/>
  <c r="C461" i="6"/>
  <c r="E449" i="6"/>
  <c r="C449" i="6"/>
  <c r="E437" i="6"/>
  <c r="C437" i="6"/>
  <c r="E425" i="6"/>
  <c r="C425" i="6"/>
  <c r="E413" i="6"/>
  <c r="C413" i="6"/>
  <c r="E401" i="6"/>
  <c r="C401" i="6"/>
  <c r="E389" i="6"/>
  <c r="C389" i="6"/>
  <c r="E377" i="6"/>
  <c r="C377" i="6"/>
  <c r="E361" i="6"/>
  <c r="C361" i="6"/>
  <c r="E462" i="6"/>
  <c r="C462" i="6"/>
  <c r="E438" i="6"/>
  <c r="C438" i="6"/>
  <c r="E418" i="6"/>
  <c r="C418" i="6"/>
  <c r="E398" i="6"/>
  <c r="C398" i="6"/>
  <c r="E374" i="6"/>
  <c r="C374" i="6"/>
  <c r="E358" i="6"/>
  <c r="C358" i="6"/>
  <c r="E338" i="6"/>
  <c r="C338" i="6"/>
  <c r="E447" i="6"/>
  <c r="C447" i="6"/>
  <c r="E439" i="6"/>
  <c r="C439" i="6"/>
  <c r="E431" i="6"/>
  <c r="C431" i="6"/>
  <c r="E423" i="6"/>
  <c r="C423" i="6"/>
  <c r="E419" i="6"/>
  <c r="C419" i="6"/>
  <c r="E411" i="6"/>
  <c r="C411" i="6"/>
  <c r="E407" i="6"/>
  <c r="C407" i="6"/>
  <c r="E403" i="6"/>
  <c r="C403" i="6"/>
  <c r="E387" i="6"/>
  <c r="C387" i="6"/>
  <c r="E379" i="6"/>
  <c r="C379" i="6"/>
  <c r="E371" i="6"/>
  <c r="E367" i="6"/>
  <c r="C367" i="6"/>
  <c r="E347" i="6"/>
  <c r="C347" i="6"/>
  <c r="E339" i="6"/>
  <c r="C339" i="6"/>
  <c r="E458" i="6"/>
  <c r="C458" i="6"/>
  <c r="E434" i="6"/>
  <c r="C434" i="6"/>
  <c r="E414" i="6"/>
  <c r="E394" i="6"/>
  <c r="C394" i="6"/>
  <c r="E378" i="6"/>
  <c r="C378" i="6"/>
  <c r="E362" i="6"/>
  <c r="C362" i="6"/>
  <c r="E342" i="6"/>
  <c r="C342" i="6"/>
  <c r="E459" i="6"/>
  <c r="E451" i="6"/>
  <c r="C451" i="6"/>
  <c r="E443" i="6"/>
  <c r="C443" i="6"/>
  <c r="E435" i="6"/>
  <c r="C435" i="6"/>
  <c r="E427" i="6"/>
  <c r="C427" i="6"/>
  <c r="E383" i="6"/>
  <c r="C383" i="6"/>
  <c r="E375" i="6"/>
  <c r="C375" i="6"/>
  <c r="E359" i="6"/>
  <c r="C359" i="6"/>
  <c r="E351" i="6"/>
  <c r="C351" i="6"/>
  <c r="E343" i="6"/>
  <c r="C343" i="6"/>
  <c r="E334" i="6"/>
  <c r="C334" i="6"/>
  <c r="E330" i="6"/>
  <c r="C330" i="6"/>
  <c r="E326" i="6"/>
  <c r="C326" i="6"/>
  <c r="E322" i="6"/>
  <c r="C322" i="6"/>
  <c r="E318" i="6"/>
  <c r="C318" i="6"/>
  <c r="E314" i="6"/>
  <c r="C314" i="6"/>
  <c r="E310" i="6"/>
  <c r="C310" i="6"/>
  <c r="E306" i="6"/>
  <c r="E302" i="6"/>
  <c r="E298" i="6"/>
  <c r="C298" i="6"/>
  <c r="E294" i="6"/>
  <c r="C294" i="6"/>
  <c r="E290" i="6"/>
  <c r="C290" i="6"/>
  <c r="E286" i="6"/>
  <c r="E282" i="6"/>
  <c r="E278" i="6"/>
  <c r="E274" i="6"/>
  <c r="C274" i="6"/>
  <c r="E270" i="6"/>
  <c r="E266" i="6"/>
  <c r="E262" i="6"/>
  <c r="C262" i="6"/>
  <c r="E258" i="6"/>
  <c r="C258" i="6"/>
  <c r="E254" i="6"/>
  <c r="C254" i="6"/>
  <c r="E250" i="6"/>
  <c r="C250" i="6"/>
  <c r="E242" i="6"/>
  <c r="C242" i="6"/>
  <c r="E238" i="6"/>
  <c r="C238" i="6"/>
  <c r="E234" i="6"/>
  <c r="C234" i="6"/>
  <c r="E230" i="6"/>
  <c r="E226" i="6"/>
  <c r="C226" i="6"/>
  <c r="E222" i="6"/>
  <c r="C222" i="6"/>
  <c r="E218" i="6"/>
  <c r="C218" i="6"/>
  <c r="E214" i="6"/>
  <c r="C214" i="6"/>
  <c r="E210" i="6"/>
  <c r="C210" i="6"/>
  <c r="E198" i="6"/>
  <c r="E194" i="6"/>
  <c r="E190" i="6"/>
  <c r="E186" i="6"/>
  <c r="C186" i="6"/>
  <c r="E182" i="6"/>
  <c r="C182" i="6"/>
  <c r="E178" i="6"/>
  <c r="C178" i="6"/>
  <c r="E174" i="6"/>
  <c r="C174" i="6"/>
  <c r="E170" i="6"/>
  <c r="C170" i="6"/>
  <c r="E166" i="6"/>
  <c r="C166" i="6"/>
  <c r="E162" i="6"/>
  <c r="C162" i="6"/>
  <c r="E158" i="6"/>
  <c r="C158" i="6"/>
  <c r="E154" i="6"/>
  <c r="C154" i="6"/>
  <c r="E150" i="6"/>
  <c r="C150" i="6"/>
  <c r="E146" i="6"/>
  <c r="C146" i="6"/>
  <c r="E142" i="6"/>
  <c r="C142" i="6"/>
  <c r="E138" i="6"/>
  <c r="C138" i="6"/>
  <c r="E134" i="6"/>
  <c r="C134" i="6"/>
  <c r="E130" i="6"/>
  <c r="C130" i="6"/>
  <c r="E126" i="6"/>
  <c r="C126" i="6"/>
  <c r="E122" i="6"/>
  <c r="C122" i="6"/>
  <c r="E118" i="6"/>
  <c r="C118" i="6"/>
  <c r="E114" i="6"/>
  <c r="C114" i="6"/>
  <c r="E110" i="6"/>
  <c r="C110" i="6"/>
  <c r="E106" i="6"/>
  <c r="C106" i="6"/>
  <c r="E102" i="6"/>
  <c r="C102" i="6"/>
  <c r="E98" i="6"/>
  <c r="C98" i="6"/>
  <c r="E94" i="6"/>
  <c r="C94" i="6"/>
  <c r="E90" i="6"/>
  <c r="C90" i="6"/>
  <c r="E86" i="6"/>
  <c r="C86" i="6"/>
  <c r="E82" i="6"/>
  <c r="C82" i="6"/>
  <c r="E78" i="6"/>
  <c r="C78" i="6"/>
  <c r="E333" i="6"/>
  <c r="C333" i="6"/>
  <c r="E329" i="6"/>
  <c r="C329" i="6"/>
  <c r="E325" i="6"/>
  <c r="C325" i="6"/>
  <c r="E321" i="6"/>
  <c r="C321" i="6"/>
  <c r="E317" i="6"/>
  <c r="E313" i="6"/>
  <c r="C313" i="6"/>
  <c r="E309" i="6"/>
  <c r="C309" i="6"/>
  <c r="E305" i="6"/>
  <c r="E301" i="6"/>
  <c r="E297" i="6"/>
  <c r="E293" i="6"/>
  <c r="C293" i="6"/>
  <c r="E289" i="6"/>
  <c r="C289" i="6"/>
  <c r="E285" i="6"/>
  <c r="C285" i="6"/>
  <c r="E281" i="6"/>
  <c r="C281" i="6"/>
  <c r="E273" i="6"/>
  <c r="E269" i="6"/>
  <c r="E265" i="6"/>
  <c r="E261" i="6"/>
  <c r="E257" i="6"/>
  <c r="C257" i="6"/>
  <c r="E253" i="6"/>
  <c r="C253" i="6"/>
  <c r="E249" i="6"/>
  <c r="E245" i="6"/>
  <c r="C245" i="6"/>
  <c r="E241" i="6"/>
  <c r="C241" i="6"/>
  <c r="E237" i="6"/>
  <c r="C237" i="6"/>
  <c r="E233" i="6"/>
  <c r="E225" i="6"/>
  <c r="C225" i="6"/>
  <c r="E221" i="6"/>
  <c r="C221" i="6"/>
  <c r="E217" i="6"/>
  <c r="C217" i="6"/>
  <c r="E213" i="6"/>
  <c r="C213" i="6"/>
  <c r="E209" i="6"/>
  <c r="C209" i="6"/>
  <c r="E205" i="6"/>
  <c r="E197" i="6"/>
  <c r="C197" i="6"/>
  <c r="E193" i="6"/>
  <c r="E189" i="6"/>
  <c r="C189" i="6"/>
  <c r="E185" i="6"/>
  <c r="C185" i="6"/>
  <c r="E181" i="6"/>
  <c r="C181" i="6"/>
  <c r="E177" i="6"/>
  <c r="C177" i="6"/>
  <c r="E173" i="6"/>
  <c r="C173" i="6"/>
  <c r="E169" i="6"/>
  <c r="C169" i="6"/>
  <c r="E165" i="6"/>
  <c r="C165" i="6"/>
  <c r="E161" i="6"/>
  <c r="C161" i="6"/>
  <c r="E157" i="6"/>
  <c r="C157" i="6"/>
  <c r="E153" i="6"/>
  <c r="E149" i="6"/>
  <c r="C149" i="6"/>
  <c r="E145" i="6"/>
  <c r="C145" i="6"/>
  <c r="E141" i="6"/>
  <c r="E137" i="6"/>
  <c r="C137" i="6"/>
  <c r="E133" i="6"/>
  <c r="C133" i="6"/>
  <c r="E129" i="6"/>
  <c r="C129" i="6"/>
  <c r="E125" i="6"/>
  <c r="C125" i="6"/>
  <c r="E121" i="6"/>
  <c r="C121" i="6"/>
  <c r="E117" i="6"/>
  <c r="C117" i="6"/>
  <c r="E113" i="6"/>
  <c r="C113" i="6"/>
  <c r="E109" i="6"/>
  <c r="C109" i="6"/>
  <c r="E105" i="6"/>
  <c r="C105" i="6"/>
  <c r="E101" i="6"/>
  <c r="C101" i="6"/>
  <c r="E97" i="6"/>
  <c r="C97" i="6"/>
  <c r="E93" i="6"/>
  <c r="C93" i="6"/>
  <c r="E89" i="6"/>
  <c r="C89" i="6"/>
  <c r="E85" i="6"/>
  <c r="C85" i="6"/>
  <c r="E81" i="6"/>
  <c r="C81" i="6"/>
  <c r="E77" i="6"/>
  <c r="C77" i="6"/>
  <c r="E73" i="6"/>
  <c r="C73" i="6"/>
  <c r="E69" i="6"/>
  <c r="C69" i="6"/>
  <c r="E65" i="6"/>
  <c r="E61" i="6"/>
  <c r="C61" i="6"/>
  <c r="E1" i="6"/>
  <c r="H1" i="6" s="1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8" i="6"/>
  <c r="E4" i="6"/>
  <c r="C57" i="6"/>
  <c r="E74" i="6"/>
  <c r="E70" i="6"/>
  <c r="E66" i="6"/>
  <c r="E58" i="6"/>
  <c r="E54" i="6"/>
  <c r="E50" i="6"/>
  <c r="E46" i="6"/>
  <c r="E42" i="6"/>
  <c r="E38" i="6"/>
  <c r="E34" i="6"/>
  <c r="E30" i="6"/>
  <c r="E26" i="6"/>
  <c r="E22" i="6"/>
  <c r="E18" i="6"/>
  <c r="E14" i="6"/>
  <c r="E10" i="6"/>
  <c r="E6" i="6"/>
  <c r="E2" i="6"/>
  <c r="C70" i="6"/>
  <c r="C54" i="6"/>
  <c r="C46" i="6"/>
  <c r="C38" i="6"/>
  <c r="C30" i="6"/>
  <c r="C22" i="6"/>
  <c r="C14" i="6"/>
  <c r="C6" i="6"/>
  <c r="C53" i="6"/>
  <c r="C45" i="6"/>
  <c r="C37" i="6"/>
  <c r="C29" i="6"/>
  <c r="C21" i="6"/>
  <c r="C13" i="6"/>
  <c r="C5" i="6"/>
  <c r="C151" i="6"/>
  <c r="E364" i="6"/>
  <c r="E344" i="6"/>
  <c r="E324" i="6"/>
  <c r="E308" i="6"/>
  <c r="E292" i="6"/>
  <c r="E272" i="6"/>
  <c r="E256" i="6"/>
  <c r="E232" i="6"/>
  <c r="E216" i="6"/>
  <c r="E200" i="6"/>
  <c r="E180" i="6"/>
  <c r="E168" i="6"/>
  <c r="E156" i="6"/>
  <c r="E136" i="6"/>
  <c r="E120" i="6"/>
  <c r="E104" i="6"/>
  <c r="E100" i="6"/>
  <c r="E88" i="6"/>
  <c r="E76" i="6"/>
  <c r="E352" i="6"/>
  <c r="E332" i="6"/>
  <c r="E312" i="6"/>
  <c r="E296" i="6"/>
  <c r="E280" i="6"/>
  <c r="E264" i="6"/>
  <c r="E244" i="6"/>
  <c r="E224" i="6"/>
  <c r="E208" i="6"/>
  <c r="E184" i="6"/>
  <c r="E152" i="6"/>
  <c r="E140" i="6"/>
  <c r="E128" i="6"/>
  <c r="E116" i="6"/>
  <c r="E108" i="6"/>
  <c r="E96" i="6"/>
  <c r="E72" i="6"/>
  <c r="E340" i="6"/>
  <c r="E316" i="6"/>
  <c r="E284" i="6"/>
  <c r="E268" i="6"/>
  <c r="E248" i="6"/>
  <c r="E240" i="6"/>
  <c r="E220" i="6"/>
  <c r="E204" i="6"/>
  <c r="E192" i="6"/>
  <c r="E176" i="6"/>
  <c r="E164" i="6"/>
  <c r="E148" i="6"/>
  <c r="E132" i="6"/>
  <c r="E124" i="6"/>
  <c r="E112" i="6"/>
  <c r="E92" i="6"/>
  <c r="E68" i="6"/>
  <c r="E62" i="6"/>
  <c r="E348" i="6"/>
  <c r="E328" i="6"/>
  <c r="E300" i="6"/>
  <c r="E276" i="6"/>
  <c r="E252" i="6"/>
  <c r="E236" i="6"/>
  <c r="E212" i="6"/>
  <c r="E196" i="6"/>
  <c r="E172" i="6"/>
  <c r="E144" i="6"/>
  <c r="E80" i="6"/>
  <c r="E336" i="6"/>
  <c r="E320" i="6"/>
  <c r="E304" i="6"/>
  <c r="E288" i="6"/>
  <c r="E260" i="6"/>
  <c r="E228" i="6"/>
  <c r="E188" i="6"/>
  <c r="E160" i="6"/>
  <c r="E84" i="6"/>
  <c r="E335" i="6"/>
  <c r="E331" i="6"/>
  <c r="E327" i="6"/>
  <c r="E323" i="6"/>
  <c r="E319" i="6"/>
  <c r="E315" i="6"/>
  <c r="E311" i="6"/>
  <c r="E307" i="6"/>
  <c r="E303" i="6"/>
  <c r="E299" i="6"/>
  <c r="E295" i="6"/>
  <c r="E291" i="6"/>
  <c r="E287" i="6"/>
  <c r="E283" i="6"/>
  <c r="E279" i="6"/>
  <c r="E275" i="6"/>
  <c r="E271" i="6"/>
  <c r="E267" i="6"/>
  <c r="E263" i="6"/>
  <c r="E259" i="6"/>
  <c r="E255" i="6"/>
  <c r="E251" i="6"/>
  <c r="E247" i="6"/>
  <c r="E243" i="6"/>
  <c r="E239" i="6"/>
  <c r="E235" i="6"/>
  <c r="E231" i="6"/>
  <c r="E227" i="6"/>
  <c r="E223" i="6"/>
  <c r="E219" i="6"/>
  <c r="E215" i="6"/>
  <c r="E211" i="6"/>
  <c r="E207" i="6"/>
  <c r="E203" i="6"/>
  <c r="E199" i="6"/>
  <c r="E195" i="6"/>
  <c r="E191" i="6"/>
  <c r="E187" i="6"/>
  <c r="E183" i="6"/>
  <c r="E179" i="6"/>
  <c r="E175" i="6"/>
  <c r="E171" i="6"/>
  <c r="E167" i="6"/>
  <c r="E163" i="6"/>
  <c r="E159" i="6"/>
  <c r="E155" i="6"/>
  <c r="E151" i="6"/>
  <c r="E147" i="6"/>
  <c r="E143" i="6"/>
  <c r="E139" i="6"/>
  <c r="E135" i="6"/>
  <c r="E131" i="6"/>
  <c r="E127" i="6"/>
  <c r="E123" i="6"/>
  <c r="E119" i="6"/>
  <c r="E115" i="6"/>
  <c r="E111" i="6"/>
  <c r="E107" i="6"/>
  <c r="E103" i="6"/>
  <c r="E99" i="6"/>
  <c r="E95" i="6"/>
  <c r="E91" i="6"/>
  <c r="E87" i="6"/>
  <c r="E83" i="6"/>
  <c r="E79" i="6"/>
  <c r="E75" i="6"/>
  <c r="E71" i="6"/>
  <c r="E67" i="6"/>
  <c r="E63" i="6"/>
  <c r="E59" i="6"/>
  <c r="E55" i="6"/>
  <c r="E51" i="6"/>
  <c r="E47" i="6"/>
  <c r="E43" i="6"/>
  <c r="E39" i="6"/>
  <c r="E35" i="6"/>
  <c r="E31" i="6"/>
  <c r="E27" i="6"/>
  <c r="E23" i="6"/>
  <c r="E19" i="6"/>
  <c r="E15" i="6"/>
  <c r="E11" i="6"/>
  <c r="E7" i="6"/>
  <c r="E3" i="6"/>
  <c r="E448" i="6"/>
  <c r="E416" i="6"/>
  <c r="E404" i="6"/>
  <c r="E464" i="6"/>
  <c r="E452" i="6"/>
  <c r="E436" i="6"/>
  <c r="E420" i="6"/>
  <c r="E392" i="6"/>
  <c r="E460" i="6"/>
  <c r="E444" i="6"/>
  <c r="E432" i="6"/>
  <c r="E424" i="6"/>
  <c r="E408" i="6"/>
  <c r="E396" i="6"/>
  <c r="E384" i="6"/>
  <c r="E376" i="6"/>
  <c r="E368" i="6"/>
  <c r="E360" i="6"/>
  <c r="E456" i="6"/>
  <c r="E440" i="6"/>
  <c r="E428" i="6"/>
  <c r="E412" i="6"/>
  <c r="E400" i="6"/>
  <c r="E388" i="6"/>
  <c r="E380" i="6"/>
  <c r="E372" i="6"/>
  <c r="E356" i="6"/>
  <c r="C11" i="4" a="1"/>
  <c r="C11" i="4" l="1"/>
  <c r="H52" i="9"/>
  <c r="H5" i="9"/>
  <c r="C63" i="6"/>
  <c r="C91" i="6"/>
  <c r="H2" i="6"/>
  <c r="C152" i="6"/>
  <c r="C6" i="4" a="1"/>
  <c r="C6" i="4" l="1"/>
  <c r="C64" i="6"/>
  <c r="C92" i="6"/>
  <c r="C65" i="6" l="1"/>
  <c r="C99" i="6"/>
  <c r="C100" i="6" l="1"/>
  <c r="C153" i="6" s="1"/>
  <c r="C132" i="6" l="1"/>
  <c r="H3" i="6" s="1"/>
  <c r="C141" i="6" l="1"/>
  <c r="C188" i="6" s="1"/>
  <c r="H5" i="6" s="1"/>
  <c r="H4" i="6" l="1"/>
  <c r="C190" i="6"/>
  <c r="C191" i="6" s="1"/>
  <c r="C193" i="6" l="1"/>
  <c r="C194" i="6" s="1"/>
  <c r="H6" i="6"/>
  <c r="C199" i="6"/>
  <c r="H7" i="6" l="1"/>
  <c r="C195" i="6"/>
  <c r="C196" i="6" s="1"/>
  <c r="C198" i="6" s="1"/>
  <c r="C200" i="6" s="1"/>
  <c r="C201" i="6" s="1"/>
  <c r="C202" i="6" s="1"/>
  <c r="C203" i="6" s="1"/>
  <c r="C205" i="6" s="1"/>
  <c r="C206" i="6" l="1"/>
  <c r="C207" i="6" s="1"/>
  <c r="C215" i="6" s="1"/>
  <c r="C229" i="6" s="1"/>
  <c r="C230" i="6" l="1"/>
  <c r="C233" i="6" l="1"/>
  <c r="C235" i="6" s="1"/>
  <c r="H8" i="6"/>
  <c r="H16" i="6"/>
  <c r="H19" i="6"/>
  <c r="H9" i="6"/>
  <c r="H10" i="6"/>
  <c r="H11" i="6"/>
  <c r="H17" i="6"/>
  <c r="H15" i="6"/>
  <c r="H18" i="6"/>
  <c r="H14" i="6"/>
  <c r="H12" i="6"/>
  <c r="H13" i="6"/>
  <c r="C239" i="6" l="1"/>
  <c r="C243" i="6" s="1"/>
  <c r="C246" i="6" s="1"/>
  <c r="C247" i="6" s="1"/>
  <c r="C249" i="6" s="1"/>
  <c r="C256" i="6" s="1"/>
  <c r="C259" i="6" s="1"/>
  <c r="H21" i="6" l="1"/>
  <c r="H20" i="6"/>
  <c r="H22" i="6"/>
  <c r="H23" i="6"/>
  <c r="C260" i="6"/>
  <c r="H24" i="6" s="1"/>
  <c r="C261" i="6" l="1"/>
  <c r="C263" i="6" s="1"/>
  <c r="C265" i="6" l="1"/>
  <c r="C266" i="6" l="1"/>
  <c r="C267" i="6" s="1"/>
  <c r="C317" i="6"/>
  <c r="C365" i="6"/>
  <c r="C366" i="6"/>
  <c r="C268" i="6" l="1"/>
  <c r="C269" i="6" s="1"/>
  <c r="H25" i="6"/>
  <c r="C327" i="6"/>
  <c r="C270" i="6" l="1"/>
  <c r="C328" i="6"/>
  <c r="C271" i="6" l="1"/>
  <c r="C272" i="6" s="1"/>
  <c r="C273" i="6" s="1"/>
  <c r="C277" i="6" l="1"/>
  <c r="C278" i="6" l="1"/>
  <c r="C279" i="6" l="1"/>
  <c r="C295" i="6"/>
  <c r="C280" i="6" l="1"/>
  <c r="C282" i="6" l="1"/>
  <c r="C283" i="6" l="1"/>
  <c r="C284" i="6" s="1"/>
  <c r="C286" i="6" s="1"/>
  <c r="C287" i="6" s="1"/>
  <c r="C297" i="6" l="1"/>
  <c r="C299" i="6" s="1"/>
  <c r="H28" i="6" s="1"/>
  <c r="C300" i="6" l="1"/>
  <c r="C301" i="6" l="1"/>
  <c r="C302" i="6" l="1"/>
  <c r="C396" i="6"/>
  <c r="C303" i="6" l="1"/>
  <c r="C304" i="6" l="1"/>
  <c r="C305" i="6" l="1"/>
  <c r="C406" i="6"/>
  <c r="C306" i="6" l="1"/>
  <c r="C307" i="6" l="1"/>
  <c r="H27" i="6"/>
  <c r="H26" i="6"/>
  <c r="C308" i="6" l="1"/>
  <c r="C316" i="6" l="1"/>
  <c r="H29" i="6"/>
  <c r="C331" i="6" l="1"/>
  <c r="H30" i="6" s="1"/>
  <c r="C354" i="6" l="1"/>
  <c r="H31" i="6"/>
  <c r="C355" i="6" l="1"/>
  <c r="C356" i="6"/>
  <c r="C363" i="6" s="1"/>
  <c r="C368" i="6" s="1"/>
  <c r="C371" i="6" s="1"/>
  <c r="C388" i="6" s="1"/>
  <c r="C391" i="6" s="1"/>
  <c r="C393" i="6" s="1"/>
  <c r="C395" i="6" s="1"/>
  <c r="H35" i="6" l="1"/>
  <c r="C399" i="6"/>
  <c r="C405" i="6" s="1"/>
  <c r="C414" i="6" s="1"/>
  <c r="H37" i="6"/>
  <c r="H32" i="6"/>
  <c r="H38" i="6"/>
  <c r="H36" i="6"/>
  <c r="H34" i="6"/>
  <c r="H39" i="6" l="1"/>
  <c r="C415" i="6"/>
  <c r="C416" i="6" s="1"/>
  <c r="C445" i="6" s="1"/>
  <c r="C446" i="6" s="1"/>
  <c r="H42" i="6"/>
  <c r="H40" i="6"/>
  <c r="H41" i="6"/>
  <c r="H43" i="6" l="1"/>
  <c r="C455" i="6"/>
  <c r="H33" i="6"/>
  <c r="C456" i="6" l="1"/>
  <c r="H44" i="6"/>
  <c r="H45" i="6"/>
  <c r="C459" i="6" l="1"/>
  <c r="C463" i="6" l="1"/>
  <c r="H46" i="6"/>
  <c r="C464" i="6" l="1"/>
  <c r="H47" i="6"/>
  <c r="C467" i="6" l="1"/>
  <c r="H97" i="6"/>
  <c r="H96" i="6"/>
  <c r="H62" i="6"/>
  <c r="H71" i="6"/>
  <c r="H70" i="6"/>
  <c r="H100" i="6"/>
  <c r="H58" i="6"/>
  <c r="H51" i="6"/>
  <c r="H78" i="6"/>
  <c r="H54" i="6"/>
  <c r="H94" i="6"/>
  <c r="H66" i="6"/>
  <c r="H83" i="6"/>
  <c r="H69" i="6"/>
  <c r="H68" i="6"/>
  <c r="H72" i="6"/>
  <c r="H82" i="6"/>
  <c r="H88" i="6"/>
  <c r="H89" i="6"/>
  <c r="H79" i="6"/>
  <c r="H76" i="6"/>
  <c r="H93" i="6" l="1"/>
  <c r="H77" i="6"/>
  <c r="H55" i="6"/>
  <c r="H53" i="6"/>
  <c r="H81" i="6"/>
  <c r="H99" i="6"/>
  <c r="H56" i="6"/>
  <c r="H87" i="6"/>
  <c r="H63" i="6"/>
  <c r="H90" i="6"/>
  <c r="H57" i="6"/>
  <c r="H75" i="6"/>
  <c r="H65" i="6"/>
  <c r="H67" i="6"/>
  <c r="H60" i="6"/>
  <c r="H80" i="6"/>
  <c r="H74" i="6"/>
  <c r="H49" i="6"/>
  <c r="H92" i="6"/>
  <c r="H84" i="6"/>
  <c r="H73" i="6"/>
  <c r="H64" i="6"/>
  <c r="H91" i="6"/>
  <c r="H52" i="6"/>
  <c r="H95" i="6"/>
  <c r="H48" i="6"/>
  <c r="H85" i="6"/>
  <c r="H50" i="6"/>
  <c r="H98" i="6"/>
  <c r="H61" i="6"/>
  <c r="H86" i="6"/>
  <c r="H5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<sst xmlns="http://schemas.openxmlformats.org/spreadsheetml/2006/main" count="9253" uniqueCount="2912">
  <si>
    <t>Date</t>
  </si>
  <si>
    <t>G/L Description</t>
  </si>
  <si>
    <t>Amount</t>
  </si>
  <si>
    <t>Reconciled?</t>
  </si>
  <si>
    <t>Notes</t>
  </si>
  <si>
    <t>Pre-Paid Insurance</t>
  </si>
  <si>
    <t>Pre-Paid Expenses - Other</t>
  </si>
  <si>
    <t>Real Estate Tax Accrual</t>
  </si>
  <si>
    <t>Sales Tax Collected</t>
  </si>
  <si>
    <t>Interest Accrual</t>
  </si>
  <si>
    <t>Expense Accrual</t>
  </si>
  <si>
    <t>Completed by:</t>
  </si>
  <si>
    <t>RM</t>
  </si>
  <si>
    <t>Date Completed:</t>
  </si>
  <si>
    <t>1350-0001  Pre-Paid Insurance</t>
  </si>
  <si>
    <t>Account Balance</t>
  </si>
  <si>
    <t>Period</t>
  </si>
  <si>
    <t>PFG Insurance payment</t>
  </si>
  <si>
    <t>Expense Distribution</t>
  </si>
  <si>
    <t>Left to Distribute</t>
  </si>
  <si>
    <t>Ammortization miscalculated</t>
  </si>
  <si>
    <t>July Expense</t>
  </si>
  <si>
    <t>Variance</t>
  </si>
  <si>
    <t>1350-9000  Pre-Paid Expenses - Other</t>
  </si>
  <si>
    <t>2305-0000  Real Estate Tax Accrual</t>
  </si>
  <si>
    <t>Opening Entry</t>
  </si>
  <si>
    <t>1/1/2022 to 10/20/2022</t>
  </si>
  <si>
    <t>Monthly Tax Accrual</t>
  </si>
  <si>
    <t>Tax Payment</t>
  </si>
  <si>
    <t>2022 1st Installment Pin# 45-16-05-487-002.000-042</t>
  </si>
  <si>
    <t>2022 2nd Installment Pin# 45-16-05-487-002.000-042</t>
  </si>
  <si>
    <t>(Over)/Under Accrual</t>
  </si>
  <si>
    <t> 2023 1st Installment Payment of Real Property Tax with PIN 45-16-05-487-002.000-042</t>
  </si>
  <si>
    <t xml:space="preserve"> </t>
  </si>
  <si>
    <t>RE tax payment from escrow</t>
  </si>
  <si>
    <t>2310-0000  Sales Tax Collected</t>
  </si>
  <si>
    <t>11.2023 cc receipts</t>
  </si>
  <si>
    <t>02.2024 cc receipts</t>
  </si>
  <si>
    <t>03.2024 cc receipts</t>
  </si>
  <si>
    <t>04.2024 cc receipts</t>
  </si>
  <si>
    <t>05.2024 cc receipts</t>
  </si>
  <si>
    <t>06.2024 cc receipts</t>
  </si>
  <si>
    <t>07.2024 cc receipts</t>
  </si>
  <si>
    <t>08.2024 cc receipts</t>
  </si>
  <si>
    <t>09.2024 cc receipts</t>
  </si>
  <si>
    <t>10.2024 cc receipts</t>
  </si>
  <si>
    <t>11.2024 cc receipts</t>
  </si>
  <si>
    <t>12.2024 cc receipts</t>
  </si>
  <si>
    <t>01.2025 cc receipts</t>
  </si>
  <si>
    <t>02.2025 cc receipts</t>
  </si>
  <si>
    <t>03.2025 cc receipts</t>
  </si>
  <si>
    <t>04.2025 cc receipts</t>
  </si>
  <si>
    <t>05.2025 cc receipts</t>
  </si>
  <si>
    <t>06.2025 cc receipts</t>
  </si>
  <si>
    <t>07.2025 cc receipts</t>
  </si>
  <si>
    <t>08.2025 cc receipts</t>
  </si>
  <si>
    <t>09.2025 cc receipts</t>
  </si>
  <si>
    <t>2609-0000  Interest Accrual</t>
  </si>
  <si>
    <t> 31 days interest due on 4/2 payment</t>
  </si>
  <si>
    <t>2640-0998  Expense Accrual</t>
  </si>
  <si>
    <t>EOM Expense Accrual - Sparefoot</t>
  </si>
  <si>
    <t>Advertising</t>
  </si>
  <si>
    <t>Sparefoot accrual</t>
  </si>
  <si>
    <t>Utility accruals for November - invoices not yet received</t>
  </si>
  <si>
    <t>Answering Services</t>
  </si>
  <si>
    <t>Payment for NipsCo</t>
  </si>
  <si>
    <t>Chase Bank</t>
  </si>
  <si>
    <t>payment for Nipsco bills acct 3942190091</t>
  </si>
  <si>
    <t>payment for Nipsco bills acct 5147090005</t>
  </si>
  <si>
    <t>Acct#5147090005 09/19/2023 to 10/17/2023 - cpwest</t>
  </si>
  <si>
    <t>NipsCo charge to be expensed</t>
  </si>
  <si>
    <t>Nipsco payment to sellers old account after purchase</t>
  </si>
  <si>
    <t>Move P-77849 balance to Correct month</t>
  </si>
  <si>
    <t>Storeease - not yet invoiced</t>
  </si>
  <si>
    <t>Communication Center</t>
  </si>
  <si>
    <t>Electricity</t>
  </si>
  <si>
    <t>Utility accruals for December - invoices not yet received</t>
  </si>
  <si>
    <t>EOM Expense Accrual - Nipsco</t>
  </si>
  <si>
    <t>Update Expense per received invoice</t>
  </si>
  <si>
    <t>514-709-000-5 04.2023</t>
  </si>
  <si>
    <t>394-219-009-1 04.2023</t>
  </si>
  <si>
    <t>July EOM accruals</t>
  </si>
  <si>
    <t>NipsCo accruals for invoices not entered</t>
  </si>
  <si>
    <t>11/12/2023 - 12/11/2023 Stamp Machine Rental, CP West</t>
  </si>
  <si>
    <t>Equipment Rental</t>
  </si>
  <si>
    <t>12/12/2023 - 01/11/2024 Stamp Machine Rental, CP West</t>
  </si>
  <si>
    <t>Gas</t>
  </si>
  <si>
    <t>Gas accrual, more inline with what we may see going forward</t>
  </si>
  <si>
    <t>Duplicate accrual booked from April</t>
  </si>
  <si>
    <t>08/01-08/31/23 XPS Reputation services, CPWest</t>
  </si>
  <si>
    <t>Internet Marketing</t>
  </si>
  <si>
    <t>EST Oct Google Ads</t>
  </si>
  <si>
    <t>Google Ads - October</t>
  </si>
  <si>
    <t>Accrual_Google Ads_02.2024</t>
  </si>
  <si>
    <t>Jan Google Ads Accrual payment</t>
  </si>
  <si>
    <t>Internet Services</t>
  </si>
  <si>
    <t>adj Internet Expense and Expense Accruals</t>
  </si>
  <si>
    <t>Accrue Internet prior to invoice</t>
  </si>
  <si>
    <t>Adj accrual for received invoice</t>
  </si>
  <si>
    <t>AT&amp;T accrual</t>
  </si>
  <si>
    <t>Accrue for invoice not yet received</t>
  </si>
  <si>
    <t>Accrue 4 lawn invoices for July</t>
  </si>
  <si>
    <t>Landscaping</t>
  </si>
  <si>
    <t>Review and correspondence with Att. Kutanovski and Bouwer. Agreed order 09/2023 services - CPWEST</t>
  </si>
  <si>
    <t>Professional Consulting</t>
  </si>
  <si>
    <t>Sitelink November Accrual</t>
  </si>
  <si>
    <t>Software</t>
  </si>
  <si>
    <t>Telephone Services</t>
  </si>
  <si>
    <t>04.2023 AT&amp;T accrual</t>
  </si>
  <si>
    <t>Accrue for telephone</t>
  </si>
  <si>
    <t>Total Disposal accrual, no invoice</t>
  </si>
  <si>
    <t>Trash Disposal</t>
  </si>
  <si>
    <t>Total Disposal payment on accrued expenses</t>
  </si>
  <si>
    <t>Missing Water &amp; Sewer bills paid by CPSS</t>
  </si>
  <si>
    <t>Water and Sewer</t>
  </si>
  <si>
    <t>Water &amp; Sewer accrual</t>
  </si>
  <si>
    <t>Capital One 06/2024 - SS Crown Point West</t>
  </si>
  <si>
    <t>Capital One 10/2024 - SS Crown Point West</t>
  </si>
  <si>
    <t>10.2024 CapOne</t>
  </si>
  <si>
    <t>032025BankFeesSSofCPWest</t>
  </si>
  <si>
    <t>Bank Charges Expense</t>
  </si>
  <si>
    <t>02.2025 Orkin Accrual</t>
  </si>
  <si>
    <t>Extermination</t>
  </si>
  <si>
    <t>Orkin _ Bill received</t>
  </si>
  <si>
    <t>Sitelink 09/2025</t>
  </si>
  <si>
    <t>February payment for January Google Ads</t>
  </si>
  <si>
    <t>May payment for 04/01-15/2025 Google Ads</t>
  </si>
  <si>
    <t>May payment for 04/16-30/2025 Google Ads</t>
  </si>
  <si>
    <t>June payment for 05.13-30.2025 Google Ads</t>
  </si>
  <si>
    <t>04.2025 Google Ads</t>
  </si>
  <si>
    <t>05.13-30.2025 Google Ads</t>
  </si>
  <si>
    <t>04.01-15.2025 Google Ads</t>
  </si>
  <si>
    <t>Repay Google Ads payments processed</t>
  </si>
  <si>
    <t>05.31-06.12.2025 Google Ads</t>
  </si>
  <si>
    <t>06.2025 Google ads</t>
  </si>
  <si>
    <t>July payment for 05.31-06.12.2025 Google Ads</t>
  </si>
  <si>
    <t>July payment for 06.15-30.2025 Google Ads</t>
  </si>
  <si>
    <t>07.2025 Google Ads Payment 1 - CP West</t>
  </si>
  <si>
    <t>August payment for 07.01-15.2025 Google Ads</t>
  </si>
  <si>
    <t>August payment for 07.16-31.2025 Google Ads</t>
  </si>
  <si>
    <t>07.2025 Google Ads.2 - CP West</t>
  </si>
  <si>
    <t>08.2025 Google Ads.1 - CP West</t>
  </si>
  <si>
    <t>September payment for 08.01-15.2025 Google Ads</t>
  </si>
  <si>
    <t>September payment for 08.16-31.2025 Google Ads5</t>
  </si>
  <si>
    <t>October payment for 09.16-30.2025 Google Ads</t>
  </si>
  <si>
    <t>092025 SpareFoot Fee</t>
  </si>
  <si>
    <t>Accrued Landscaping</t>
  </si>
  <si>
    <t>Capital One 01/2025 - SS Crown Poin West</t>
  </si>
  <si>
    <t>Capital One 04/2025 - SS Crown Point West</t>
  </si>
  <si>
    <t>CapOne payment</t>
  </si>
  <si>
    <t>Capital One 05/2025 - SS Crown Point West</t>
  </si>
  <si>
    <t>CapOne payment for 05.2025 CapOne</t>
  </si>
  <si>
    <t>Capital One 06/2025 - SS Crown Point West</t>
  </si>
  <si>
    <t>CapOne payment for 06.2025 CapOne</t>
  </si>
  <si>
    <t>Capital One 07/2025 - SS CP West</t>
  </si>
  <si>
    <t>Capital One 08/2025 - SS CP West</t>
  </si>
  <si>
    <t>Capital One 07/2025 payment</t>
  </si>
  <si>
    <t>Capital One 09/2025 - CP West</t>
  </si>
  <si>
    <t>May 2025 Subscription</t>
  </si>
  <si>
    <t>StoreEase Accrual</t>
  </si>
  <si>
    <t>May 2025 Water Accrual</t>
  </si>
  <si>
    <t> Water and Sewer accrual</t>
  </si>
  <si>
    <t>Move Previous bill balance to expense accrual</t>
  </si>
  <si>
    <t>Trash Accrual</t>
  </si>
  <si>
    <t>Trash</t>
  </si>
  <si>
    <t>Total Disposal accrual - bill not yet receive</t>
  </si>
  <si>
    <t>Gas Accrual</t>
  </si>
  <si>
    <t>Chase Fees Accrual</t>
  </si>
  <si>
    <t>08.2025 Chase Analysis Fees_SSofCPWest</t>
  </si>
  <si>
    <t>Electric accrual per UW model</t>
  </si>
  <si>
    <t>Gas accrual per UW model</t>
  </si>
  <si>
    <t>Water &amp; Sewer accrual per UW model</t>
  </si>
  <si>
    <t>Accruals until invoicing is received Elec</t>
  </si>
  <si>
    <t>Accruals until invoicing is received Gas</t>
  </si>
  <si>
    <t>Accruals until invoicing is received Water/Sewer</t>
  </si>
  <si>
    <t>Duke energy payment to offset accruals</t>
  </si>
  <si>
    <t>Month end accrual_Gas</t>
  </si>
  <si>
    <t>Month end accrual_Water and Sewer</t>
  </si>
  <si>
    <t>Gas, Water and Sewer Accruals 042024</t>
  </si>
  <si>
    <t>Gas, Water and Sewer Accruals 052024</t>
  </si>
  <si>
    <t>Gas, Water and Sewer Accruals 062024</t>
  </si>
  <si>
    <t>Duke Energy Acct 910155111931 06/09/24 - 07/09/24</t>
  </si>
  <si>
    <t>Duke Energy Acct 910155120106  06/08/24 - 07/08/24</t>
  </si>
  <si>
    <t>Electricity accrual bill not yet receive</t>
  </si>
  <si>
    <t>Gas, Water and Sewer Accruals 072024</t>
  </si>
  <si>
    <t>Electricity Accrual - Bill not yet receive 082024</t>
  </si>
  <si>
    <t>Gas / Water and Sewer Accruals 082024</t>
  </si>
  <si>
    <t>SS of Crown Point West LLC (cpwest)</t>
  </si>
  <si>
    <t>Balance Sheet (With Period Change)</t>
  </si>
  <si>
    <t>Period = Jan 2025-Oct 2025</t>
  </si>
  <si>
    <t>Book = Accrual</t>
  </si>
  <si>
    <t>Balance</t>
  </si>
  <si>
    <t>Beginning</t>
  </si>
  <si>
    <t>Net</t>
  </si>
  <si>
    <t>Current Period</t>
  </si>
  <si>
    <t>Change</t>
  </si>
  <si>
    <t>1000-0000</t>
  </si>
  <si>
    <t xml:space="preserve"> ASSETS</t>
  </si>
  <si>
    <t>1100-0000</t>
  </si>
  <si>
    <t xml:space="preserve"> CASH</t>
  </si>
  <si>
    <t>1110-4947</t>
  </si>
  <si>
    <t xml:space="preserve"> Crown Point West Chase</t>
  </si>
  <si>
    <t>1110-4957</t>
  </si>
  <si>
    <t xml:space="preserve"> Crown Point West Centier Operating</t>
  </si>
  <si>
    <t>1190-0000</t>
  </si>
  <si>
    <t xml:space="preserve">  TOTAL CASH</t>
  </si>
  <si>
    <t>1200-0000</t>
  </si>
  <si>
    <t xml:space="preserve"> RESTRICTED CASH</t>
  </si>
  <si>
    <t>1200-0003</t>
  </si>
  <si>
    <t xml:space="preserve">  Escrow Reserve</t>
  </si>
  <si>
    <t>1200-0005</t>
  </si>
  <si>
    <t xml:space="preserve">  Utility Security Deposits</t>
  </si>
  <si>
    <t>1200-0006</t>
  </si>
  <si>
    <t xml:space="preserve">  Crown Point West Centier</t>
  </si>
  <si>
    <t>1200-0008</t>
  </si>
  <si>
    <t xml:space="preserve">  SS of Crown Point West Held</t>
  </si>
  <si>
    <t>1250-0000</t>
  </si>
  <si>
    <t xml:space="preserve">  TOTAL RESTRICTED CASH</t>
  </si>
  <si>
    <t>1300-0000</t>
  </si>
  <si>
    <t xml:space="preserve"> Accounts Receivable</t>
  </si>
  <si>
    <t>1350-0000</t>
  </si>
  <si>
    <t xml:space="preserve"> Pre-Paid Expenses</t>
  </si>
  <si>
    <t>1350-0001</t>
  </si>
  <si>
    <t xml:space="preserve"> Pre-Paid Insurance</t>
  </si>
  <si>
    <t>1350-9999</t>
  </si>
  <si>
    <t xml:space="preserve">  Total Pre-Paid Expenses</t>
  </si>
  <si>
    <t>1400-0000</t>
  </si>
  <si>
    <t xml:space="preserve"> PROPERTY</t>
  </si>
  <si>
    <t>1410-0000</t>
  </si>
  <si>
    <t xml:space="preserve"> Land</t>
  </si>
  <si>
    <t>1500-0000</t>
  </si>
  <si>
    <t xml:space="preserve"> Building</t>
  </si>
  <si>
    <t>1500-0001</t>
  </si>
  <si>
    <t xml:space="preserve"> 5 Year Property</t>
  </si>
  <si>
    <t>1500-0010</t>
  </si>
  <si>
    <t xml:space="preserve"> Building Improvements</t>
  </si>
  <si>
    <t>1500-0040</t>
  </si>
  <si>
    <t xml:space="preserve"> Loan Fees  A</t>
  </si>
  <si>
    <t>1500-0050</t>
  </si>
  <si>
    <t xml:space="preserve"> AD Building</t>
  </si>
  <si>
    <t>1500-0051</t>
  </si>
  <si>
    <t>A/D 5 Year Property</t>
  </si>
  <si>
    <t>1500-0060</t>
  </si>
  <si>
    <t xml:space="preserve"> A/D Building Improvements</t>
  </si>
  <si>
    <t>1500-0085</t>
  </si>
  <si>
    <t xml:space="preserve"> A/A Loan Fees - A</t>
  </si>
  <si>
    <t>1600-0000</t>
  </si>
  <si>
    <t xml:space="preserve"> CONSTRUCTION IN PROGRESS</t>
  </si>
  <si>
    <t>1600-0035</t>
  </si>
  <si>
    <t xml:space="preserve"> Architect</t>
  </si>
  <si>
    <t>1600-1000</t>
  </si>
  <si>
    <t>Draws</t>
  </si>
  <si>
    <t>1600-9999</t>
  </si>
  <si>
    <t xml:space="preserve">  TOTAL CONSTRUCTION IN PROGRESS</t>
  </si>
  <si>
    <t>1890-0000</t>
  </si>
  <si>
    <t xml:space="preserve">  TOTAL PROPERTY</t>
  </si>
  <si>
    <t>1990-0000</t>
  </si>
  <si>
    <t xml:space="preserve">   TOTAL ASSETS</t>
  </si>
  <si>
    <t>2000-0000</t>
  </si>
  <si>
    <t xml:space="preserve"> LIABILITIES AND CAPITAL</t>
  </si>
  <si>
    <t>2100-0000</t>
  </si>
  <si>
    <t xml:space="preserve"> LIABILITIES</t>
  </si>
  <si>
    <t>2110-0000</t>
  </si>
  <si>
    <t xml:space="preserve"> Note 1 Principal</t>
  </si>
  <si>
    <t>2135-0020</t>
  </si>
  <si>
    <t xml:space="preserve"> Equipment Financing</t>
  </si>
  <si>
    <t>2150-0020</t>
  </si>
  <si>
    <t xml:space="preserve"> Due To/(From) Other Property</t>
  </si>
  <si>
    <t>2150-0022</t>
  </si>
  <si>
    <t xml:space="preserve"> Due To/(From) SSSM</t>
  </si>
  <si>
    <t>2200-0000</t>
  </si>
  <si>
    <t xml:space="preserve"> Accounts Payable</t>
  </si>
  <si>
    <t>2210-0000</t>
  </si>
  <si>
    <t xml:space="preserve"> Prepaid Rent</t>
  </si>
  <si>
    <t>2250-0000</t>
  </si>
  <si>
    <t xml:space="preserve"> Tenant Deposits</t>
  </si>
  <si>
    <t>2290-0000</t>
  </si>
  <si>
    <t xml:space="preserve"> Funds for Transfer</t>
  </si>
  <si>
    <t>2300-0000</t>
  </si>
  <si>
    <t xml:space="preserve"> TAX LIABILITIES</t>
  </si>
  <si>
    <t>2305-0000</t>
  </si>
  <si>
    <t xml:space="preserve"> Real Estate Tax Accrual</t>
  </si>
  <si>
    <t>2310-0000</t>
  </si>
  <si>
    <t xml:space="preserve"> Sales Tax Collected</t>
  </si>
  <si>
    <t>2490-0000</t>
  </si>
  <si>
    <t xml:space="preserve">  TOTAL TAX LIABILITIES</t>
  </si>
  <si>
    <t>2609-0000</t>
  </si>
  <si>
    <t xml:space="preserve"> Interest Accrual</t>
  </si>
  <si>
    <t>2640-0998</t>
  </si>
  <si>
    <t xml:space="preserve"> Expense Accrual</t>
  </si>
  <si>
    <t>2640-0999</t>
  </si>
  <si>
    <t xml:space="preserve"> Payroll Accrual</t>
  </si>
  <si>
    <t>2990-0000</t>
  </si>
  <si>
    <t xml:space="preserve">  TOTAL LIABILITIES</t>
  </si>
  <si>
    <t>3000-0000</t>
  </si>
  <si>
    <t xml:space="preserve"> CAPITAL</t>
  </si>
  <si>
    <t>3303-2151</t>
  </si>
  <si>
    <t xml:space="preserve"> Storsafe DRE JV Contribution</t>
  </si>
  <si>
    <t>3303-2152</t>
  </si>
  <si>
    <t xml:space="preserve"> Storsafe DRE JV Distribution</t>
  </si>
  <si>
    <t>3303-2153</t>
  </si>
  <si>
    <t>STORSAFE DRE JV TOTAL</t>
  </si>
  <si>
    <t>3800-0000</t>
  </si>
  <si>
    <t xml:space="preserve"> Retained Earnings</t>
  </si>
  <si>
    <t>3890-0000</t>
  </si>
  <si>
    <t xml:space="preserve">  TOTAL CAPITAL</t>
  </si>
  <si>
    <t>3990-0000</t>
  </si>
  <si>
    <t xml:space="preserve">   TOTAL LIABILITIES AND CAPITAL</t>
  </si>
  <si>
    <t>Chart of Accounts</t>
  </si>
  <si>
    <t>Account</t>
  </si>
  <si>
    <t>Account Name</t>
  </si>
  <si>
    <t>Normal</t>
  </si>
  <si>
    <t>Acct</t>
  </si>
  <si>
    <t>Rpt</t>
  </si>
  <si>
    <t>Line</t>
  </si>
  <si>
    <t>Offset</t>
  </si>
  <si>
    <t>Hold-For</t>
  </si>
  <si>
    <t>Accrual</t>
  </si>
  <si>
    <t>Total</t>
  </si>
  <si>
    <t>Flags</t>
  </si>
  <si>
    <t>Type</t>
  </si>
  <si>
    <t>Margin</t>
  </si>
  <si>
    <t>Adv.</t>
  </si>
  <si>
    <t>ASSETS</t>
  </si>
  <si>
    <t>Debit</t>
  </si>
  <si>
    <t>Head</t>
  </si>
  <si>
    <t>Bal</t>
  </si>
  <si>
    <t>CASH</t>
  </si>
  <si>
    <t>1100-0001</t>
  </si>
  <si>
    <t>Cash Reserve</t>
  </si>
  <si>
    <t>Reg</t>
  </si>
  <si>
    <t>Cash</t>
  </si>
  <si>
    <t>1100-0500</t>
  </si>
  <si>
    <t>do not use</t>
  </si>
  <si>
    <t>1110-0000</t>
  </si>
  <si>
    <t>BMO Harris</t>
  </si>
  <si>
    <t>1110-0001</t>
  </si>
  <si>
    <t>BMO Harris Reserves 3839</t>
  </si>
  <si>
    <t>1110-0002</t>
  </si>
  <si>
    <t>Associated Bank - Operating</t>
  </si>
  <si>
    <t>1110-0003</t>
  </si>
  <si>
    <t>8211 Kilpatrick BB Checking</t>
  </si>
  <si>
    <t>1110-0004</t>
  </si>
  <si>
    <t>8211 Kilpatrick BB Savings</t>
  </si>
  <si>
    <t>1110-0005</t>
  </si>
  <si>
    <t>3830 Ashland Amal Checking</t>
  </si>
  <si>
    <t>1110-0006</t>
  </si>
  <si>
    <t>3830 Ashland Amal Savings</t>
  </si>
  <si>
    <t>1110-0010</t>
  </si>
  <si>
    <t>Belmont Bank &amp; Trust WC</t>
  </si>
  <si>
    <t>1110-0020</t>
  </si>
  <si>
    <t>Belmont Bank and  Trust  Ruby Street</t>
  </si>
  <si>
    <t>1110-0030</t>
  </si>
  <si>
    <t>Belmont Bank and Trust  Indian Creek</t>
  </si>
  <si>
    <t>1110-0040</t>
  </si>
  <si>
    <t>Belmont Bank and  Trust  Sherman Place</t>
  </si>
  <si>
    <t>1110-0100</t>
  </si>
  <si>
    <t>BMO Harris 6333</t>
  </si>
  <si>
    <t>1110-0200</t>
  </si>
  <si>
    <t>BMO Carmen</t>
  </si>
  <si>
    <t>1110-0300</t>
  </si>
  <si>
    <t>BMO 3839</t>
  </si>
  <si>
    <t>1110-0435</t>
  </si>
  <si>
    <t>435 Marquette Bank</t>
  </si>
  <si>
    <t>1110-0451</t>
  </si>
  <si>
    <t>451 Randall Money Market Account</t>
  </si>
  <si>
    <t>1110-1000</t>
  </si>
  <si>
    <t>Belmont BT Property Management</t>
  </si>
  <si>
    <t>1110-1001</t>
  </si>
  <si>
    <t>5100 State Bank of Illinois</t>
  </si>
  <si>
    <t>1110-1002</t>
  </si>
  <si>
    <t>9530 FNBC Checking</t>
  </si>
  <si>
    <t>1110-1003</t>
  </si>
  <si>
    <t>5301 Dempster FNBC Checking</t>
  </si>
  <si>
    <t>1110-1004</t>
  </si>
  <si>
    <t>451 Randall Operating Account</t>
  </si>
  <si>
    <t>1110-1200</t>
  </si>
  <si>
    <t>4121 Metcap</t>
  </si>
  <si>
    <t>1110-1435</t>
  </si>
  <si>
    <t>435 Amalgamated Bank</t>
  </si>
  <si>
    <t>1110-1451</t>
  </si>
  <si>
    <t>451 STC Capital Bank</t>
  </si>
  <si>
    <t>1110-1500</t>
  </si>
  <si>
    <t>PNC Bank NA</t>
  </si>
  <si>
    <t>1110-1501</t>
  </si>
  <si>
    <t>Lake Side Bank Ceres</t>
  </si>
  <si>
    <t>1110-1502</t>
  </si>
  <si>
    <t>Lakeside Carmen</t>
  </si>
  <si>
    <t>1110-1503</t>
  </si>
  <si>
    <t>Lakeside 3839</t>
  </si>
  <si>
    <t>1110-1504</t>
  </si>
  <si>
    <t>Lakeside 6333</t>
  </si>
  <si>
    <t>1110-1505</t>
  </si>
  <si>
    <t>First Eagle Bank</t>
  </si>
  <si>
    <t>1110-1506</t>
  </si>
  <si>
    <t>First Eagle 4335</t>
  </si>
  <si>
    <t>1110-1507</t>
  </si>
  <si>
    <t>Lakeside Ceres II</t>
  </si>
  <si>
    <t>1110-1508</t>
  </si>
  <si>
    <t>Gold Coast 1742-1768</t>
  </si>
  <si>
    <t>1110-1509</t>
  </si>
  <si>
    <t>6333FEB</t>
  </si>
  <si>
    <t>1110-1510</t>
  </si>
  <si>
    <t>FNBC Ceres Acquisitions</t>
  </si>
  <si>
    <t>1110-1511</t>
  </si>
  <si>
    <t>FNBC Ceres II</t>
  </si>
  <si>
    <t>1110-1512</t>
  </si>
  <si>
    <t>6401 Marquette Bank</t>
  </si>
  <si>
    <t>1110-1513</t>
  </si>
  <si>
    <t>562 Winnetka Galleria</t>
  </si>
  <si>
    <t>1110-1514</t>
  </si>
  <si>
    <t>Amalgamated Bank</t>
  </si>
  <si>
    <t>1110-1515</t>
  </si>
  <si>
    <t>EP Northfield Storage</t>
  </si>
  <si>
    <t>1110-1516</t>
  </si>
  <si>
    <t>EP SEF III PV</t>
  </si>
  <si>
    <t>1110-1517</t>
  </si>
  <si>
    <t>EP SEF III Orland Park</t>
  </si>
  <si>
    <t>1110-1518</t>
  </si>
  <si>
    <t>JCR Personal Operating Account</t>
  </si>
  <si>
    <t>1110-1519</t>
  </si>
  <si>
    <t>Security Deposit Account EMG</t>
  </si>
  <si>
    <t>1110-1520</t>
  </si>
  <si>
    <t>EMG As Managing Agent</t>
  </si>
  <si>
    <t>1110-1521</t>
  </si>
  <si>
    <t>Erie Management Group</t>
  </si>
  <si>
    <t>1110-1522</t>
  </si>
  <si>
    <t>EP SEF III OP Savings</t>
  </si>
  <si>
    <t>1110-1523</t>
  </si>
  <si>
    <t>1307 Amalgamated Checking</t>
  </si>
  <si>
    <t>1110-1524</t>
  </si>
  <si>
    <t>1288 Old National Bank</t>
  </si>
  <si>
    <t>1110-1525</t>
  </si>
  <si>
    <t>First Midwest 4335</t>
  </si>
  <si>
    <t>1110-1526</t>
  </si>
  <si>
    <t>1288 Reserve Old National Bank</t>
  </si>
  <si>
    <t>1110-1527</t>
  </si>
  <si>
    <t>1st Bank of Highland Park</t>
  </si>
  <si>
    <t>Cash, Exclude</t>
  </si>
  <si>
    <t>1110-1528</t>
  </si>
  <si>
    <t>EP CPSS PROVIDENCE</t>
  </si>
  <si>
    <t>1110-1529</t>
  </si>
  <si>
    <t>314 Interest Reserve</t>
  </si>
  <si>
    <t>1110-1530</t>
  </si>
  <si>
    <t>EP MSS Providence</t>
  </si>
  <si>
    <t>1110-1531</t>
  </si>
  <si>
    <t>EP SEF III Orland Park Old National Bank</t>
  </si>
  <si>
    <t>1110-1532</t>
  </si>
  <si>
    <t>EP NFSS Amalgamated</t>
  </si>
  <si>
    <t>1110-1534</t>
  </si>
  <si>
    <t>314 WIP FBHP</t>
  </si>
  <si>
    <t>1110-1553</t>
  </si>
  <si>
    <t>2201 Amal Checking</t>
  </si>
  <si>
    <t>1110-1554</t>
  </si>
  <si>
    <t>2201 S Halsted Interest Reserve</t>
  </si>
  <si>
    <t>1110-1555</t>
  </si>
  <si>
    <t>2201Chase</t>
  </si>
  <si>
    <t>1110-1669</t>
  </si>
  <si>
    <t>5301 Dempster Amal Checking</t>
  </si>
  <si>
    <t>1110-2000</t>
  </si>
  <si>
    <t>Chase</t>
  </si>
  <si>
    <t>1110-2100</t>
  </si>
  <si>
    <t>Chase Receivables Account</t>
  </si>
  <si>
    <t>1110-2200</t>
  </si>
  <si>
    <t>Chase Disbursements Account</t>
  </si>
  <si>
    <t>1110-2469</t>
  </si>
  <si>
    <t>1401 Plaza Verde Amalgamated Checking</t>
  </si>
  <si>
    <t>1110-3000</t>
  </si>
  <si>
    <t>Associated Bank</t>
  </si>
  <si>
    <t>1110-3001</t>
  </si>
  <si>
    <t>Wintrust Bank</t>
  </si>
  <si>
    <t>1110-3004</t>
  </si>
  <si>
    <t>OLD 4257 Sacramento Amal</t>
  </si>
  <si>
    <t>1110-3012</t>
  </si>
  <si>
    <t>1341 Foster Amalgamated Checking</t>
  </si>
  <si>
    <t>1110-3111</t>
  </si>
  <si>
    <t>235 Owner MetCap Checking</t>
  </si>
  <si>
    <t>1110-3112</t>
  </si>
  <si>
    <t>235 Owner Wells Fargo DACA</t>
  </si>
  <si>
    <t>1110-3113</t>
  </si>
  <si>
    <t>235 Owner Wells Fargo CMA</t>
  </si>
  <si>
    <t>1110-3300</t>
  </si>
  <si>
    <t>Chase Bank NA</t>
  </si>
  <si>
    <t>1110-3310</t>
  </si>
  <si>
    <t>Gold Coast Bank</t>
  </si>
  <si>
    <t>1110-3311</t>
  </si>
  <si>
    <t>Gold Coast Bank 2535</t>
  </si>
  <si>
    <t>1110-3330</t>
  </si>
  <si>
    <t>Wells Fargo Bank</t>
  </si>
  <si>
    <t>1110-3333</t>
  </si>
  <si>
    <t>Wells Fargo Deposit Acct</t>
  </si>
  <si>
    <t>1110-3336</t>
  </si>
  <si>
    <t>Wells Fargo SD</t>
  </si>
  <si>
    <t>1110-3500</t>
  </si>
  <si>
    <t>Fifth Third Bank</t>
  </si>
  <si>
    <t>1110-4000</t>
  </si>
  <si>
    <t>Community Bank of Oak Park River Forest</t>
  </si>
  <si>
    <t>1110-4328</t>
  </si>
  <si>
    <t>EP HSS FBHP</t>
  </si>
  <si>
    <t>1110-4329</t>
  </si>
  <si>
    <t>EP HSS Chase</t>
  </si>
  <si>
    <t>1110-4700</t>
  </si>
  <si>
    <t>4700 Racine FBHP</t>
  </si>
  <si>
    <t>1110-4701</t>
  </si>
  <si>
    <t>4700 Racine Interest Reserve FBHP</t>
  </si>
  <si>
    <t>1110-4762</t>
  </si>
  <si>
    <t>4257 Amalgamated Acct</t>
  </si>
  <si>
    <t>1110-4897</t>
  </si>
  <si>
    <t>EP 7825 W Tower Providence</t>
  </si>
  <si>
    <t>1110-4898</t>
  </si>
  <si>
    <t>EP 7825 W Tower Chase</t>
  </si>
  <si>
    <t>1110-4899</t>
  </si>
  <si>
    <t>EP SWSS LLC Amalgamated</t>
  </si>
  <si>
    <t>1110-4900</t>
  </si>
  <si>
    <t>EP 101 E Chicago First Merchants</t>
  </si>
  <si>
    <t>1110-4901</t>
  </si>
  <si>
    <t>EP HSS 2 Chase</t>
  </si>
  <si>
    <t>1110-4902</t>
  </si>
  <si>
    <t>EP HSS 2 Inland Bank</t>
  </si>
  <si>
    <t>1110-4903</t>
  </si>
  <si>
    <t>Storsafe of West Bend Chase</t>
  </si>
  <si>
    <t>1110-4904</t>
  </si>
  <si>
    <t>Storsafe of West Bend Bank 5/9</t>
  </si>
  <si>
    <t>1110-4905</t>
  </si>
  <si>
    <t>Storsafe of Trenton Chase</t>
  </si>
  <si>
    <t>1110-4906</t>
  </si>
  <si>
    <t>Storsafe of Trenton Bank 5/9</t>
  </si>
  <si>
    <t>1110-4907</t>
  </si>
  <si>
    <t>EP SWSS Chase Checking</t>
  </si>
  <si>
    <t>1110-4908</t>
  </si>
  <si>
    <t>EP MSS Owner First Merchant</t>
  </si>
  <si>
    <t>1110-4909</t>
  </si>
  <si>
    <t>EP MSS 1st Merchants</t>
  </si>
  <si>
    <t>1110-4910</t>
  </si>
  <si>
    <t>EP SWSS Forte Bank Checking</t>
  </si>
  <si>
    <t>1110-4911</t>
  </si>
  <si>
    <t>EP PWSS Forte Bank</t>
  </si>
  <si>
    <t>1110-4912</t>
  </si>
  <si>
    <t>EP Schererville Office Amalgamated</t>
  </si>
  <si>
    <t>1110-4913</t>
  </si>
  <si>
    <t>EP PWSS Forte Reserve</t>
  </si>
  <si>
    <t>1110-4914</t>
  </si>
  <si>
    <t>Storsafe of Trotwood Chase</t>
  </si>
  <si>
    <t>1110-4915</t>
  </si>
  <si>
    <t>31031 Big Pine Key MetCap</t>
  </si>
  <si>
    <t>1110-4916</t>
  </si>
  <si>
    <t>SS Rockledge Burling</t>
  </si>
  <si>
    <t>1110-4917</t>
  </si>
  <si>
    <t>SS Palm Bay Burling Bank</t>
  </si>
  <si>
    <t>1110-4918</t>
  </si>
  <si>
    <t>SS Palm Shores Chase</t>
  </si>
  <si>
    <t>1110-4919</t>
  </si>
  <si>
    <t>SS Palm Shores Burling Bank</t>
  </si>
  <si>
    <t>1110-4920</t>
  </si>
  <si>
    <t>EP 5520 Salem Bend First Merchants</t>
  </si>
  <si>
    <t>1110-4921</t>
  </si>
  <si>
    <t>A Storage USA First Merchants</t>
  </si>
  <si>
    <t>1110-4922</t>
  </si>
  <si>
    <t>EP HSS 2 FBHP</t>
  </si>
  <si>
    <t>1110-4923</t>
  </si>
  <si>
    <t>SS Venice Amalgamated</t>
  </si>
  <si>
    <t>1110-4924</t>
  </si>
  <si>
    <t>SS Venice Chase</t>
  </si>
  <si>
    <t>1110-4925</t>
  </si>
  <si>
    <t>Storsafe of Cary Chase</t>
  </si>
  <si>
    <t>1110-4926</t>
  </si>
  <si>
    <t>SS of Munster Amalgamated</t>
  </si>
  <si>
    <t>1110-4927</t>
  </si>
  <si>
    <t>SS of Munster Chase</t>
  </si>
  <si>
    <t>1110-4937</t>
  </si>
  <si>
    <t>Storsafe of Cary Providence</t>
  </si>
  <si>
    <t>1110-4938</t>
  </si>
  <si>
    <t>SS of MI City Chase</t>
  </si>
  <si>
    <t>1110-4939</t>
  </si>
  <si>
    <t>SS of Silver Springs Chase</t>
  </si>
  <si>
    <t>1110-4940</t>
  </si>
  <si>
    <t>SS DRE JV MetCap</t>
  </si>
  <si>
    <t>1110-4941</t>
  </si>
  <si>
    <t>EP Storsafe MetCap</t>
  </si>
  <si>
    <t>1110-4942</t>
  </si>
  <si>
    <t>SS of MI City Amalgamated</t>
  </si>
  <si>
    <t>1110-4943</t>
  </si>
  <si>
    <t>Rockledge Key Bank</t>
  </si>
  <si>
    <t>1110-4944</t>
  </si>
  <si>
    <t>Palm Bay Key Bank</t>
  </si>
  <si>
    <t>1110-4945</t>
  </si>
  <si>
    <t>Silver Springs Equitable Bank</t>
  </si>
  <si>
    <t>Inc</t>
  </si>
  <si>
    <t>ExclReg, Exclude</t>
  </si>
  <si>
    <t>1110-4946</t>
  </si>
  <si>
    <t>Crown Point West Chase</t>
  </si>
  <si>
    <t>1110-4948</t>
  </si>
  <si>
    <t>Merrillville South Chase</t>
  </si>
  <si>
    <t>1110-4949</t>
  </si>
  <si>
    <t>SS of Palm Bay Busey Bank</t>
  </si>
  <si>
    <t>1110-4950</t>
  </si>
  <si>
    <t>SS of Port Washington Chase</t>
  </si>
  <si>
    <t>1110-4951</t>
  </si>
  <si>
    <t>MSS Chase</t>
  </si>
  <si>
    <t>1110-4952</t>
  </si>
  <si>
    <t>CPSS Chase</t>
  </si>
  <si>
    <t>1110-4953</t>
  </si>
  <si>
    <t>NFSS Chase</t>
  </si>
  <si>
    <t>1110-4954</t>
  </si>
  <si>
    <t>SSWwd Chase</t>
  </si>
  <si>
    <t>1110-4955</t>
  </si>
  <si>
    <t>SSWwd Busey</t>
  </si>
  <si>
    <t>Crown Point West Centier Operating</t>
  </si>
  <si>
    <t>1110-4958</t>
  </si>
  <si>
    <t>Rockledge Centier Money Market</t>
  </si>
  <si>
    <t>1110-4959</t>
  </si>
  <si>
    <t>MSSSouth Amal</t>
  </si>
  <si>
    <t>1110-4960</t>
  </si>
  <si>
    <t>Candler Chase</t>
  </si>
  <si>
    <t>1110-4961</t>
  </si>
  <si>
    <t>Storsafe DRE JV 2 MetCap</t>
  </si>
  <si>
    <t>1110-4962</t>
  </si>
  <si>
    <t>EP Storsafe 2 MetCap</t>
  </si>
  <si>
    <t>1110-4963</t>
  </si>
  <si>
    <t>SS Downtown Venice Busey</t>
  </si>
  <si>
    <t>1110-4964</t>
  </si>
  <si>
    <t>SS Downtown Venice UHaul Busey</t>
  </si>
  <si>
    <t>1110-4965</t>
  </si>
  <si>
    <t>SS of Downtown Venice Chase</t>
  </si>
  <si>
    <t>1110-4966</t>
  </si>
  <si>
    <t>SS of Venice UHaul Amalgamated</t>
  </si>
  <si>
    <t>1110-4967</t>
  </si>
  <si>
    <t>SS of China Grove Chase</t>
  </si>
  <si>
    <t>1110-4968</t>
  </si>
  <si>
    <t>SS of China Grove Pan American</t>
  </si>
  <si>
    <t>1110-4969</t>
  </si>
  <si>
    <t>EP 2201 Amal Tax &amp; Insurance</t>
  </si>
  <si>
    <t>1110-4970</t>
  </si>
  <si>
    <t>SS Candler Tax &amp; Ins Chase</t>
  </si>
  <si>
    <t>1110-4971</t>
  </si>
  <si>
    <t>Storsafe Management Solutions - Cary</t>
  </si>
  <si>
    <t>1110-4972</t>
  </si>
  <si>
    <t>SS of Palm Shores PanAm</t>
  </si>
  <si>
    <t>1110-4973</t>
  </si>
  <si>
    <t>SS of Cedar Lake Centier</t>
  </si>
  <si>
    <t>1110-4974</t>
  </si>
  <si>
    <t>Storsafe Management Solutions - Crystal Lake</t>
  </si>
  <si>
    <t>1110-4975</t>
  </si>
  <si>
    <t>SS of Melbourne Chase</t>
  </si>
  <si>
    <t>1110-4976</t>
  </si>
  <si>
    <t>SS of Lexington Choice Bank</t>
  </si>
  <si>
    <t>1110-4977</t>
  </si>
  <si>
    <t>EP HSS Pan American</t>
  </si>
  <si>
    <t>1110-4978</t>
  </si>
  <si>
    <t>EP HSS Pan Am Insurance</t>
  </si>
  <si>
    <t>1110-4979</t>
  </si>
  <si>
    <t>EP HSS 2 Pan American</t>
  </si>
  <si>
    <t>1110-4980</t>
  </si>
  <si>
    <t>Lexington Chase</t>
  </si>
  <si>
    <t>1110-4981</t>
  </si>
  <si>
    <t>Melbourne Cypress</t>
  </si>
  <si>
    <t>1110-4982</t>
  </si>
  <si>
    <t>Bristol Choice</t>
  </si>
  <si>
    <t>1110-4983</t>
  </si>
  <si>
    <t>SMS NFSS Chase</t>
  </si>
  <si>
    <t>1110-4984</t>
  </si>
  <si>
    <t>Downtown Venice Pan American</t>
  </si>
  <si>
    <t>1110-5000</t>
  </si>
  <si>
    <t>M&amp;P Chase</t>
  </si>
  <si>
    <t>1110-5001</t>
  </si>
  <si>
    <t>M&amp;P Chase Trust</t>
  </si>
  <si>
    <t>1110-5050</t>
  </si>
  <si>
    <t>M&amp;P BF</t>
  </si>
  <si>
    <t>1110-5100</t>
  </si>
  <si>
    <t>M&amp;P Bank Financial</t>
  </si>
  <si>
    <t>1110-5101</t>
  </si>
  <si>
    <t>Morgan Stanley 7746</t>
  </si>
  <si>
    <t>1120-0000</t>
  </si>
  <si>
    <t>Escrow Cash  Tenant Deposits</t>
  </si>
  <si>
    <t>1120-1000</t>
  </si>
  <si>
    <t>1121-0000</t>
  </si>
  <si>
    <t>Escrow Cash Tenant Dep 6333</t>
  </si>
  <si>
    <t>1121-1000</t>
  </si>
  <si>
    <t>Escrow Cash Tenant Dep Carmen</t>
  </si>
  <si>
    <t>1121-2001</t>
  </si>
  <si>
    <t>Recovery Accrual/Sprinklers</t>
  </si>
  <si>
    <t>1130-0000</t>
  </si>
  <si>
    <t>Owner Held Deposists</t>
  </si>
  <si>
    <t>Cash Flow</t>
  </si>
  <si>
    <t>1131-0000</t>
  </si>
  <si>
    <t>Petty Cash Ledger</t>
  </si>
  <si>
    <t>1135-0000</t>
  </si>
  <si>
    <t>Savings Cash 2</t>
  </si>
  <si>
    <t>1140-0000</t>
  </si>
  <si>
    <t>Association Reserve Account</t>
  </si>
  <si>
    <t>1140-8521</t>
  </si>
  <si>
    <t>21.8521 Association Reserve Account</t>
  </si>
  <si>
    <t>1150-0000</t>
  </si>
  <si>
    <t>Rent to RDG</t>
  </si>
  <si>
    <t>1160-0000</t>
  </si>
  <si>
    <t>Deposits to RDG</t>
  </si>
  <si>
    <t>1170-0000</t>
  </si>
  <si>
    <t>Transfers to RDG</t>
  </si>
  <si>
    <t>1180-0000</t>
  </si>
  <si>
    <t>Funds To From Martin &amp; Marbry</t>
  </si>
  <si>
    <t>Cash, ExclReg</t>
  </si>
  <si>
    <t>TOTAL CASH</t>
  </si>
  <si>
    <t>Tot</t>
  </si>
  <si>
    <t>1190-0020</t>
  </si>
  <si>
    <t>American Eagle Bank</t>
  </si>
  <si>
    <t>RESTRICTED CASH</t>
  </si>
  <si>
    <t>1200-0001</t>
  </si>
  <si>
    <t>Interest Reserve</t>
  </si>
  <si>
    <t>1200-0002</t>
  </si>
  <si>
    <t>Insurance &amp; RET Reserves</t>
  </si>
  <si>
    <t>Escrow Reserve</t>
  </si>
  <si>
    <t>1200-0004</t>
  </si>
  <si>
    <t>Escrow Construction</t>
  </si>
  <si>
    <t>Utility Security Deposits</t>
  </si>
  <si>
    <t>Crown Point West Centier</t>
  </si>
  <si>
    <t>1200-0007</t>
  </si>
  <si>
    <t>HSS FBC Pledged DDA</t>
  </si>
  <si>
    <t>SS of Crown Point West Held</t>
  </si>
  <si>
    <t>1200-0009</t>
  </si>
  <si>
    <t>2201 3rd Party Operating Account</t>
  </si>
  <si>
    <t>TOTAL RESTRICTED CASH</t>
  </si>
  <si>
    <t>Accounts Receivable</t>
  </si>
  <si>
    <t>Cash Flow, AR</t>
  </si>
  <si>
    <t>Pre-Paid Expenses</t>
  </si>
  <si>
    <t>1350-0002</t>
  </si>
  <si>
    <t>Pre-Paid Association Fees</t>
  </si>
  <si>
    <t>1350-9000</t>
  </si>
  <si>
    <t>Total Pre-Paid Expenses</t>
  </si>
  <si>
    <t>PROPERTY</t>
  </si>
  <si>
    <t>1401-0000</t>
  </si>
  <si>
    <t>Property</t>
  </si>
  <si>
    <t>1401-0001</t>
  </si>
  <si>
    <t>Single Family Home</t>
  </si>
  <si>
    <t>1401-0002</t>
  </si>
  <si>
    <t>Condo</t>
  </si>
  <si>
    <t>1401-0003</t>
  </si>
  <si>
    <t>Commercial Building</t>
  </si>
  <si>
    <t>1401-0004</t>
  </si>
  <si>
    <t>MASS Units</t>
  </si>
  <si>
    <t>1401-0100</t>
  </si>
  <si>
    <t>Funds Held For Closing</t>
  </si>
  <si>
    <t>1401-1000</t>
  </si>
  <si>
    <t>Auction Funds</t>
  </si>
  <si>
    <t>Land</t>
  </si>
  <si>
    <t>1410-0001</t>
  </si>
  <si>
    <t>Land  754 Adj</t>
  </si>
  <si>
    <t>1410-1000</t>
  </si>
  <si>
    <t>Investment in 1341 Foster</t>
  </si>
  <si>
    <t>1411-0000</t>
  </si>
  <si>
    <t>Inv Holdings 1602 Darrow</t>
  </si>
  <si>
    <t>1412-0000</t>
  </si>
  <si>
    <t>Inv Holdings 5408 63rd Street</t>
  </si>
  <si>
    <t>1412-1000</t>
  </si>
  <si>
    <t>Inv Holdings 9523 74th Street</t>
  </si>
  <si>
    <t>1413-0000</t>
  </si>
  <si>
    <t>Inv Holdings 6333 N Milwaukee</t>
  </si>
  <si>
    <t>1414-0000</t>
  </si>
  <si>
    <t>Inv Holdings 9446 73rd Street</t>
  </si>
  <si>
    <t>1415-0000</t>
  </si>
  <si>
    <t>Inv Holdings 9621 64th Street</t>
  </si>
  <si>
    <t>1416-0000</t>
  </si>
  <si>
    <t>Inv Holdings 10010 63rd Street</t>
  </si>
  <si>
    <t>1417-0000</t>
  </si>
  <si>
    <t>Inv Holdings 5025 TO 5043 Carmen</t>
  </si>
  <si>
    <t>1418-0000</t>
  </si>
  <si>
    <t>Inv Holdings 6818 N Ashland Unit 1A Chicago IL</t>
  </si>
  <si>
    <t>1419-0000</t>
  </si>
  <si>
    <t>Inv Holdings 3839 N Ashland Chicago IL</t>
  </si>
  <si>
    <t>1420-0000</t>
  </si>
  <si>
    <t>Inv Holdings 1747 W Wallen Chicago, IL</t>
  </si>
  <si>
    <t>Building</t>
  </si>
  <si>
    <t>5 Year Property</t>
  </si>
  <si>
    <t>1500-0005</t>
  </si>
  <si>
    <t>Building  754 Adj</t>
  </si>
  <si>
    <t>1500-0009</t>
  </si>
  <si>
    <t>Working Capital</t>
  </si>
  <si>
    <t>Building Improvements</t>
  </si>
  <si>
    <t>1500-0015</t>
  </si>
  <si>
    <t>Land Improvements</t>
  </si>
  <si>
    <t>1500-0017</t>
  </si>
  <si>
    <t>Tenant Improvements</t>
  </si>
  <si>
    <t>1500-0018</t>
  </si>
  <si>
    <t>Improvements - 7 Year</t>
  </si>
  <si>
    <t>1500-0020</t>
  </si>
  <si>
    <t>5 YR Rental Real Estate Prop.</t>
  </si>
  <si>
    <t>1500-0025</t>
  </si>
  <si>
    <t>Appliances</t>
  </si>
  <si>
    <t>1500-0030</t>
  </si>
  <si>
    <t>Furniture AND  Fixtures</t>
  </si>
  <si>
    <t>1500-0031</t>
  </si>
  <si>
    <t>Vehicle Purchased</t>
  </si>
  <si>
    <t>1500-0035</t>
  </si>
  <si>
    <t>Organizational Costs</t>
  </si>
  <si>
    <t>1500-0037</t>
  </si>
  <si>
    <t>Lease Fees</t>
  </si>
  <si>
    <t>Loan Fees  A</t>
  </si>
  <si>
    <t>1500-0045</t>
  </si>
  <si>
    <t>Loan Fees  B</t>
  </si>
  <si>
    <t>1500-0046</t>
  </si>
  <si>
    <t>Loan Admin Fees</t>
  </si>
  <si>
    <t>AD Building</t>
  </si>
  <si>
    <t>Credit</t>
  </si>
  <si>
    <t>1500-0055</t>
  </si>
  <si>
    <t xml:space="preserve"> Building  754 Adj</t>
  </si>
  <si>
    <t>A/D Building Improvements</t>
  </si>
  <si>
    <t>1500-0065</t>
  </si>
  <si>
    <t>A/D Land Improvements</t>
  </si>
  <si>
    <t>1500-0066</t>
  </si>
  <si>
    <t>A/D Tenant Improvements</t>
  </si>
  <si>
    <t>1500-0067</t>
  </si>
  <si>
    <t>A/D 7 Year Assets</t>
  </si>
  <si>
    <t>1500-0070</t>
  </si>
  <si>
    <t>A/D 5 YR Rental Real Estate Pr</t>
  </si>
  <si>
    <t>1500-0075</t>
  </si>
  <si>
    <t>A/D Appliances</t>
  </si>
  <si>
    <t>1500-0080</t>
  </si>
  <si>
    <t>A/D Furniture &amp; Fixtures</t>
  </si>
  <si>
    <t>A/A Loan Fees - A</t>
  </si>
  <si>
    <t>1500-0090</t>
  </si>
  <si>
    <t>A/A Loan Fees - B</t>
  </si>
  <si>
    <t>1500-0091</t>
  </si>
  <si>
    <t>A/A Lease Fees</t>
  </si>
  <si>
    <t>1500-0095</t>
  </si>
  <si>
    <t>A/A Organization Costs</t>
  </si>
  <si>
    <t>CONSTRUCTION IN PROGRESS</t>
  </si>
  <si>
    <t>1600-0001</t>
  </si>
  <si>
    <t>General Conditions</t>
  </si>
  <si>
    <t>1600-0002</t>
  </si>
  <si>
    <t>Overhead &amp; Profit</t>
  </si>
  <si>
    <t>1600-0003</t>
  </si>
  <si>
    <t>Carpentry &amp; Finishes</t>
  </si>
  <si>
    <t>1600-0004</t>
  </si>
  <si>
    <t>Cabinetry</t>
  </si>
  <si>
    <t>1600-0005</t>
  </si>
  <si>
    <t>Permits</t>
  </si>
  <si>
    <t>1600-0006</t>
  </si>
  <si>
    <t>Electrical</t>
  </si>
  <si>
    <t>1600-0007</t>
  </si>
  <si>
    <t>Plumbing</t>
  </si>
  <si>
    <t>1600-0008</t>
  </si>
  <si>
    <t>Demolition</t>
  </si>
  <si>
    <t>1600-0009</t>
  </si>
  <si>
    <t>Electric</t>
  </si>
  <si>
    <t>1600-0010</t>
  </si>
  <si>
    <t>Masonry</t>
  </si>
  <si>
    <t>1600-0011</t>
  </si>
  <si>
    <t>Roof</t>
  </si>
  <si>
    <t>1600-0012</t>
  </si>
  <si>
    <t>Elevator</t>
  </si>
  <si>
    <t>1600-0013</t>
  </si>
  <si>
    <t>HVAC</t>
  </si>
  <si>
    <t>1600-0015</t>
  </si>
  <si>
    <t>Survey</t>
  </si>
  <si>
    <t>1600-0016</t>
  </si>
  <si>
    <t>Sandblasting</t>
  </si>
  <si>
    <t>1600-0017</t>
  </si>
  <si>
    <t>Pre-Fabricated Buildings</t>
  </si>
  <si>
    <t>1600-0020</t>
  </si>
  <si>
    <t>Engineering</t>
  </si>
  <si>
    <t>1600-0024</t>
  </si>
  <si>
    <t>Lender's Architectural Inspection Fee</t>
  </si>
  <si>
    <t>1600-0025</t>
  </si>
  <si>
    <t>Steel-Stairs, Railings and Ornamental</t>
  </si>
  <si>
    <t>1600-0026</t>
  </si>
  <si>
    <t>Fire Suppression</t>
  </si>
  <si>
    <t>1600-0027</t>
  </si>
  <si>
    <t>Fire Alarms</t>
  </si>
  <si>
    <t>1600-0028</t>
  </si>
  <si>
    <t>Storefront Systems &amp; Exterior Doors/Windows</t>
  </si>
  <si>
    <t>Cash Flow, WIP</t>
  </si>
  <si>
    <t>1600-0030</t>
  </si>
  <si>
    <t>Concrete</t>
  </si>
  <si>
    <t>Architect</t>
  </si>
  <si>
    <t>1600-0036</t>
  </si>
  <si>
    <t>Insurance</t>
  </si>
  <si>
    <t>1600-0037</t>
  </si>
  <si>
    <t>Soft Costs</t>
  </si>
  <si>
    <t>1600-0038</t>
  </si>
  <si>
    <t>Resident Relocation</t>
  </si>
  <si>
    <t>1600-0040</t>
  </si>
  <si>
    <t>TENANT BUILDOUTS</t>
  </si>
  <si>
    <t>Exclude</t>
  </si>
  <si>
    <t>1600-0041</t>
  </si>
  <si>
    <t>314-LL W</t>
  </si>
  <si>
    <t>1600-0042</t>
  </si>
  <si>
    <t>314-LL E</t>
  </si>
  <si>
    <t>1600-0043</t>
  </si>
  <si>
    <t>314-2W</t>
  </si>
  <si>
    <t>1600-0044</t>
  </si>
  <si>
    <t>314-2E</t>
  </si>
  <si>
    <t>1600-0045</t>
  </si>
  <si>
    <t>314-3W</t>
  </si>
  <si>
    <t>1600-0046</t>
  </si>
  <si>
    <t>314-3E</t>
  </si>
  <si>
    <t>1600-0047</t>
  </si>
  <si>
    <t>TI - Draw</t>
  </si>
  <si>
    <t>1600-0048</t>
  </si>
  <si>
    <t>Development Fee</t>
  </si>
  <si>
    <t>1600-0049</t>
  </si>
  <si>
    <t>Construction Managment Fee</t>
  </si>
  <si>
    <t>1600-0050</t>
  </si>
  <si>
    <t>Excavation/Fill/Grading</t>
  </si>
  <si>
    <t>1600-1001</t>
  </si>
  <si>
    <t>Draw 1</t>
  </si>
  <si>
    <t>1600-1002</t>
  </si>
  <si>
    <t>Draw 2</t>
  </si>
  <si>
    <t>1600-1003</t>
  </si>
  <si>
    <t>Draw 3</t>
  </si>
  <si>
    <t>1600-1004</t>
  </si>
  <si>
    <t>Draw 4</t>
  </si>
  <si>
    <t>1600-1005</t>
  </si>
  <si>
    <t>Draw 5</t>
  </si>
  <si>
    <t>1600-1006</t>
  </si>
  <si>
    <t>Draw 6</t>
  </si>
  <si>
    <t>1600-1007</t>
  </si>
  <si>
    <t>Draw 7</t>
  </si>
  <si>
    <t>1600-1008</t>
  </si>
  <si>
    <t>Draw 8</t>
  </si>
  <si>
    <t>1600-1009</t>
  </si>
  <si>
    <t>Draw 9</t>
  </si>
  <si>
    <t>1600-1010</t>
  </si>
  <si>
    <t>Draw 10</t>
  </si>
  <si>
    <t>1600-1011</t>
  </si>
  <si>
    <t>Draw 11</t>
  </si>
  <si>
    <t>1600-1012</t>
  </si>
  <si>
    <t>Draw 12</t>
  </si>
  <si>
    <t>1600-1013</t>
  </si>
  <si>
    <t>Draw 13</t>
  </si>
  <si>
    <t>1600-1014</t>
  </si>
  <si>
    <t>Draw 14</t>
  </si>
  <si>
    <t>1600-1015</t>
  </si>
  <si>
    <t>Draw 15</t>
  </si>
  <si>
    <t>1600-1016</t>
  </si>
  <si>
    <t>Draw 16</t>
  </si>
  <si>
    <t>TOTAL CONSTRUCTION IN PROGRESS</t>
  </si>
  <si>
    <t>1700-0000</t>
  </si>
  <si>
    <t>Investment Holdings</t>
  </si>
  <si>
    <t>1700-0001</t>
  </si>
  <si>
    <t>Investment in A Storage USA</t>
  </si>
  <si>
    <t>1700-0002</t>
  </si>
  <si>
    <t>Investment in Storsafe of Trotwood</t>
  </si>
  <si>
    <t>1700-5100</t>
  </si>
  <si>
    <t>Investment in 5100 96th</t>
  </si>
  <si>
    <t>1700-6333</t>
  </si>
  <si>
    <t>Investment In 6333</t>
  </si>
  <si>
    <t>1700-9530</t>
  </si>
  <si>
    <t>Investment In 9530 Cook</t>
  </si>
  <si>
    <t>1710-0000</t>
  </si>
  <si>
    <t>Realty Depreciation</t>
  </si>
  <si>
    <t>1740-0000</t>
  </si>
  <si>
    <t>Other Improvements</t>
  </si>
  <si>
    <t>1740-1000</t>
  </si>
  <si>
    <t>Construction Rehab Costs</t>
  </si>
  <si>
    <t>1750-0000</t>
  </si>
  <si>
    <t>Improvement Depreciation</t>
  </si>
  <si>
    <t>1770-0000</t>
  </si>
  <si>
    <t>Personal Property</t>
  </si>
  <si>
    <t>1770-0001</t>
  </si>
  <si>
    <t>Goodwill and other Intangibles</t>
  </si>
  <si>
    <t>1780-0000</t>
  </si>
  <si>
    <t>Personal Prop. Depreciation</t>
  </si>
  <si>
    <t>1800-1000</t>
  </si>
  <si>
    <t>Merchandise Supplies</t>
  </si>
  <si>
    <t>TOTAL PROPERTY</t>
  </si>
  <si>
    <t>1900-0000</t>
  </si>
  <si>
    <t>OTHER ASSETS</t>
  </si>
  <si>
    <t>1900-0001</t>
  </si>
  <si>
    <t>Earnest Money Deposit</t>
  </si>
  <si>
    <t>1950-0000</t>
  </si>
  <si>
    <t>1900-1000</t>
  </si>
  <si>
    <t>Investment in Storsafe of Michigan City</t>
  </si>
  <si>
    <t>1900-1001</t>
  </si>
  <si>
    <t>Investment in Storsafe DRE JV</t>
  </si>
  <si>
    <t>1900-1002</t>
  </si>
  <si>
    <t>Investment in Storsafe of Silver Springs</t>
  </si>
  <si>
    <t>1900-1003</t>
  </si>
  <si>
    <t>Investment in Storsafe of Rockledge</t>
  </si>
  <si>
    <t>1900-1004</t>
  </si>
  <si>
    <t>Investment in Storsafe of Palm Bay</t>
  </si>
  <si>
    <t>1900-1005</t>
  </si>
  <si>
    <t>Investment in Storsafe of Crown Point West</t>
  </si>
  <si>
    <t>1900-1006</t>
  </si>
  <si>
    <t>Investment in Storsafe of Merrillville South</t>
  </si>
  <si>
    <t>1900-1007</t>
  </si>
  <si>
    <t>Investment in Storsafe of Wildwood</t>
  </si>
  <si>
    <t>1900-1008</t>
  </si>
  <si>
    <t>Investment in Storsafe of Candler</t>
  </si>
  <si>
    <t>1900-1009</t>
  </si>
  <si>
    <t>Investment in Storsafe of Downtown Venice</t>
  </si>
  <si>
    <t>1900-1010</t>
  </si>
  <si>
    <t>Investment in Storsafe DRE JV 2</t>
  </si>
  <si>
    <t>1900-1011</t>
  </si>
  <si>
    <t>Investment in Storsafe of China Grove</t>
  </si>
  <si>
    <t>1900-1012</t>
  </si>
  <si>
    <t>Investment in Storsafe of Cedar Lake</t>
  </si>
  <si>
    <t>1900-1013</t>
  </si>
  <si>
    <t>Investment in Storsafe of Lexington</t>
  </si>
  <si>
    <t>1910-0000</t>
  </si>
  <si>
    <t>Insurance Claim Expected</t>
  </si>
  <si>
    <t>1910-0001</t>
  </si>
  <si>
    <t>Disputed Bank Transaction</t>
  </si>
  <si>
    <t>1910-0002</t>
  </si>
  <si>
    <t>HUD Loan Deposit</t>
  </si>
  <si>
    <t>1920-0000</t>
  </si>
  <si>
    <t>Due To/ From MJP Capital</t>
  </si>
  <si>
    <t>1930-0000</t>
  </si>
  <si>
    <t>Due To/ From EP II</t>
  </si>
  <si>
    <t>TOTAL OTHER ASSETS</t>
  </si>
  <si>
    <t>TOTAL ASSETS</t>
  </si>
  <si>
    <t>9990-0000</t>
  </si>
  <si>
    <t>LIABILITIES AND CAPITAL</t>
  </si>
  <si>
    <t>LIABILITIES</t>
  </si>
  <si>
    <t>2100-1000</t>
  </si>
  <si>
    <t>Reconciliation</t>
  </si>
  <si>
    <t>ExclReg, Cash Flow, Summ</t>
  </si>
  <si>
    <t>2100-1001</t>
  </si>
  <si>
    <t>Loan from Stillman</t>
  </si>
  <si>
    <t>2100-1002</t>
  </si>
  <si>
    <t>Loan to Affiliated-Florida</t>
  </si>
  <si>
    <t>2100-1003</t>
  </si>
  <si>
    <t>Loan from Fund IV</t>
  </si>
  <si>
    <t>2100-1004</t>
  </si>
  <si>
    <t>Loan from Storsafe Self Storage Management</t>
  </si>
  <si>
    <t>2100-1005</t>
  </si>
  <si>
    <t>Loan from MetCap Credit Line (Elmdale)</t>
  </si>
  <si>
    <t>Note 1 Principal</t>
  </si>
  <si>
    <t>2110-0015</t>
  </si>
  <si>
    <t>LIA EXAMPLE</t>
  </si>
  <si>
    <t>2120-0000</t>
  </si>
  <si>
    <t>Note 2 Principal</t>
  </si>
  <si>
    <t>2130-0000</t>
  </si>
  <si>
    <t>Note 3 Principal</t>
  </si>
  <si>
    <t>2135-0000</t>
  </si>
  <si>
    <t>Note 4 Principal</t>
  </si>
  <si>
    <t>2135-0010</t>
  </si>
  <si>
    <t>Pace Equity Loan</t>
  </si>
  <si>
    <t>2140-0000</t>
  </si>
  <si>
    <t>Lease Payable</t>
  </si>
  <si>
    <t>2147-2200</t>
  </si>
  <si>
    <t>2150-0000</t>
  </si>
  <si>
    <t>Transfer To From Liability</t>
  </si>
  <si>
    <t>2150-0001</t>
  </si>
  <si>
    <t>Due To/(From) Ceres</t>
  </si>
  <si>
    <t>2150-0002</t>
  </si>
  <si>
    <t>Due To/(From) Ceres II</t>
  </si>
  <si>
    <t>2150-0003</t>
  </si>
  <si>
    <t>Due To/(From) 403 Badger</t>
  </si>
  <si>
    <t>2150-0004</t>
  </si>
  <si>
    <t>Due To/(From) 9530 S Cook</t>
  </si>
  <si>
    <t>2150-0005</t>
  </si>
  <si>
    <t>Due To/(From) 5601 N Sheridan</t>
  </si>
  <si>
    <t>2150-0006</t>
  </si>
  <si>
    <t>Due To/(From) JCR Personal Operating Account</t>
  </si>
  <si>
    <t>2150-0007</t>
  </si>
  <si>
    <t>Due To/From Elmdale Commercial</t>
  </si>
  <si>
    <t>2150-0008</t>
  </si>
  <si>
    <t>Due To/(From) 3839</t>
  </si>
  <si>
    <t>2150-0009</t>
  </si>
  <si>
    <t>Due To/(From) Adam Freeman</t>
  </si>
  <si>
    <t>2150-0010</t>
  </si>
  <si>
    <t>Due To/(From) Affinity Title Services</t>
  </si>
  <si>
    <t>2150-0011</t>
  </si>
  <si>
    <t>Due To/(From) EP Legacy</t>
  </si>
  <si>
    <t>2150-0012</t>
  </si>
  <si>
    <t>Due To/(From) 451 Randall</t>
  </si>
  <si>
    <t>2150-0013</t>
  </si>
  <si>
    <t>Due To/(From) C21</t>
  </si>
  <si>
    <t>2150-0014</t>
  </si>
  <si>
    <t>Due To/(From) EP SEF III</t>
  </si>
  <si>
    <t>2150-0015</t>
  </si>
  <si>
    <t>Due To/(From) EMG</t>
  </si>
  <si>
    <t>2150-0016</t>
  </si>
  <si>
    <t>Due To/(From) Jim Sayegh</t>
  </si>
  <si>
    <t>2150-0017</t>
  </si>
  <si>
    <t>Due To/(From) EP Construction</t>
  </si>
  <si>
    <t>2150-0018</t>
  </si>
  <si>
    <t>Due To/(From) 9105 EP SEF III Orland Park</t>
  </si>
  <si>
    <t>2150-0019</t>
  </si>
  <si>
    <t>Due to/(from) 1307 College Ave</t>
  </si>
  <si>
    <t>Due To/(From) Other Property</t>
  </si>
  <si>
    <t>2150-0021</t>
  </si>
  <si>
    <t>Due To/(From) EP SEF IV</t>
  </si>
  <si>
    <t>Due To/(From) SSSM</t>
  </si>
  <si>
    <t>2150-0023</t>
  </si>
  <si>
    <t>Due To/(From) Storsafe DRE JV LLC</t>
  </si>
  <si>
    <t>Accounts Payable</t>
  </si>
  <si>
    <t>Cash Flow, AP</t>
  </si>
  <si>
    <t>2200-1000</t>
  </si>
  <si>
    <t>Accrued Liabilities</t>
  </si>
  <si>
    <t>2201-0000</t>
  </si>
  <si>
    <t>EP 2201 S Halsted</t>
  </si>
  <si>
    <t>2209-0000</t>
  </si>
  <si>
    <t>Pre-Paid Closing Costs</t>
  </si>
  <si>
    <t>Prepaid Rent</t>
  </si>
  <si>
    <t>4500-0000</t>
  </si>
  <si>
    <t>Prepay, Cash Flow</t>
  </si>
  <si>
    <t>2220-0000</t>
  </si>
  <si>
    <t>Prepaid Assessment</t>
  </si>
  <si>
    <t>4400-0000</t>
  </si>
  <si>
    <t>2230-0000</t>
  </si>
  <si>
    <t>Insurance Liability</t>
  </si>
  <si>
    <t>2235-0000</t>
  </si>
  <si>
    <t>Real Estate Tax Liability</t>
  </si>
  <si>
    <t>2240-0000</t>
  </si>
  <si>
    <t>Pet Deposits</t>
  </si>
  <si>
    <t>Dep., Cash Flow</t>
  </si>
  <si>
    <t>2245-0000</t>
  </si>
  <si>
    <t>CAM Liability</t>
  </si>
  <si>
    <t>Tenant Deposits</t>
  </si>
  <si>
    <t>2250-0010</t>
  </si>
  <si>
    <t>Truck Rental Deposit</t>
  </si>
  <si>
    <t>2255-0000</t>
  </si>
  <si>
    <t>Replacement Reserves 3839 HOA</t>
  </si>
  <si>
    <t>2256-0000</t>
  </si>
  <si>
    <t>Replacement Reserves</t>
  </si>
  <si>
    <t>2257-0000</t>
  </si>
  <si>
    <t>3839 HOA RE Property Taxes</t>
  </si>
  <si>
    <t>2260-0000</t>
  </si>
  <si>
    <t>Interest on Tenant Deposits</t>
  </si>
  <si>
    <t>2270-0000</t>
  </si>
  <si>
    <t>Clearing Tenant Deposits</t>
  </si>
  <si>
    <t>2270-0010</t>
  </si>
  <si>
    <t>Tenant Protection Net Payable</t>
  </si>
  <si>
    <t>2280-0000</t>
  </si>
  <si>
    <t>Due To From Martin &amp; Marbry</t>
  </si>
  <si>
    <t>ExclReg, Cash Flow, Exclude, AR, AP</t>
  </si>
  <si>
    <t>Funds for Transfer</t>
  </si>
  <si>
    <t>TAX LIABILITIES</t>
  </si>
  <si>
    <t>2305-0403</t>
  </si>
  <si>
    <t>Tax Liability 403 Badger</t>
  </si>
  <si>
    <t>2305-0435</t>
  </si>
  <si>
    <t>Property Tax 435 N LaSalle</t>
  </si>
  <si>
    <t>2305-0451</t>
  </si>
  <si>
    <t>Property Tax 451 Randall Crossings</t>
  </si>
  <si>
    <t>2305-0562</t>
  </si>
  <si>
    <t>Property Tax Winnetka</t>
  </si>
  <si>
    <t>2305-0930</t>
  </si>
  <si>
    <t>Property tax 930-950 Homewood</t>
  </si>
  <si>
    <t>2305-1001</t>
  </si>
  <si>
    <t>Property Taxes 10010 63rd Street</t>
  </si>
  <si>
    <t>2305-1307</t>
  </si>
  <si>
    <t>Property Tax 1307 College Ave Wheaton</t>
  </si>
  <si>
    <t>2305-1401</t>
  </si>
  <si>
    <t>Property Tax 1401 Dundee Plaza Verde</t>
  </si>
  <si>
    <t>2305-1602</t>
  </si>
  <si>
    <t>Property Tax 1602 Darrow</t>
  </si>
  <si>
    <t>2305-1747</t>
  </si>
  <si>
    <t>Property Taxes 1747 W Wallen Ave</t>
  </si>
  <si>
    <t>2305-4121</t>
  </si>
  <si>
    <t>Property Tax 4121 S Franklin</t>
  </si>
  <si>
    <t>2305-4335</t>
  </si>
  <si>
    <t>Property Taxes 4335 W Irving Park</t>
  </si>
  <si>
    <t>2305-5025</t>
  </si>
  <si>
    <t>Property Tax 5025 to 5043 N East River Road</t>
  </si>
  <si>
    <t>2305-5100</t>
  </si>
  <si>
    <t>Property Tax 5100 W 96th St</t>
  </si>
  <si>
    <t>2305-5301</t>
  </si>
  <si>
    <t>5301 Dempster Property Tax</t>
  </si>
  <si>
    <t>2305-5408</t>
  </si>
  <si>
    <t>Property Taxes 5408 63rd Street</t>
  </si>
  <si>
    <t>2305-5601</t>
  </si>
  <si>
    <t>Property Tax 5601 N Sheridan</t>
  </si>
  <si>
    <t>2305-5620</t>
  </si>
  <si>
    <t>Property TAX Coldwell Banker</t>
  </si>
  <si>
    <t>2305-6250</t>
  </si>
  <si>
    <t>Property Tax 6250 N Claremont</t>
  </si>
  <si>
    <t>2305-6333</t>
  </si>
  <si>
    <t>Property Taxes 6333 N Milwaukee</t>
  </si>
  <si>
    <t>2305-6401</t>
  </si>
  <si>
    <t>6401 Property Taxes</t>
  </si>
  <si>
    <t>2305-6818</t>
  </si>
  <si>
    <t>Property Tax 6818 N Ashland, 1A  Chicago IL</t>
  </si>
  <si>
    <t>2305-7440</t>
  </si>
  <si>
    <t>Property Taxes 7440</t>
  </si>
  <si>
    <t>2305-9446</t>
  </si>
  <si>
    <t>Property Taxes 9446 73rd Street</t>
  </si>
  <si>
    <t>2305-9523</t>
  </si>
  <si>
    <t>Property Tax 9523 74th Street</t>
  </si>
  <si>
    <t>2305-9530</t>
  </si>
  <si>
    <t>Property Tax 9530 S Cook</t>
  </si>
  <si>
    <t>2305-9621</t>
  </si>
  <si>
    <t>Property Taxes 9621 64th Street</t>
  </si>
  <si>
    <t>2309-0000</t>
  </si>
  <si>
    <t>Lender Held Funds for use</t>
  </si>
  <si>
    <t>2310-0001</t>
  </si>
  <si>
    <t>Sales Tax Payable</t>
  </si>
  <si>
    <t>2410-0000</t>
  </si>
  <si>
    <t>Federal Withholding Payable</t>
  </si>
  <si>
    <t>2420-0000</t>
  </si>
  <si>
    <t>State Withholding Payable</t>
  </si>
  <si>
    <t>2430-0000</t>
  </si>
  <si>
    <t>FICA Tax Payable</t>
  </si>
  <si>
    <t>2431-0000</t>
  </si>
  <si>
    <t>Medicare Tax Payable</t>
  </si>
  <si>
    <t>2440-0000</t>
  </si>
  <si>
    <t>FUTA Tax Payable</t>
  </si>
  <si>
    <t>2450-0000</t>
  </si>
  <si>
    <t>State Unemployment Tax Payable</t>
  </si>
  <si>
    <t>2460-0000</t>
  </si>
  <si>
    <t>State Disability SDI Premium</t>
  </si>
  <si>
    <t>2470-0000</t>
  </si>
  <si>
    <t>401k  Liability</t>
  </si>
  <si>
    <t>TOTAL TAX LIABILITIES</t>
  </si>
  <si>
    <t>2609-0001</t>
  </si>
  <si>
    <t>Construction Management Fee Accrual</t>
  </si>
  <si>
    <t>2609-0002</t>
  </si>
  <si>
    <t>Development Fee Accrual</t>
  </si>
  <si>
    <t>2610-0000</t>
  </si>
  <si>
    <t>Workers Compensation Premium</t>
  </si>
  <si>
    <t>2620-0000</t>
  </si>
  <si>
    <t>Medical Insurance Premium</t>
  </si>
  <si>
    <t>2630-0000</t>
  </si>
  <si>
    <t>Employee Credit Union Payable</t>
  </si>
  <si>
    <t>2640-0000</t>
  </si>
  <si>
    <t>Workers Union Dues Payable</t>
  </si>
  <si>
    <t>Payroll Accrual</t>
  </si>
  <si>
    <t>2641-0000</t>
  </si>
  <si>
    <t>Garnishment Payable</t>
  </si>
  <si>
    <t>2641-1000</t>
  </si>
  <si>
    <t>Garnishment Fee</t>
  </si>
  <si>
    <t>TOTAL LIABILITIES</t>
  </si>
  <si>
    <t>CAPITAL</t>
  </si>
  <si>
    <t>3000-1000</t>
  </si>
  <si>
    <t>MJP PARTNERS</t>
  </si>
  <si>
    <t>3003-0000</t>
  </si>
  <si>
    <t>3001-0000</t>
  </si>
  <si>
    <t>MJP Capital Equity Contribution</t>
  </si>
  <si>
    <t>3002-0000</t>
  </si>
  <si>
    <t>MJP Partner Distribution</t>
  </si>
  <si>
    <t>MJP PARTNERS TOTAL</t>
  </si>
  <si>
    <t>3003-0100</t>
  </si>
  <si>
    <t>JIM HECHTMAN</t>
  </si>
  <si>
    <t>3003-0113</t>
  </si>
  <si>
    <t>3003-0111</t>
  </si>
  <si>
    <t>Jim Hechtman Contribution</t>
  </si>
  <si>
    <t>3003-0112</t>
  </si>
  <si>
    <t>Jim Hechtman Distribution</t>
  </si>
  <si>
    <t>JIM HECHTMAN TOTAL</t>
  </si>
  <si>
    <t>3003-0114</t>
  </si>
  <si>
    <t>JOSHUA MUTNICK</t>
  </si>
  <si>
    <t>3003-0117</t>
  </si>
  <si>
    <t>3003-0115</t>
  </si>
  <si>
    <t>Joshua Mutnick Contribution</t>
  </si>
  <si>
    <t>3003-0116</t>
  </si>
  <si>
    <t>Joshua Mutnick Distribution</t>
  </si>
  <si>
    <t>JOSHUA MUTNICK TOTAL</t>
  </si>
  <si>
    <t>3003-1000</t>
  </si>
  <si>
    <t>SLAB HOLDINGS LLC</t>
  </si>
  <si>
    <t>3003-1003</t>
  </si>
  <si>
    <t>3003-1001</t>
  </si>
  <si>
    <t>SLAB Holdings LLC Contribution</t>
  </si>
  <si>
    <t>3003-1002</t>
  </si>
  <si>
    <t>SLAB Holdings LLC Distribution</t>
  </si>
  <si>
    <t>SLAB HOLDINGS LLC TOTAL</t>
  </si>
  <si>
    <t>3003-1100</t>
  </si>
  <si>
    <t>ERIC BICKLER</t>
  </si>
  <si>
    <t>3003-1103</t>
  </si>
  <si>
    <t>3003-1101</t>
  </si>
  <si>
    <t>Eric Bickler Contribution</t>
  </si>
  <si>
    <t>3003-1102</t>
  </si>
  <si>
    <t>Eric Bickler Distribution</t>
  </si>
  <si>
    <t>ERIC BICKLER TOTAL</t>
  </si>
  <si>
    <t>3003-1200</t>
  </si>
  <si>
    <t>MARC TRAINA</t>
  </si>
  <si>
    <t>3003-1203</t>
  </si>
  <si>
    <t>3003-1201</t>
  </si>
  <si>
    <t>Marc Traina Contribution</t>
  </si>
  <si>
    <t>3003-1202</t>
  </si>
  <si>
    <t>Marc Traina Distribution</t>
  </si>
  <si>
    <t>MARC TRAINA TOTAL</t>
  </si>
  <si>
    <t>3003-1300</t>
  </si>
  <si>
    <t>Voshel Investments</t>
  </si>
  <si>
    <t>3003-1303</t>
  </si>
  <si>
    <t>3003-1301</t>
  </si>
  <si>
    <t>Voshel Investments Contribution</t>
  </si>
  <si>
    <t>3003-1302</t>
  </si>
  <si>
    <t>Voshel Investments Distribution</t>
  </si>
  <si>
    <t>Voshel Investments Total</t>
  </si>
  <si>
    <t>3003-1400</t>
  </si>
  <si>
    <t>Stefanos Grapsas</t>
  </si>
  <si>
    <t>3003-1403</t>
  </si>
  <si>
    <t>3003-1401</t>
  </si>
  <si>
    <t>Stefanos Grapsas Contribution</t>
  </si>
  <si>
    <t>3003-1402</t>
  </si>
  <si>
    <t>Stefanos Grapsas Distribution</t>
  </si>
  <si>
    <t>Stefanos Grapsas Total</t>
  </si>
  <si>
    <t>3003-1500</t>
  </si>
  <si>
    <t>TDSS LLC</t>
  </si>
  <si>
    <t>3003-1503</t>
  </si>
  <si>
    <t>3003-1501</t>
  </si>
  <si>
    <t>TDSS LLC Contribution</t>
  </si>
  <si>
    <t>3003-1502</t>
  </si>
  <si>
    <t>TDSS LLC Distribution</t>
  </si>
  <si>
    <t>TDSS LLC Total</t>
  </si>
  <si>
    <t>3003-1600</t>
  </si>
  <si>
    <t>Compoo Holdings LLC</t>
  </si>
  <si>
    <t>3003-1603</t>
  </si>
  <si>
    <t>3003-1601</t>
  </si>
  <si>
    <t>Compoo Holdings LLC Contribution</t>
  </si>
  <si>
    <t>3003-1602</t>
  </si>
  <si>
    <t>Compoo Holdings LLC Distribution</t>
  </si>
  <si>
    <t>Compoo Holdings LLC Total</t>
  </si>
  <si>
    <t>3003-1700</t>
  </si>
  <si>
    <t>Arnold Freeman</t>
  </si>
  <si>
    <t>3003-1703</t>
  </si>
  <si>
    <t>3003-1701</t>
  </si>
  <si>
    <t>Arnold Freeman Contribution</t>
  </si>
  <si>
    <t>3003-1702</t>
  </si>
  <si>
    <t>Arnold Freeman Distribution</t>
  </si>
  <si>
    <t>Arnold Freeman Total</t>
  </si>
  <si>
    <t>3003-1800</t>
  </si>
  <si>
    <t>Clifford Wener</t>
  </si>
  <si>
    <t>3003-1803</t>
  </si>
  <si>
    <t>3003-1801</t>
  </si>
  <si>
    <t>Clifford Wener Contribution</t>
  </si>
  <si>
    <t>3003-1802</t>
  </si>
  <si>
    <t>Clifford Wener Distribution</t>
  </si>
  <si>
    <t>Clifford Wener Total</t>
  </si>
  <si>
    <t>3003-2000</t>
  </si>
  <si>
    <t>THE DAVID MUTNICK LIVING TRUST</t>
  </si>
  <si>
    <t>3003-2003</t>
  </si>
  <si>
    <t>3003-2001</t>
  </si>
  <si>
    <t>The David Mutnick Living Trust Contribution</t>
  </si>
  <si>
    <t>3003-2002</t>
  </si>
  <si>
    <t>The David Mutnick Living Trust Distribution</t>
  </si>
  <si>
    <t>THE DAVID MUTNICK LIVING TRUST TOTAL</t>
  </si>
  <si>
    <t>3003-2010</t>
  </si>
  <si>
    <t>EP 235 Executive, LLC Contribution</t>
  </si>
  <si>
    <t>3003-2012</t>
  </si>
  <si>
    <t>EP 235 Executive, LLC Total</t>
  </si>
  <si>
    <t>3003-3000</t>
  </si>
  <si>
    <t>DANIEL BAYLY</t>
  </si>
  <si>
    <t>3003-3003</t>
  </si>
  <si>
    <t>3003-3001</t>
  </si>
  <si>
    <t>Daniel Bayly Contribution</t>
  </si>
  <si>
    <t>3003-3002</t>
  </si>
  <si>
    <t>Daniel Bayly Distribution</t>
  </si>
  <si>
    <t>DANIEL BAYLY TOTAL</t>
  </si>
  <si>
    <t>3003-4000</t>
  </si>
  <si>
    <t>MAZAL LLC</t>
  </si>
  <si>
    <t>3003-4003</t>
  </si>
  <si>
    <t>3003-4001</t>
  </si>
  <si>
    <t>Mazal LLC Contribution</t>
  </si>
  <si>
    <t>3003-4002</t>
  </si>
  <si>
    <t>Mazal LLC Distribution</t>
  </si>
  <si>
    <t>MAZAL LLC TOTAL</t>
  </si>
  <si>
    <t>3003-5000</t>
  </si>
  <si>
    <t>W THOMAS CROSS</t>
  </si>
  <si>
    <t>3003-5003</t>
  </si>
  <si>
    <t>3003-5001</t>
  </si>
  <si>
    <t>W Thomas Cross Contribution</t>
  </si>
  <si>
    <t>3003-5002</t>
  </si>
  <si>
    <t>W Thomas Cross Distribution</t>
  </si>
  <si>
    <t>W THOMAS CROSS TOTAL</t>
  </si>
  <si>
    <t>3003-6000</t>
  </si>
  <si>
    <t>MATTHEW BERTRAM</t>
  </si>
  <si>
    <t>3003-6003</t>
  </si>
  <si>
    <t>3003-6001</t>
  </si>
  <si>
    <t>Matthew Bertram Contribution</t>
  </si>
  <si>
    <t>3003-6002</t>
  </si>
  <si>
    <t>Matthew Bertram Distribution</t>
  </si>
  <si>
    <t>MATTHEW BERTRAM TOTAL</t>
  </si>
  <si>
    <t>3003-7000</t>
  </si>
  <si>
    <t>MICHAEL PERLSTEIN</t>
  </si>
  <si>
    <t>3003-7003</t>
  </si>
  <si>
    <t>3003-7001</t>
  </si>
  <si>
    <t>Michael Perlstein Contribution</t>
  </si>
  <si>
    <t>3003-7002</t>
  </si>
  <si>
    <t>Michael Perlstein Distribution</t>
  </si>
  <si>
    <t>MICHAEL PERLSTEIN TOTAL</t>
  </si>
  <si>
    <t>3003-8000</t>
  </si>
  <si>
    <t>TREE TOP INVESTMENTS LLC</t>
  </si>
  <si>
    <t>3003-8003</t>
  </si>
  <si>
    <t>3003-8001</t>
  </si>
  <si>
    <t>Tree Top Investments LLC Contribution</t>
  </si>
  <si>
    <t>3003-8002</t>
  </si>
  <si>
    <t>Tree Top Investments LLC Distribution</t>
  </si>
  <si>
    <t>TREE TOP INVESTMENTS LLC TOTAL</t>
  </si>
  <si>
    <t>3003-9000</t>
  </si>
  <si>
    <t>SL &amp; LS INVESTMENT, LLC</t>
  </si>
  <si>
    <t>3003-9003</t>
  </si>
  <si>
    <t>3003-9001</t>
  </si>
  <si>
    <t>SL &amp; LS Investment Contribution</t>
  </si>
  <si>
    <t>3003-9002</t>
  </si>
  <si>
    <t>SL &amp; LS Investment Distribution</t>
  </si>
  <si>
    <t>SL &amp; LS INVESTMENT TOTAL</t>
  </si>
  <si>
    <t>3004-0000</t>
  </si>
  <si>
    <t>EP LEGACY, LLC</t>
  </si>
  <si>
    <t>3005-1003</t>
  </si>
  <si>
    <t>3005-1000</t>
  </si>
  <si>
    <t>EP Legacy Capital Account</t>
  </si>
  <si>
    <t>3005-1001</t>
  </si>
  <si>
    <t>EP Legacy Contribution</t>
  </si>
  <si>
    <t>3005-1002</t>
  </si>
  <si>
    <t>EP Legacy Distribution</t>
  </si>
  <si>
    <t>EP LEGACY TOTAL</t>
  </si>
  <si>
    <t>3006-0000</t>
  </si>
  <si>
    <t>EP 3236-30 Ashland Capital</t>
  </si>
  <si>
    <t>3006-1003</t>
  </si>
  <si>
    <t>3006-1001</t>
  </si>
  <si>
    <t>EP 3236-30 Ashland Contribution</t>
  </si>
  <si>
    <t>3006-1002</t>
  </si>
  <si>
    <t>EP 3236-30 Ashland Distribution</t>
  </si>
  <si>
    <t>EP 3826-30 Ashland Capital Account TOTAL</t>
  </si>
  <si>
    <t>3006-1004</t>
  </si>
  <si>
    <t>11200 Kiley Storage, LLC Capital</t>
  </si>
  <si>
    <t>3006-1007</t>
  </si>
  <si>
    <t>3006-1005</t>
  </si>
  <si>
    <t>11200 Kiley Storage Contribution</t>
  </si>
  <si>
    <t>3006-1006</t>
  </si>
  <si>
    <t>11200 Kiley Storage Distribution</t>
  </si>
  <si>
    <t>11200 Kiley Storage, LLC Total</t>
  </si>
  <si>
    <t>3006-1008</t>
  </si>
  <si>
    <t>Sugar Mama Trust Capital</t>
  </si>
  <si>
    <t>3006-1011</t>
  </si>
  <si>
    <t>3006-1009</t>
  </si>
  <si>
    <t>Sugar Mama Trust Contribution</t>
  </si>
  <si>
    <t>3006-1010</t>
  </si>
  <si>
    <t>Sugar Mama Trust Distribution</t>
  </si>
  <si>
    <t>Sugar Mama Trust Total</t>
  </si>
  <si>
    <t>3006-1012</t>
  </si>
  <si>
    <t>Maurice Tanner Capital</t>
  </si>
  <si>
    <t>3006-1015</t>
  </si>
  <si>
    <t>3006-1013</t>
  </si>
  <si>
    <t>Maurice Tanner Contribution</t>
  </si>
  <si>
    <t>3006-1014</t>
  </si>
  <si>
    <t>Maurice Tanner Distribution</t>
  </si>
  <si>
    <t>Maurice Tanner Total</t>
  </si>
  <si>
    <t>3006-1016</t>
  </si>
  <si>
    <t>DGG Michal Capital</t>
  </si>
  <si>
    <t>3006-1019</t>
  </si>
  <si>
    <t>3006-1017</t>
  </si>
  <si>
    <t>DGG Michal Contribution</t>
  </si>
  <si>
    <t>3006-1018</t>
  </si>
  <si>
    <t>DGG Michal Distribution</t>
  </si>
  <si>
    <t>DGG Michal Total</t>
  </si>
  <si>
    <t>3006-1020</t>
  </si>
  <si>
    <t>Fulop and McCallum Capital</t>
  </si>
  <si>
    <t>3006-1023</t>
  </si>
  <si>
    <t>3006-1021</t>
  </si>
  <si>
    <t>Fulop and McCallum Contribution</t>
  </si>
  <si>
    <t>3006-1022</t>
  </si>
  <si>
    <t>Fulop and McCallum Distribution</t>
  </si>
  <si>
    <t>Fulop and McCallum Total</t>
  </si>
  <si>
    <t>3006-1024</t>
  </si>
  <si>
    <t>Aladdin Woods Capital</t>
  </si>
  <si>
    <t>3006-1027</t>
  </si>
  <si>
    <t>3006-1025</t>
  </si>
  <si>
    <t>Aladdin Woods Contribution</t>
  </si>
  <si>
    <t>3006-1026</t>
  </si>
  <si>
    <t>Aladdin Woods Distribution</t>
  </si>
  <si>
    <t>Aladdin Woods Total</t>
  </si>
  <si>
    <t>3006-1028</t>
  </si>
  <si>
    <t>Nathan Brown Capital</t>
  </si>
  <si>
    <t>3006-1031</t>
  </si>
  <si>
    <t>3006-1029</t>
  </si>
  <si>
    <t>Nathan Brown Contribution</t>
  </si>
  <si>
    <t>3006-1030</t>
  </si>
  <si>
    <t>Nathan Brown Distribution</t>
  </si>
  <si>
    <t>Nathan Brown Total</t>
  </si>
  <si>
    <t>3006-1032</t>
  </si>
  <si>
    <t>Pladot Paldom Capital</t>
  </si>
  <si>
    <t>3006-1035</t>
  </si>
  <si>
    <t>3006-1033</t>
  </si>
  <si>
    <t>Pladot Paldom Contribution</t>
  </si>
  <si>
    <t>3006-1034</t>
  </si>
  <si>
    <t>Pladot Paldom Distribution</t>
  </si>
  <si>
    <t>Pladot Paldom Total</t>
  </si>
  <si>
    <t>3006-1036</t>
  </si>
  <si>
    <t>Adam Denenberg Capital</t>
  </si>
  <si>
    <t>3006-1039</t>
  </si>
  <si>
    <t>3006-1037</t>
  </si>
  <si>
    <t>Adam Denenberg Contribution</t>
  </si>
  <si>
    <t>3006-1038</t>
  </si>
  <si>
    <t>Adam Denenberg Distribution</t>
  </si>
  <si>
    <t>Adam Denenberg Total</t>
  </si>
  <si>
    <t>3006-1040</t>
  </si>
  <si>
    <t>Warren Gary Capital</t>
  </si>
  <si>
    <t>3006-1043</t>
  </si>
  <si>
    <t>3006-1041</t>
  </si>
  <si>
    <t>Warren Gary Contribution</t>
  </si>
  <si>
    <t>3006-1042</t>
  </si>
  <si>
    <t>Warren Gary Distribution</t>
  </si>
  <si>
    <t>Warren Gary Total</t>
  </si>
  <si>
    <t>3006-1044</t>
  </si>
  <si>
    <t>Matt Clark Capital</t>
  </si>
  <si>
    <t>3006-1047</t>
  </si>
  <si>
    <t>3006-1045</t>
  </si>
  <si>
    <t>Matt Clark Contribution</t>
  </si>
  <si>
    <t>3006-1046</t>
  </si>
  <si>
    <t>Matt Clark Distribution</t>
  </si>
  <si>
    <t>Matt Clark Total</t>
  </si>
  <si>
    <t>3006-1048</t>
  </si>
  <si>
    <t>Cheryl Levine Capital</t>
  </si>
  <si>
    <t>3006-1051</t>
  </si>
  <si>
    <t>3006-1049</t>
  </si>
  <si>
    <t>Cheryl Levine Contribution</t>
  </si>
  <si>
    <t>3006-1050</t>
  </si>
  <si>
    <t>Cheryl Levine Distribution</t>
  </si>
  <si>
    <t>Cheryl Levine Total</t>
  </si>
  <si>
    <t>3006-1052</t>
  </si>
  <si>
    <t>Richard Levine Capital</t>
  </si>
  <si>
    <t>3006-1055</t>
  </si>
  <si>
    <t>3006-1053</t>
  </si>
  <si>
    <t>Richard Levine Contribution</t>
  </si>
  <si>
    <t>3006-1054</t>
  </si>
  <si>
    <t>Richard Levine Distribution</t>
  </si>
  <si>
    <t>Richard Levine Total</t>
  </si>
  <si>
    <t>3006-1056</t>
  </si>
  <si>
    <t>Brett Marcus Capital</t>
  </si>
  <si>
    <t>3006-1059</t>
  </si>
  <si>
    <t>3006-1057</t>
  </si>
  <si>
    <t>Brett Marcus Contribution</t>
  </si>
  <si>
    <t>3006-1058</t>
  </si>
  <si>
    <t>Brett Marcus Distribution</t>
  </si>
  <si>
    <t>Brett Marcus Total</t>
  </si>
  <si>
    <t>3006-1060</t>
  </si>
  <si>
    <t>Laura White Capital</t>
  </si>
  <si>
    <t>3006-1063</t>
  </si>
  <si>
    <t>3006-1061</t>
  </si>
  <si>
    <t>Laura White Contribution</t>
  </si>
  <si>
    <t>3006-1062</t>
  </si>
  <si>
    <t>Laura White Distribution</t>
  </si>
  <si>
    <t>Laura White Total</t>
  </si>
  <si>
    <t>3006-1064</t>
  </si>
  <si>
    <t>Leonard Levine Capital</t>
  </si>
  <si>
    <t>3006-1067</t>
  </si>
  <si>
    <t>3006-1065</t>
  </si>
  <si>
    <t>Leonard Levine Contribution</t>
  </si>
  <si>
    <t>3006-1066</t>
  </si>
  <si>
    <t>Leonard Levine Distribution</t>
  </si>
  <si>
    <t>Leonard Levine Total</t>
  </si>
  <si>
    <t>3006-1068</t>
  </si>
  <si>
    <t>11200 Kiley Storage LLC Capital</t>
  </si>
  <si>
    <t>3006-1071</t>
  </si>
  <si>
    <t>3006-1069</t>
  </si>
  <si>
    <t>11200 Kiley Storage LLC Contribution</t>
  </si>
  <si>
    <t>3006-1070</t>
  </si>
  <si>
    <t>11200 Kiley Storage LLC Distribution</t>
  </si>
  <si>
    <t>11200 Kiley Storage LLC Total</t>
  </si>
  <si>
    <t>3006-1072</t>
  </si>
  <si>
    <t>The Lin Irrevocable Trust Capital</t>
  </si>
  <si>
    <t>3006-1075</t>
  </si>
  <si>
    <t>3006-1073</t>
  </si>
  <si>
    <t>The Lin Irrevocable Trust Contribution</t>
  </si>
  <si>
    <t>3006-1074</t>
  </si>
  <si>
    <t>The Lin Irrevocable Trust Distribution</t>
  </si>
  <si>
    <t>The Lin Irrevocable Trust Total</t>
  </si>
  <si>
    <t>3006-1076</t>
  </si>
  <si>
    <t>Dave White Capital</t>
  </si>
  <si>
    <t>3006-1079</t>
  </si>
  <si>
    <t>3006-1077</t>
  </si>
  <si>
    <t>Dave White Contributions</t>
  </si>
  <si>
    <t>3006-1078</t>
  </si>
  <si>
    <t>Dave White Distributions</t>
  </si>
  <si>
    <t>Dave White Total</t>
  </si>
  <si>
    <t>3010-1000</t>
  </si>
  <si>
    <t>EP SEF III</t>
  </si>
  <si>
    <t>3010-1001</t>
  </si>
  <si>
    <t>EP SEF III Contribution</t>
  </si>
  <si>
    <t>3012-0000</t>
  </si>
  <si>
    <t>3011-0000</t>
  </si>
  <si>
    <t>EP SEF III Distribution</t>
  </si>
  <si>
    <t>EP SEF III TOTAL</t>
  </si>
  <si>
    <t>3013-1000</t>
  </si>
  <si>
    <t>EP SEF IV</t>
  </si>
  <si>
    <t>3013-1003</t>
  </si>
  <si>
    <t>3013-1001</t>
  </si>
  <si>
    <t>EP SEF IV Contribution</t>
  </si>
  <si>
    <t>3013-1002</t>
  </si>
  <si>
    <t>EP SEF IV Distribution</t>
  </si>
  <si>
    <t>EP SEF IV TOTAL</t>
  </si>
  <si>
    <t>3013-1004</t>
  </si>
  <si>
    <t>EP North Milwaukee Holdco Capital</t>
  </si>
  <si>
    <t>3013-1007</t>
  </si>
  <si>
    <t>3013-1005</t>
  </si>
  <si>
    <t>EP North Milwaukee Holdco Contribution</t>
  </si>
  <si>
    <t>3013-1006</t>
  </si>
  <si>
    <t>EP North Milwaukee Holdco Distribution</t>
  </si>
  <si>
    <t>EP North Milwaukee Holdco Total</t>
  </si>
  <si>
    <t>3019-0000</t>
  </si>
  <si>
    <t>JAMES SAYEGH</t>
  </si>
  <si>
    <t>3022-0000</t>
  </si>
  <si>
    <t>3020-0000</t>
  </si>
  <si>
    <t>James Sayegh Contribution</t>
  </si>
  <si>
    <t>3021-0000</t>
  </si>
  <si>
    <t>James Sayegh Distribution</t>
  </si>
  <si>
    <t>JAMES SAYEGH TOTAL</t>
  </si>
  <si>
    <t>3022-1000</t>
  </si>
  <si>
    <t>James Sayegh Capital Account</t>
  </si>
  <si>
    <t>3030-1000</t>
  </si>
  <si>
    <t>BOOST LLC</t>
  </si>
  <si>
    <t>3030-1001</t>
  </si>
  <si>
    <t>Boost LLC Contribution</t>
  </si>
  <si>
    <t>3032-0000</t>
  </si>
  <si>
    <t>3031-0000</t>
  </si>
  <si>
    <t>Boost LLC Distribution</t>
  </si>
  <si>
    <t>BOOST LLC TOTAL</t>
  </si>
  <si>
    <t>3032-1000</t>
  </si>
  <si>
    <t>Boost LLC Capital Account</t>
  </si>
  <si>
    <t>3035-0000</t>
  </si>
  <si>
    <t>The GREAT BIG G, LLC</t>
  </si>
  <si>
    <t>3036-0000</t>
  </si>
  <si>
    <t>The Great Big G Contribution</t>
  </si>
  <si>
    <t>3038-0000</t>
  </si>
  <si>
    <t>3037-0000</t>
  </si>
  <si>
    <t>The Great Big G Distribution</t>
  </si>
  <si>
    <t>The GREAT BIG G, LLC TOTAL</t>
  </si>
  <si>
    <t>3039-0000</t>
  </si>
  <si>
    <t>JEKI VERDE LLC</t>
  </si>
  <si>
    <t>3040-0000</t>
  </si>
  <si>
    <t>Jeki Verde LLC Contribution</t>
  </si>
  <si>
    <t>3042-0000</t>
  </si>
  <si>
    <t>3041-0000</t>
  </si>
  <si>
    <t>Jeki Verde LLC Distribution</t>
  </si>
  <si>
    <t>JEKI VERDE LLC TOTAL</t>
  </si>
  <si>
    <t>3046-0000</t>
  </si>
  <si>
    <t>RONNIE STILLMAN</t>
  </si>
  <si>
    <t>3047-0000</t>
  </si>
  <si>
    <t>Ronnie Stillman Contribution</t>
  </si>
  <si>
    <t>3049-0000</t>
  </si>
  <si>
    <t>3048-0000</t>
  </si>
  <si>
    <t>Ronnie Stillman Distribution</t>
  </si>
  <si>
    <t>RONNIE STILLMAN TOTAL</t>
  </si>
  <si>
    <t>3050-0000</t>
  </si>
  <si>
    <t>HOWARD STILLMAN</t>
  </si>
  <si>
    <t>3051-0000</t>
  </si>
  <si>
    <t>Howard Stillman Contribution</t>
  </si>
  <si>
    <t>3053-0000</t>
  </si>
  <si>
    <t>3052-0000</t>
  </si>
  <si>
    <t>Howard Stillman Distribution</t>
  </si>
  <si>
    <t>HOWARD STILLMAN TOTAL</t>
  </si>
  <si>
    <t>3055-0000</t>
  </si>
  <si>
    <t>EP ACQUISITIONS</t>
  </si>
  <si>
    <t>3056-0000</t>
  </si>
  <si>
    <t>EP Acquisitions Equity Contribution</t>
  </si>
  <si>
    <t>3060-0000</t>
  </si>
  <si>
    <t>3057-0000</t>
  </si>
  <si>
    <t>EP Partner Distribution</t>
  </si>
  <si>
    <t>EP ACQUISTIONS TOTAL</t>
  </si>
  <si>
    <t>3064-0000</t>
  </si>
  <si>
    <t>EP ACQUISITIONS II</t>
  </si>
  <si>
    <t>3065-0000</t>
  </si>
  <si>
    <t>EP Acquisitions II Equity Contribution</t>
  </si>
  <si>
    <t>3067-0000</t>
  </si>
  <si>
    <t>3066-0000</t>
  </si>
  <si>
    <t>EP Acquisitions II Equity Distribution</t>
  </si>
  <si>
    <t>EP ACQUISITIONS II TOTAL</t>
  </si>
  <si>
    <t>3068-0000</t>
  </si>
  <si>
    <t>GAMANZ, LLC</t>
  </si>
  <si>
    <t>3071-0000</t>
  </si>
  <si>
    <t>3069-0000</t>
  </si>
  <si>
    <t>Gamanz, LLC Contribution</t>
  </si>
  <si>
    <t>3070-0000</t>
  </si>
  <si>
    <t>Gamanz, LLC Distribution</t>
  </si>
  <si>
    <t>GAMANZ, LLC TOTAL</t>
  </si>
  <si>
    <t>3076-0000</t>
  </si>
  <si>
    <t>David Duckler Contribution</t>
  </si>
  <si>
    <t>3080-0000</t>
  </si>
  <si>
    <t>3077-0000</t>
  </si>
  <si>
    <t>David Duckler Distribution Account</t>
  </si>
  <si>
    <t>TOTAL DAVID DUCKLER</t>
  </si>
  <si>
    <t>3085-0000</t>
  </si>
  <si>
    <t>EP Dempster Contribution</t>
  </si>
  <si>
    <t>3090-0000</t>
  </si>
  <si>
    <t>3086-0000</t>
  </si>
  <si>
    <t>EP Dempster Distribution</t>
  </si>
  <si>
    <t>TOTAL EP DEMPSTER</t>
  </si>
  <si>
    <t>3090-1000</t>
  </si>
  <si>
    <t>EP Dempster Capital</t>
  </si>
  <si>
    <t>3091-1000</t>
  </si>
  <si>
    <t>Owner Contribution</t>
  </si>
  <si>
    <t>3100-0000</t>
  </si>
  <si>
    <t>Initial Capital</t>
  </si>
  <si>
    <t>3206-0000</t>
  </si>
  <si>
    <t>Lender Advance</t>
  </si>
  <si>
    <t>3206-0500</t>
  </si>
  <si>
    <t>Lender Distribution</t>
  </si>
  <si>
    <t>3206-1000</t>
  </si>
  <si>
    <t>Funds From Borrower</t>
  </si>
  <si>
    <t>3207-0000</t>
  </si>
  <si>
    <t>Net Income</t>
  </si>
  <si>
    <t>3207-1000</t>
  </si>
  <si>
    <t>Owner Equity</t>
  </si>
  <si>
    <t>3207-2000</t>
  </si>
  <si>
    <t>Members Equity</t>
  </si>
  <si>
    <t>3210-0000</t>
  </si>
  <si>
    <t>Prior Years Contribution</t>
  </si>
  <si>
    <t>3300-0000</t>
  </si>
  <si>
    <t>Owner Distributions</t>
  </si>
  <si>
    <t>3303-1410</t>
  </si>
  <si>
    <t>Cross Family Trust</t>
  </si>
  <si>
    <t>3303-1413</t>
  </si>
  <si>
    <t>3303-1411</t>
  </si>
  <si>
    <t>Cross Family Trust Contribution</t>
  </si>
  <si>
    <t>3303-1412</t>
  </si>
  <si>
    <t>Cross Family Trust Distribution</t>
  </si>
  <si>
    <t>Cross Family Trust Total</t>
  </si>
  <si>
    <t>3303-1420</t>
  </si>
  <si>
    <t>RDL Investments LLC</t>
  </si>
  <si>
    <t>3303-1423</t>
  </si>
  <si>
    <t>3303-1421</t>
  </si>
  <si>
    <t>RDL Investments LLC Contribution</t>
  </si>
  <si>
    <t>3303-1422</t>
  </si>
  <si>
    <t>RDL Investments LLC Distribution</t>
  </si>
  <si>
    <t>RDL Investments LLC Total</t>
  </si>
  <si>
    <t>3303-1430</t>
  </si>
  <si>
    <t>Feng Bei</t>
  </si>
  <si>
    <t>3303-1433</t>
  </si>
  <si>
    <t>3303-1431</t>
  </si>
  <si>
    <t>Feng Bei Contribution</t>
  </si>
  <si>
    <t>3303-1432</t>
  </si>
  <si>
    <t>Feng Bei Distribution</t>
  </si>
  <si>
    <t>Feng Bei Total</t>
  </si>
  <si>
    <t>3303-1440</t>
  </si>
  <si>
    <t>Brad Sarnoff Declaration of Trust</t>
  </si>
  <si>
    <t>3303-1443</t>
  </si>
  <si>
    <t>3303-1441</t>
  </si>
  <si>
    <t>Brad Sarnoff Declaration of Trust Contribution</t>
  </si>
  <si>
    <t>3303-1442</t>
  </si>
  <si>
    <t>Brad Sarnoff Declaration of Trust Distribution</t>
  </si>
  <si>
    <t>Brad Sarnoff Declaration of Trust Total</t>
  </si>
  <si>
    <t>3303-1450</t>
  </si>
  <si>
    <t>R&amp;C Partners</t>
  </si>
  <si>
    <t>3303-1453</t>
  </si>
  <si>
    <t>3303-1451</t>
  </si>
  <si>
    <t>R&amp;C Partners Contribution</t>
  </si>
  <si>
    <t>3303-1452</t>
  </si>
  <si>
    <t>R&amp;C Partners Distribution</t>
  </si>
  <si>
    <t>R&amp;C Partners Total</t>
  </si>
  <si>
    <t>3303-1460</t>
  </si>
  <si>
    <t>Tony Mirchandani</t>
  </si>
  <si>
    <t>3303-1463</t>
  </si>
  <si>
    <t>3303-1461</t>
  </si>
  <si>
    <t>Tony Mirchandani Contribution</t>
  </si>
  <si>
    <t>3303-1462</t>
  </si>
  <si>
    <t>Tony Mirchandani Distribution</t>
  </si>
  <si>
    <t>Tony Mirchandani Total</t>
  </si>
  <si>
    <t>3303-1470</t>
  </si>
  <si>
    <t>Chuck Dinolfo</t>
  </si>
  <si>
    <t>3303-1473</t>
  </si>
  <si>
    <t>3303-1471</t>
  </si>
  <si>
    <t>Chuck Dinolfo Contribution</t>
  </si>
  <si>
    <t>3303-1472</t>
  </si>
  <si>
    <t>Chuck Dinolfo Distribution</t>
  </si>
  <si>
    <t>Chuck Dinolfo Total</t>
  </si>
  <si>
    <t>3303-1480</t>
  </si>
  <si>
    <t>Larry Elbaum</t>
  </si>
  <si>
    <t>3303-1483</t>
  </si>
  <si>
    <t>3303-1481</t>
  </si>
  <si>
    <t>Larry Elbaum Contribution</t>
  </si>
  <si>
    <t>3303-1482</t>
  </si>
  <si>
    <t>Larry Elbaum Distribution</t>
  </si>
  <si>
    <t>Larry Elbaum Total</t>
  </si>
  <si>
    <t>3303-1490</t>
  </si>
  <si>
    <t>Tarun</t>
  </si>
  <si>
    <t>3303-1493</t>
  </si>
  <si>
    <t>3303-1491</t>
  </si>
  <si>
    <t>Tarun Contribution</t>
  </si>
  <si>
    <t>3303-1492</t>
  </si>
  <si>
    <t>Tarun Distribution</t>
  </si>
  <si>
    <t>Tarun Total</t>
  </si>
  <si>
    <t>3303-1500</t>
  </si>
  <si>
    <t>Stephen Investment Co.</t>
  </si>
  <si>
    <t>3303-1503</t>
  </si>
  <si>
    <t>3303-1501</t>
  </si>
  <si>
    <t>Stephen Investment Co. Contribution</t>
  </si>
  <si>
    <t>3303-1502</t>
  </si>
  <si>
    <t>Stephen Investment Co. Distribution</t>
  </si>
  <si>
    <t>Stephen Investment Co. Total</t>
  </si>
  <si>
    <t>3303-1510</t>
  </si>
  <si>
    <t>Thirty 31 Partners LLC</t>
  </si>
  <si>
    <t>3303-1513</t>
  </si>
  <si>
    <t>3303-1511</t>
  </si>
  <si>
    <t>Thirty 31 Partners LLC Contribution</t>
  </si>
  <si>
    <t>3303-1512</t>
  </si>
  <si>
    <t>Thirty 31 Partners LLC Distribution</t>
  </si>
  <si>
    <t>Thirty 31 Partners LLC Total</t>
  </si>
  <si>
    <t>3303-1515</t>
  </si>
  <si>
    <t>Dan Shachtman Trust</t>
  </si>
  <si>
    <t>3303-1516</t>
  </si>
  <si>
    <t>Dan Shachtman Trust Contribution</t>
  </si>
  <si>
    <t>3303-1518</t>
  </si>
  <si>
    <t>3303-1517</t>
  </si>
  <si>
    <t>Dan Shachtman Trust Distribution</t>
  </si>
  <si>
    <t>Dan Shachtman Trust Total</t>
  </si>
  <si>
    <t>3303-1520</t>
  </si>
  <si>
    <t>Larry Feller</t>
  </si>
  <si>
    <t>3303-1523</t>
  </si>
  <si>
    <t>3303-1521</t>
  </si>
  <si>
    <t>Larry Feller Contribution</t>
  </si>
  <si>
    <t>3303-1522</t>
  </si>
  <si>
    <t>Larry Feller Distribution</t>
  </si>
  <si>
    <t>Larry Feller Total</t>
  </si>
  <si>
    <t>3303-1530</t>
  </si>
  <si>
    <t>Thomas Sitz</t>
  </si>
  <si>
    <t>3303-1533</t>
  </si>
  <si>
    <t>3303-1531</t>
  </si>
  <si>
    <t>Thomas Sitz Contribution</t>
  </si>
  <si>
    <t>3303-1532</t>
  </si>
  <si>
    <t>Thomas Sitz Distribution</t>
  </si>
  <si>
    <t>Thomas Sitz Total</t>
  </si>
  <si>
    <t>3303-1540</t>
  </si>
  <si>
    <t>Loraine Kaufman Trust</t>
  </si>
  <si>
    <t>3303-1543</t>
  </si>
  <si>
    <t>3303-1541</t>
  </si>
  <si>
    <t>Loraine Kaufman Trust Contribution</t>
  </si>
  <si>
    <t>3303-1542</t>
  </si>
  <si>
    <t>Loraine Kaufman Trust Distribution</t>
  </si>
  <si>
    <t>Loraine Kaufman Trust Total</t>
  </si>
  <si>
    <t>3303-1550</t>
  </si>
  <si>
    <t>Siyi Li</t>
  </si>
  <si>
    <t>3303-1553</t>
  </si>
  <si>
    <t>3303-1551</t>
  </si>
  <si>
    <t>Siyi Li Contribution</t>
  </si>
  <si>
    <t>3303-1552</t>
  </si>
  <si>
    <t>Siyi Li Distribution</t>
  </si>
  <si>
    <t>Siyi Li Total</t>
  </si>
  <si>
    <t>3303-1560</t>
  </si>
  <si>
    <t>David Tanner</t>
  </si>
  <si>
    <t>3303-1563</t>
  </si>
  <si>
    <t>3303-1561</t>
  </si>
  <si>
    <t>David Tanner Contribution</t>
  </si>
  <si>
    <t>3303-1562</t>
  </si>
  <si>
    <t>David Tanner Distribution</t>
  </si>
  <si>
    <t>David Tanner Total</t>
  </si>
  <si>
    <t>3303-2001</t>
  </si>
  <si>
    <t>Jarcadia LLC</t>
  </si>
  <si>
    <t>3303-2002</t>
  </si>
  <si>
    <t>Jarcadia LLC Contribution</t>
  </si>
  <si>
    <t>3303-2004</t>
  </si>
  <si>
    <t>3303-2003</t>
  </si>
  <si>
    <t>Jarcadia LLC Distribution</t>
  </si>
  <si>
    <t>Jarcadia LLC Total</t>
  </si>
  <si>
    <t>3303-2005</t>
  </si>
  <si>
    <t>Matt Bowker Capital Account</t>
  </si>
  <si>
    <t>3303-2008</t>
  </si>
  <si>
    <t>3303-2006</t>
  </si>
  <si>
    <t>Matt Bowker Contribution</t>
  </si>
  <si>
    <t>3303-2007</t>
  </si>
  <si>
    <t>Matt Bowker Distribution</t>
  </si>
  <si>
    <t>Matt Bowker Total</t>
  </si>
  <si>
    <t>3303-2009</t>
  </si>
  <si>
    <t>EP 235 Executive, LLC</t>
  </si>
  <si>
    <t>3303-2010</t>
  </si>
  <si>
    <t>3303-2012</t>
  </si>
  <si>
    <t>3303-2011</t>
  </si>
  <si>
    <t>EP 235 Executive, LLC Distribution</t>
  </si>
  <si>
    <t>3303-2013</t>
  </si>
  <si>
    <t>Elmdale Partners</t>
  </si>
  <si>
    <t>3303-2016</t>
  </si>
  <si>
    <t>3303-2014</t>
  </si>
  <si>
    <t>Elmdale Partners Contribution</t>
  </si>
  <si>
    <t>3303-2015</t>
  </si>
  <si>
    <t>Elmdale Partners Distribution</t>
  </si>
  <si>
    <t>Elmdale Partners Total</t>
  </si>
  <si>
    <t>3303-2018</t>
  </si>
  <si>
    <t>Asaf Ben Dror</t>
  </si>
  <si>
    <t>3303-2021</t>
  </si>
  <si>
    <t>3303-2019</t>
  </si>
  <si>
    <t>Asaf Ben Dror Contribution</t>
  </si>
  <si>
    <t>3303-2020</t>
  </si>
  <si>
    <t>Asaf Ben Dror Distribution</t>
  </si>
  <si>
    <t>Asaf Ben Dror Total</t>
  </si>
  <si>
    <t>3303-2022</t>
  </si>
  <si>
    <t>Tom Bretz/Badger Elmdale</t>
  </si>
  <si>
    <t>3303-2025</t>
  </si>
  <si>
    <t>3303-2023</t>
  </si>
  <si>
    <t>Tom Bretz/Badger Elmdale Contribution</t>
  </si>
  <si>
    <t>3303-2024</t>
  </si>
  <si>
    <t>Tom Bretz/Badger Elmdale Distribution</t>
  </si>
  <si>
    <t>Tom Bretz/Badger Elmdale Total</t>
  </si>
  <si>
    <t>3303-2026</t>
  </si>
  <si>
    <t>Adam Freeman</t>
  </si>
  <si>
    <t>3303-2029</t>
  </si>
  <si>
    <t>3303-2027</t>
  </si>
  <si>
    <t>Adam Freeman Contribution</t>
  </si>
  <si>
    <t>3303-2028</t>
  </si>
  <si>
    <t>Adam Freeman Distribution</t>
  </si>
  <si>
    <t>Adam Freeman Total</t>
  </si>
  <si>
    <t>3303-2030</t>
  </si>
  <si>
    <t>EP 5520 Salem Bend Capital</t>
  </si>
  <si>
    <t>3303-2033</t>
  </si>
  <si>
    <t>3303-2031</t>
  </si>
  <si>
    <t>EP 5520 Salem Bend Contributions</t>
  </si>
  <si>
    <t>3303-2032</t>
  </si>
  <si>
    <t>EP 5520 Salem Bend Distributions</t>
  </si>
  <si>
    <t>EP 5520 Salem Bend Total</t>
  </si>
  <si>
    <t>3303-2034</t>
  </si>
  <si>
    <t>Charles A Anderson Contribution</t>
  </si>
  <si>
    <t>3303-2036</t>
  </si>
  <si>
    <t>3303-2035</t>
  </si>
  <si>
    <t>Charles A Anderson Distribution</t>
  </si>
  <si>
    <t>CHARLES A ANDERSON TOTAL</t>
  </si>
  <si>
    <t>3303-2037</t>
  </si>
  <si>
    <t>James Feaster Contribution</t>
  </si>
  <si>
    <t>3303-2039</t>
  </si>
  <si>
    <t>3303-2038</t>
  </si>
  <si>
    <t>James Feaster Distribution</t>
  </si>
  <si>
    <t>JAMES FEASTER TOTAL</t>
  </si>
  <si>
    <t>3303-2040</t>
  </si>
  <si>
    <t>James Sayegh Revocable Trust Contribution</t>
  </si>
  <si>
    <t>3303-2042</t>
  </si>
  <si>
    <t>3303-2041</t>
  </si>
  <si>
    <t>James Sayegh Revocable Trust Distribution</t>
  </si>
  <si>
    <t>JAMES SAYEGH REVOCABLE TRUST TOTAL</t>
  </si>
  <si>
    <t>3303-2043</t>
  </si>
  <si>
    <t>Tye Gribb Contribution</t>
  </si>
  <si>
    <t>3303-2045</t>
  </si>
  <si>
    <t>3303-2044</t>
  </si>
  <si>
    <t>Tye Gribb Distribution</t>
  </si>
  <si>
    <t>TYE GRIBB TOTAL</t>
  </si>
  <si>
    <t>3303-2046</t>
  </si>
  <si>
    <t>Nicholas Marino Contribution</t>
  </si>
  <si>
    <t>3303-2048</t>
  </si>
  <si>
    <t>3303-2047</t>
  </si>
  <si>
    <t>Nicholas Marino Distribution</t>
  </si>
  <si>
    <t>NICHOLAS MARINO TOTAL</t>
  </si>
  <si>
    <t>3303-2049</t>
  </si>
  <si>
    <t>Amy Shuman Contribution</t>
  </si>
  <si>
    <t>3303-2051</t>
  </si>
  <si>
    <t>3303-2050</t>
  </si>
  <si>
    <t>Amy Shuman Distribution</t>
  </si>
  <si>
    <t>AMY SHUMAN TOTAL</t>
  </si>
  <si>
    <t>3303-2052</t>
  </si>
  <si>
    <t>James Darrow Revocable Trust Contribution</t>
  </si>
  <si>
    <t>3303-2054</t>
  </si>
  <si>
    <t>3303-2053</t>
  </si>
  <si>
    <t>James Darrow Revocable Trust Distribution</t>
  </si>
  <si>
    <t>JAMES DARROW REVOCABLE TRUST TOTAL</t>
  </si>
  <si>
    <t>3303-2055</t>
  </si>
  <si>
    <t>Richard Solley Contribution</t>
  </si>
  <si>
    <t>3303-2057</t>
  </si>
  <si>
    <t>3303-2056</t>
  </si>
  <si>
    <t>Richard Solley Distribution</t>
  </si>
  <si>
    <t>RICHARD SOLLEY TOTAL</t>
  </si>
  <si>
    <t>3303-2058</t>
  </si>
  <si>
    <t>Jill K Donnellon Trust Contribution</t>
  </si>
  <si>
    <t>3303-2060</t>
  </si>
  <si>
    <t>3303-2059</t>
  </si>
  <si>
    <t>Jill K Donnellon Trust Distribution</t>
  </si>
  <si>
    <t>JILL K DONNELLON TRUST TOTAL</t>
  </si>
  <si>
    <t>3303-2061</t>
  </si>
  <si>
    <t>Larry Honigman Contribution</t>
  </si>
  <si>
    <t>3303-2063</t>
  </si>
  <si>
    <t>3303-2062</t>
  </si>
  <si>
    <t>Larry Honigman Distribution</t>
  </si>
  <si>
    <t>LARRY HONIGMAN TOTAL</t>
  </si>
  <si>
    <t>3303-2064</t>
  </si>
  <si>
    <t>Bubbles Holdings, LP Contribution</t>
  </si>
  <si>
    <t>3303-2066</t>
  </si>
  <si>
    <t>3303-2065</t>
  </si>
  <si>
    <t>Bubbles Holdings, LP Distribution</t>
  </si>
  <si>
    <t>BUBBLES HOLDINGS, LP TOTAL</t>
  </si>
  <si>
    <t>3303-2067</t>
  </si>
  <si>
    <t>Maureen Brown Contribution</t>
  </si>
  <si>
    <t>3303-2069</t>
  </si>
  <si>
    <t>3303-2068</t>
  </si>
  <si>
    <t>Maureen Brown Distribution</t>
  </si>
  <si>
    <t>MAUREEN BROWN TOTAL</t>
  </si>
  <si>
    <t>3303-2070</t>
  </si>
  <si>
    <t>Ed Zender Contribution</t>
  </si>
  <si>
    <t>3303-2072</t>
  </si>
  <si>
    <t>3303-2071</t>
  </si>
  <si>
    <t>Ed Zender Distribution</t>
  </si>
  <si>
    <t>ED ZENDER TOTAL</t>
  </si>
  <si>
    <t>3303-2073</t>
  </si>
  <si>
    <t>David Welles Contribution</t>
  </si>
  <si>
    <t>3303-2075</t>
  </si>
  <si>
    <t>3303-2074</t>
  </si>
  <si>
    <t>David Welles Distribution</t>
  </si>
  <si>
    <t>DAVID WELLES TOTAL</t>
  </si>
  <si>
    <t>3303-2076</t>
  </si>
  <si>
    <t>Scott Samlan Contribution</t>
  </si>
  <si>
    <t>3303-2078</t>
  </si>
  <si>
    <t>3303-2077</t>
  </si>
  <si>
    <t>Scott Samlan Distribution</t>
  </si>
  <si>
    <t>SCOTT SAMLAN TOTAL</t>
  </si>
  <si>
    <t>3303-2079</t>
  </si>
  <si>
    <t>Nicholas Zappone Contribution</t>
  </si>
  <si>
    <t>3303-2081</t>
  </si>
  <si>
    <t>3303-2080</t>
  </si>
  <si>
    <t>Nicholas Zappone Distribution</t>
  </si>
  <si>
    <t>NICHOLAS ZAPPONE TOTAL</t>
  </si>
  <si>
    <t>3303-2082</t>
  </si>
  <si>
    <t>Hampton Terrace SD LLC Contribution</t>
  </si>
  <si>
    <t>3303-2084</t>
  </si>
  <si>
    <t>3303-2083</t>
  </si>
  <si>
    <t>Hampton Terrace SD LLC Distribution</t>
  </si>
  <si>
    <t>HAMPTON TERRACE SD LLC TOTAL</t>
  </si>
  <si>
    <t>3303-2085</t>
  </si>
  <si>
    <t>Michael Mazur Contribution</t>
  </si>
  <si>
    <t>3303-2087</t>
  </si>
  <si>
    <t>3303-2086</t>
  </si>
  <si>
    <t>Michael Mazur Distribution</t>
  </si>
  <si>
    <t>MICHAEL MAZUR TOTAL</t>
  </si>
  <si>
    <t>3303-2088</t>
  </si>
  <si>
    <t>Chris Lindemann Contribution</t>
  </si>
  <si>
    <t>3303-2090</t>
  </si>
  <si>
    <t>3303-2089</t>
  </si>
  <si>
    <t>Chris Lindemann Distribution</t>
  </si>
  <si>
    <t>CHRIS LINDEMANN TOTAL</t>
  </si>
  <si>
    <t>3303-2091</t>
  </si>
  <si>
    <t>Aaron Shefren Contribution</t>
  </si>
  <si>
    <t>3303-2093</t>
  </si>
  <si>
    <t>3303-2092</t>
  </si>
  <si>
    <t>Aaron Shefren Distribution</t>
  </si>
  <si>
    <t>AARON SHEFREN TOTAL</t>
  </si>
  <si>
    <t>3303-2094</t>
  </si>
  <si>
    <t>Eli Tal Contribution</t>
  </si>
  <si>
    <t>3303-2096</t>
  </si>
  <si>
    <t>3303-2095</t>
  </si>
  <si>
    <t>Eli Tal Distribution</t>
  </si>
  <si>
    <t>ELI TAL TOTAL</t>
  </si>
  <si>
    <t>3303-2097</t>
  </si>
  <si>
    <t>Michael Mina Contribution</t>
  </si>
  <si>
    <t>3303-2099</t>
  </si>
  <si>
    <t>3303-2098</t>
  </si>
  <si>
    <t>Michael Mina Distribution</t>
  </si>
  <si>
    <t>MICHAEL MINA TOTAL</t>
  </si>
  <si>
    <t>3303-2100</t>
  </si>
  <si>
    <t>3-D Partners Contribution</t>
  </si>
  <si>
    <t>3303-2102</t>
  </si>
  <si>
    <t>3303-2101</t>
  </si>
  <si>
    <t>3-D Partners Distribution</t>
  </si>
  <si>
    <t>3-D PARTNERS TOTAL</t>
  </si>
  <si>
    <t>3303-2103</t>
  </si>
  <si>
    <t>Patricia and Marco Kremser Contribution</t>
  </si>
  <si>
    <t>3303-2105</t>
  </si>
  <si>
    <t>3303-2104</t>
  </si>
  <si>
    <t>Patricia and Marco Kremser Distribution</t>
  </si>
  <si>
    <t>PATRICIA AND MARCO KREMSER TOTAL</t>
  </si>
  <si>
    <t>3303-2106</t>
  </si>
  <si>
    <t>Shawn Freibert Contribution</t>
  </si>
  <si>
    <t>3303-2108</t>
  </si>
  <si>
    <t>3303-2107</t>
  </si>
  <si>
    <t>Shawn Freibert Distribution</t>
  </si>
  <si>
    <t>SHAWN FREIBERT TOTAL</t>
  </si>
  <si>
    <t>3303-2109</t>
  </si>
  <si>
    <t>Richard and Andrea Ginsburg Contribution</t>
  </si>
  <si>
    <t>3303-2111</t>
  </si>
  <si>
    <t>3303-2110</t>
  </si>
  <si>
    <t>Richard and Andrea Ginsburg Distribution</t>
  </si>
  <si>
    <t>RICHARD AND ANDREA GINSBURG TOTAL</t>
  </si>
  <si>
    <t>3303-2112</t>
  </si>
  <si>
    <t>David and Loni Itah Contribution</t>
  </si>
  <si>
    <t>3303-2114</t>
  </si>
  <si>
    <t>3303-2113</t>
  </si>
  <si>
    <t>David and Loni Itah Distribution</t>
  </si>
  <si>
    <t>DAVID AND LONI ITAH TOTAL</t>
  </si>
  <si>
    <t>3303-2115</t>
  </si>
  <si>
    <t>Moshe Melcer Contribution</t>
  </si>
  <si>
    <t>3303-2117</t>
  </si>
  <si>
    <t>3303-2116</t>
  </si>
  <si>
    <t>Moshe Melcer Distribution</t>
  </si>
  <si>
    <t>MOSHE MELCER TOTAL</t>
  </si>
  <si>
    <t>3303-2118</t>
  </si>
  <si>
    <t>Matthew and Erin Ritof Contribution</t>
  </si>
  <si>
    <t>3303-2120</t>
  </si>
  <si>
    <t>3303-2119</t>
  </si>
  <si>
    <t>Matthew and Erin Ritof Distribution</t>
  </si>
  <si>
    <t>MATTHEW AND ERIN RITOF TOTAL</t>
  </si>
  <si>
    <t>3303-2121</t>
  </si>
  <si>
    <t>George and Gabriela Gladman Contribution</t>
  </si>
  <si>
    <t>3303-2123</t>
  </si>
  <si>
    <t>3303-2122</t>
  </si>
  <si>
    <t>George and Gabriela Gladman Distribution</t>
  </si>
  <si>
    <t>GEORGE AND GABRIELA GLADMAN TOTAL</t>
  </si>
  <si>
    <t>3303-2124</t>
  </si>
  <si>
    <t>Steve Maziarka Contribution</t>
  </si>
  <si>
    <t>3303-2126</t>
  </si>
  <si>
    <t>3303-2125</t>
  </si>
  <si>
    <t>Steve Maziarka Distribution</t>
  </si>
  <si>
    <t>STEVE MAZIARKA TOTAL</t>
  </si>
  <si>
    <t>3303-2127</t>
  </si>
  <si>
    <t>Paula Bacheller Contribution</t>
  </si>
  <si>
    <t>3303-2129</t>
  </si>
  <si>
    <t>3303-2128</t>
  </si>
  <si>
    <t>Paula Bacheller Distribution</t>
  </si>
  <si>
    <t>PAULA BACHELLER TOTAL</t>
  </si>
  <si>
    <t>3303-2130</t>
  </si>
  <si>
    <t>Rosalie and Jon Mendia Contribution</t>
  </si>
  <si>
    <t>3303-2132</t>
  </si>
  <si>
    <t>3303-2131</t>
  </si>
  <si>
    <t>Rosalie and Jon Mendia Distribution</t>
  </si>
  <si>
    <t>ROSALIE AND JON MENDIA TOTAL</t>
  </si>
  <si>
    <t>3303-2133</t>
  </si>
  <si>
    <t>ICMC DRE Storsafe Member Contribution</t>
  </si>
  <si>
    <t>3303-2135</t>
  </si>
  <si>
    <t>3303-2134</t>
  </si>
  <si>
    <t>ICMC DRE Storsafe Member Distribution</t>
  </si>
  <si>
    <t>ICMC DRE STORSAFE MEMBER TOTAL</t>
  </si>
  <si>
    <t>3303-2136</t>
  </si>
  <si>
    <t>EP Storsafe Contribution</t>
  </si>
  <si>
    <t>3303-2138</t>
  </si>
  <si>
    <t>3303-2137</t>
  </si>
  <si>
    <t>EP Storsafe Distribution</t>
  </si>
  <si>
    <t>EP STORSAFE TOTAL</t>
  </si>
  <si>
    <t>3303-2139</t>
  </si>
  <si>
    <t>Jason Stringer Contribution</t>
  </si>
  <si>
    <t>3303-2141</t>
  </si>
  <si>
    <t>3303-2140</t>
  </si>
  <si>
    <t>Jason Stringer Distribution</t>
  </si>
  <si>
    <t>JASON STRINGER TOTAL</t>
  </si>
  <si>
    <t>3303-2142</t>
  </si>
  <si>
    <t>Marc Polizzi Contribution</t>
  </si>
  <si>
    <t>3303-2144</t>
  </si>
  <si>
    <t>3303-2143</t>
  </si>
  <si>
    <t>Marc Polizzi Distribution</t>
  </si>
  <si>
    <t>MARC POLIZZI TOTAL</t>
  </si>
  <si>
    <t>3303-2145</t>
  </si>
  <si>
    <t>Doug Sharfstein Contribution</t>
  </si>
  <si>
    <t>3303-2147</t>
  </si>
  <si>
    <t>3303-2146</t>
  </si>
  <si>
    <t>Doug Sharfstein Distribution</t>
  </si>
  <si>
    <t>DOUG SHARFSTEIN TOTAL</t>
  </si>
  <si>
    <t>3303-2148</t>
  </si>
  <si>
    <t>Noel Williams Contribution</t>
  </si>
  <si>
    <t>3303-2150</t>
  </si>
  <si>
    <t>3303-2149</t>
  </si>
  <si>
    <t>Noel Williams Distribution</t>
  </si>
  <si>
    <t>NOEL WILLIAMS TOTAL</t>
  </si>
  <si>
    <t>Storsafe DRE JV Contribution</t>
  </si>
  <si>
    <t>Storsafe DRE JV Distribution</t>
  </si>
  <si>
    <t>3303-2154</t>
  </si>
  <si>
    <t>Ginnifer and Jeff Maydew Contribution</t>
  </si>
  <si>
    <t>3303-2156</t>
  </si>
  <si>
    <t>3303-2155</t>
  </si>
  <si>
    <t>Ginnifer and Jeff Maydew Distribution</t>
  </si>
  <si>
    <t>GINNIFER and JEFF MAYDEW TOTAL</t>
  </si>
  <si>
    <t>3303-2157</t>
  </si>
  <si>
    <t>Robert Teverbaugh and Stephen Donart Contribution</t>
  </si>
  <si>
    <t>3303-2159</t>
  </si>
  <si>
    <t>3303-2158</t>
  </si>
  <si>
    <t>Robert Teverbaugh and Stephen Donart Distribution</t>
  </si>
  <si>
    <t>ROBERT TEVERBAUGH and STEPHEN DONART TOTAL</t>
  </si>
  <si>
    <t>3303-2160</t>
  </si>
  <si>
    <t>Storsafe DRE JV 2 Contribution</t>
  </si>
  <si>
    <t>3303-2162</t>
  </si>
  <si>
    <t>3303-2161</t>
  </si>
  <si>
    <t>Storsafe DRE JV 2 Distribution</t>
  </si>
  <si>
    <t>STORSAFE DRE JV 2 TOTAL</t>
  </si>
  <si>
    <t>3303-2163</t>
  </si>
  <si>
    <t>EP Storsafe 2 Contribution</t>
  </si>
  <si>
    <t>3303-2165</t>
  </si>
  <si>
    <t>3303-2164</t>
  </si>
  <si>
    <t>EP Storsafe 2 Distribution</t>
  </si>
  <si>
    <t>EP STORSAFE 2 TOTAL</t>
  </si>
  <si>
    <t>3303-2166</t>
  </si>
  <si>
    <t>DRE Storsafe 2.0 Contribution</t>
  </si>
  <si>
    <t>3303-2168</t>
  </si>
  <si>
    <t>3303-2167</t>
  </si>
  <si>
    <t>DRE Storsafe 2.0 Distribution</t>
  </si>
  <si>
    <t>DRE STORSAFE 2.0 LLC TOTAL</t>
  </si>
  <si>
    <t>3303-2169</t>
  </si>
  <si>
    <t>Legacy Community Housing Corp Contribution</t>
  </si>
  <si>
    <t>3303-2171</t>
  </si>
  <si>
    <t>3303-2170</t>
  </si>
  <si>
    <t>Legacy Community Housing Corp Distribution</t>
  </si>
  <si>
    <t>LEGACY COMMUNITY HOUSING CORP TOTAL</t>
  </si>
  <si>
    <t>3303-2172</t>
  </si>
  <si>
    <t>Brent Sobol Contribution</t>
  </si>
  <si>
    <t>3303-2174</t>
  </si>
  <si>
    <t>3303-2173</t>
  </si>
  <si>
    <t>Brent Sobol Distribution</t>
  </si>
  <si>
    <t>BRENT SOBOL TOTAL</t>
  </si>
  <si>
    <t>3303-2175</t>
  </si>
  <si>
    <t>Bradley S. M. Dworkin Revocable Trust dated 9-5-2002 Contrib</t>
  </si>
  <si>
    <t>3303-2177</t>
  </si>
  <si>
    <t>3303-2176</t>
  </si>
  <si>
    <t>Bradley S. M. Dworkin Revocable Trust dated 9-5-2002 Distrib</t>
  </si>
  <si>
    <t>BRADLEY S. M. DWORKIN REVOCABLE TRUST DATED 9-5-2002 TOTAL</t>
  </si>
  <si>
    <t>3303-2178</t>
  </si>
  <si>
    <t>Mitze Amoroso Contribution</t>
  </si>
  <si>
    <t>3303-2180</t>
  </si>
  <si>
    <t>3303-2179</t>
  </si>
  <si>
    <t>Mitze Amoroso Distribution</t>
  </si>
  <si>
    <t>MITZE AMOROSO TOTAL</t>
  </si>
  <si>
    <t>3303-2181</t>
  </si>
  <si>
    <t>Kelli Kosmatka Contribution</t>
  </si>
  <si>
    <t>3303-2183</t>
  </si>
  <si>
    <t>3303-2182</t>
  </si>
  <si>
    <t>Kelli Kosmatka Distribution</t>
  </si>
  <si>
    <t>KELLI KOSMATKA TOTAL</t>
  </si>
  <si>
    <t>3303-2184</t>
  </si>
  <si>
    <t>Ruta Susinskas Contribution</t>
  </si>
  <si>
    <t>3303-2186</t>
  </si>
  <si>
    <t>3303-2185</t>
  </si>
  <si>
    <t>Ruta Susinskas Distribution</t>
  </si>
  <si>
    <t>RUTA SUSINSKAS TOTAL</t>
  </si>
  <si>
    <t>3303-2187</t>
  </si>
  <si>
    <t>Steve Goodman Contribution</t>
  </si>
  <si>
    <t>3303-2189</t>
  </si>
  <si>
    <t>3303-2188</t>
  </si>
  <si>
    <t>Steve Goodman Distribution</t>
  </si>
  <si>
    <t>STEVE GOODMAN TOTAL</t>
  </si>
  <si>
    <t>3303-2190</t>
  </si>
  <si>
    <t>Balduf Enterprises LLC Contribution</t>
  </si>
  <si>
    <t>3303-2192</t>
  </si>
  <si>
    <t>3303-2191</t>
  </si>
  <si>
    <t>Balduf Enterprises LLC Distribution</t>
  </si>
  <si>
    <t>BALDUF ENTERPRISES LLC TOTAL</t>
  </si>
  <si>
    <t>3303-2193</t>
  </si>
  <si>
    <t>Lionshare Enterprises LLC Contribution</t>
  </si>
  <si>
    <t>3303-2196</t>
  </si>
  <si>
    <t>3303-2194</t>
  </si>
  <si>
    <t>Lionshare Enterprises LLC Distrbution</t>
  </si>
  <si>
    <t>3303-2195</t>
  </si>
  <si>
    <t>DO NOT USE</t>
  </si>
  <si>
    <t>LIONSHARE ENTERPRISES LLC TOTAL</t>
  </si>
  <si>
    <t>3303-2197</t>
  </si>
  <si>
    <t>Marcin Jakubowski Contribution</t>
  </si>
  <si>
    <t>3303-2199</t>
  </si>
  <si>
    <t>3303-2198</t>
  </si>
  <si>
    <t>Marcin Jakubowski Distribution</t>
  </si>
  <si>
    <t>MARCIN JAKUBOWSKI TOTAL</t>
  </si>
  <si>
    <t>3303-2200</t>
  </si>
  <si>
    <t>Adam Wroblewski Contribution</t>
  </si>
  <si>
    <t>3303-2202</t>
  </si>
  <si>
    <t>3303-2201</t>
  </si>
  <si>
    <t>Adam Wroblewski Distribution</t>
  </si>
  <si>
    <t>ADAM WROBLEWSKI TOTAL</t>
  </si>
  <si>
    <t>3303-2203</t>
  </si>
  <si>
    <t>Abby Polin Contribution</t>
  </si>
  <si>
    <t>3303-2205</t>
  </si>
  <si>
    <t>3303-2204</t>
  </si>
  <si>
    <t>Abby Polin Distribution</t>
  </si>
  <si>
    <t>ABBY POLIN TOTAL</t>
  </si>
  <si>
    <t>3303-2206</t>
  </si>
  <si>
    <t>Emily Reisler Contribution</t>
  </si>
  <si>
    <t>3303-2208</t>
  </si>
  <si>
    <t>3303-2207</t>
  </si>
  <si>
    <t>Emily Reisler Distribution</t>
  </si>
  <si>
    <t>EMILY REISLER TOTAL</t>
  </si>
  <si>
    <t>3303-2209</t>
  </si>
  <si>
    <t>Mark Harris Contribution</t>
  </si>
  <si>
    <t>3303-2211</t>
  </si>
  <si>
    <t>3303-2210</t>
  </si>
  <si>
    <t>Mark Harris Distribution</t>
  </si>
  <si>
    <t>MARK HARRIS TOTAL</t>
  </si>
  <si>
    <t>3303-2212</t>
  </si>
  <si>
    <t>Hirize Inc Contribution</t>
  </si>
  <si>
    <t>3303-2214</t>
  </si>
  <si>
    <t>3303-2213</t>
  </si>
  <si>
    <t>Hirize Inc Distribution</t>
  </si>
  <si>
    <t>HIRIZE INC TOTAL</t>
  </si>
  <si>
    <t>3303-2215</t>
  </si>
  <si>
    <t>Iracema Almeida Contribution</t>
  </si>
  <si>
    <t>3303-2217</t>
  </si>
  <si>
    <t>3303-2216</t>
  </si>
  <si>
    <t>Iracema Almeida Distribution</t>
  </si>
  <si>
    <t>IRACEMA ALMEIDA TOTAL</t>
  </si>
  <si>
    <t>3303-2218</t>
  </si>
  <si>
    <t>Stephen and Lorre Johnson Contribution</t>
  </si>
  <si>
    <t>3303-2220</t>
  </si>
  <si>
    <t>3303-2219</t>
  </si>
  <si>
    <t>Stephen and Lorre Johnson Distribution</t>
  </si>
  <si>
    <t>STEPHEN AND LORRE JOHNSON TOTAL</t>
  </si>
  <si>
    <t>3303-2221</t>
  </si>
  <si>
    <t>Ross Parker Contribution</t>
  </si>
  <si>
    <t>3303-2223</t>
  </si>
  <si>
    <t>3303-2222</t>
  </si>
  <si>
    <t>Ross Parker Distribution</t>
  </si>
  <si>
    <t>ROSS PARKER TOTAL</t>
  </si>
  <si>
    <t>3303-2224</t>
  </si>
  <si>
    <t>EP Lexington Contribution</t>
  </si>
  <si>
    <t>3303-2226</t>
  </si>
  <si>
    <t>3303-2225</t>
  </si>
  <si>
    <t>EP Lexington Distribution</t>
  </si>
  <si>
    <t>EP LEXINGTON TOTAL</t>
  </si>
  <si>
    <t>3400-0000</t>
  </si>
  <si>
    <t>Owner Draw</t>
  </si>
  <si>
    <t>3410-0000</t>
  </si>
  <si>
    <t>Prior Years Draw</t>
  </si>
  <si>
    <t>3500-1000</t>
  </si>
  <si>
    <t>MJP Partners Capital Account</t>
  </si>
  <si>
    <t>3500-2000</t>
  </si>
  <si>
    <t>EP Acquisitions Capital Account</t>
  </si>
  <si>
    <t>3500-3000</t>
  </si>
  <si>
    <t>EP Acquisitions II Capital</t>
  </si>
  <si>
    <t>3500-4000</t>
  </si>
  <si>
    <t>Affiliated Florida Operations Capital Account</t>
  </si>
  <si>
    <t>3600-0000</t>
  </si>
  <si>
    <t>Suspense</t>
  </si>
  <si>
    <t>Retained Earnings</t>
  </si>
  <si>
    <t>3810-0000</t>
  </si>
  <si>
    <t>Prior Years Retained Earnings</t>
  </si>
  <si>
    <t>TOTAL CAPITAL</t>
  </si>
  <si>
    <t>3890-0001</t>
  </si>
  <si>
    <t>Reserve Contribution</t>
  </si>
  <si>
    <t>3890-0002</t>
  </si>
  <si>
    <t>Reserve Distribution</t>
  </si>
  <si>
    <t>TOTAL LIABILITIES AND CAPITAL</t>
  </si>
  <si>
    <t>4000-0000</t>
  </si>
  <si>
    <t>INCOME</t>
  </si>
  <si>
    <t>4100-0000</t>
  </si>
  <si>
    <t>RENT INCOME</t>
  </si>
  <si>
    <t>4300-0000</t>
  </si>
  <si>
    <t>Gross Potential Rent</t>
  </si>
  <si>
    <t>4990-0000</t>
  </si>
  <si>
    <t>Assessment</t>
  </si>
  <si>
    <t>Comm., LateFee</t>
  </si>
  <si>
    <t>4450-0000</t>
  </si>
  <si>
    <t>Special Assessment</t>
  </si>
  <si>
    <t>4450-0001</t>
  </si>
  <si>
    <t>Surcharge to Lease Fee</t>
  </si>
  <si>
    <t>Rent</t>
  </si>
  <si>
    <t>4500-0001</t>
  </si>
  <si>
    <t>Rent Master Lease</t>
  </si>
  <si>
    <t>4500-0002</t>
  </si>
  <si>
    <t>Bankruptcy 13 Repayment</t>
  </si>
  <si>
    <t>4500-1000</t>
  </si>
  <si>
    <t>Holdover Rent</t>
  </si>
  <si>
    <t>4500-1001</t>
  </si>
  <si>
    <t>Storage Rent</t>
  </si>
  <si>
    <t>4500-1003</t>
  </si>
  <si>
    <t>SFR Rental Income</t>
  </si>
  <si>
    <t>4500-1004</t>
  </si>
  <si>
    <t>Parking Space Rental</t>
  </si>
  <si>
    <t>4501-0000</t>
  </si>
  <si>
    <t>4600-0000</t>
  </si>
  <si>
    <t>CHA Income</t>
  </si>
  <si>
    <t>4600-1000</t>
  </si>
  <si>
    <t>HUD Income</t>
  </si>
  <si>
    <t>4710-0000</t>
  </si>
  <si>
    <t>Less: Concessions</t>
  </si>
  <si>
    <t>4710-0001</t>
  </si>
  <si>
    <t>Less: Rent Abatement</t>
  </si>
  <si>
    <t>4710-0002</t>
  </si>
  <si>
    <t>Less: Owner Rent Agreement</t>
  </si>
  <si>
    <t>4710-0003</t>
  </si>
  <si>
    <t>Less: Storage Rent Abatement</t>
  </si>
  <si>
    <t>4710-0004</t>
  </si>
  <si>
    <t>Less: Owner Collected Rent</t>
  </si>
  <si>
    <t>4710-0005</t>
  </si>
  <si>
    <t>Rent Arrearage From Previous Owner</t>
  </si>
  <si>
    <t>4710-0006</t>
  </si>
  <si>
    <t>Bad Debt Write Off</t>
  </si>
  <si>
    <t>4710-1000</t>
  </si>
  <si>
    <t>Maintenance Rent Free Unit</t>
  </si>
  <si>
    <t>4710-1001</t>
  </si>
  <si>
    <t>Owner Rent Free Unit</t>
  </si>
  <si>
    <t>4715-0000</t>
  </si>
  <si>
    <t>Less: Sec Deposit Interest Paid to Tenant</t>
  </si>
  <si>
    <t>4720-0000</t>
  </si>
  <si>
    <t>Less: Delinquency</t>
  </si>
  <si>
    <t>4730-0000</t>
  </si>
  <si>
    <t>Less: Vacancy</t>
  </si>
  <si>
    <t>4810-0000</t>
  </si>
  <si>
    <t>Plus: Prepaid</t>
  </si>
  <si>
    <t>Prepay</t>
  </si>
  <si>
    <t>4820-0000</t>
  </si>
  <si>
    <t>Plus: Last Month in Advance</t>
  </si>
  <si>
    <t>Comm.</t>
  </si>
  <si>
    <t>NET RENT INCOME</t>
  </si>
  <si>
    <t>5990-0000</t>
  </si>
  <si>
    <t>5000-0000</t>
  </si>
  <si>
    <t>ANCILLARY INCOME</t>
  </si>
  <si>
    <t>5000-1000</t>
  </si>
  <si>
    <t>5000-0001</t>
  </si>
  <si>
    <t>Merchandise Income</t>
  </si>
  <si>
    <t>5000-0003</t>
  </si>
  <si>
    <t>5000-0002</t>
  </si>
  <si>
    <t>Merchandise COGS</t>
  </si>
  <si>
    <t>Net Merchandise Sales</t>
  </si>
  <si>
    <t>5000-0010</t>
  </si>
  <si>
    <t>Tenant Protection Income</t>
  </si>
  <si>
    <t>5000-0012</t>
  </si>
  <si>
    <t>5000-0011</t>
  </si>
  <si>
    <t>Tenant Protection COGS</t>
  </si>
  <si>
    <t>Net Tenant Protection Income</t>
  </si>
  <si>
    <t>TOTAL ANCILLARY INCOME</t>
  </si>
  <si>
    <t>5100-0000</t>
  </si>
  <si>
    <t>EXPENSE REIMBURSEMENT</t>
  </si>
  <si>
    <t>5110-0000</t>
  </si>
  <si>
    <t>Passthru Improvements TI</t>
  </si>
  <si>
    <t>5490-0000</t>
  </si>
  <si>
    <t>5200-0000</t>
  </si>
  <si>
    <t>Passthru Maintenance</t>
  </si>
  <si>
    <t>5210-0000</t>
  </si>
  <si>
    <t>Passthru Repairs and Maintenance</t>
  </si>
  <si>
    <t>5212-0000</t>
  </si>
  <si>
    <t>Passthru Supplies Repairs and Maintenance</t>
  </si>
  <si>
    <t>5215-0000</t>
  </si>
  <si>
    <t>Passthru Legal fees</t>
  </si>
  <si>
    <t>5217-0000</t>
  </si>
  <si>
    <t>Passthru Fees, Dues, Licenses and Permits</t>
  </si>
  <si>
    <t>5218-0000</t>
  </si>
  <si>
    <t>Passthru Workers Compensation</t>
  </si>
  <si>
    <t>5220-0000</t>
  </si>
  <si>
    <t>Passthru Janitorial</t>
  </si>
  <si>
    <t>5230-0000</t>
  </si>
  <si>
    <t>Passthru Painting</t>
  </si>
  <si>
    <t>5240-0000</t>
  </si>
  <si>
    <t>Passthru HVAC</t>
  </si>
  <si>
    <t>5241-0000</t>
  </si>
  <si>
    <t>Passthru Fire Alarm Service</t>
  </si>
  <si>
    <t>5250-0000</t>
  </si>
  <si>
    <t>Passthru Fines</t>
  </si>
  <si>
    <t>5260-0000</t>
  </si>
  <si>
    <t>Passthru Gardening</t>
  </si>
  <si>
    <t>5270-0000</t>
  </si>
  <si>
    <t>Passthru Landscaping</t>
  </si>
  <si>
    <t>5280-0000</t>
  </si>
  <si>
    <t>Passthru Snow Removal</t>
  </si>
  <si>
    <t>5300-0000</t>
  </si>
  <si>
    <t>Passthru Management</t>
  </si>
  <si>
    <t>5310-0000</t>
  </si>
  <si>
    <t>Passthru Security Service</t>
  </si>
  <si>
    <t>5320-0000</t>
  </si>
  <si>
    <t>Estimated Insurance Charges</t>
  </si>
  <si>
    <t>5320-0001</t>
  </si>
  <si>
    <t>Insurance Abatement</t>
  </si>
  <si>
    <t>5350-0000</t>
  </si>
  <si>
    <t>Estimated Property Tax Charges</t>
  </si>
  <si>
    <t>5350-0001</t>
  </si>
  <si>
    <t>PY RET Reconciliation</t>
  </si>
  <si>
    <t>5350-0002</t>
  </si>
  <si>
    <t>Property Tax Abatement</t>
  </si>
  <si>
    <t>5400-0000</t>
  </si>
  <si>
    <t>Passthru Utilities</t>
  </si>
  <si>
    <t>5410-0000</t>
  </si>
  <si>
    <t>Passthru Electricity</t>
  </si>
  <si>
    <t>5415-0000</t>
  </si>
  <si>
    <t>Passthru Water</t>
  </si>
  <si>
    <t>5420-0000</t>
  </si>
  <si>
    <t>Passthru Gas</t>
  </si>
  <si>
    <t>5430-0000</t>
  </si>
  <si>
    <t>Passthru Water and Sewer</t>
  </si>
  <si>
    <t>5432-0000</t>
  </si>
  <si>
    <t>Passthru Sewer Maintenance</t>
  </si>
  <si>
    <t>5434-0000</t>
  </si>
  <si>
    <t>Pass-Thru Insurance</t>
  </si>
  <si>
    <t>5435-0000</t>
  </si>
  <si>
    <t>Passthru Irrigation Water</t>
  </si>
  <si>
    <t>5450-0000</t>
  </si>
  <si>
    <t>Passthru Rubbish Removal</t>
  </si>
  <si>
    <t>5460-0000</t>
  </si>
  <si>
    <t>Passthru Roofing</t>
  </si>
  <si>
    <t>5465-0000</t>
  </si>
  <si>
    <t>Passthru Signs and Signage</t>
  </si>
  <si>
    <t>5470-0000</t>
  </si>
  <si>
    <t>Estimated CAM Charges</t>
  </si>
  <si>
    <t>5470-0001</t>
  </si>
  <si>
    <t>CAM Abatement</t>
  </si>
  <si>
    <t>5470-0002</t>
  </si>
  <si>
    <t>PY CAM Reconciliation</t>
  </si>
  <si>
    <t>5470-0003</t>
  </si>
  <si>
    <t>Prior Year Tax Reconciliation</t>
  </si>
  <si>
    <t>5470-0004</t>
  </si>
  <si>
    <t>Prior Year Ins Reconciliation</t>
  </si>
  <si>
    <t>TOTAL REIMBURSEMENT</t>
  </si>
  <si>
    <t>5500-0000</t>
  </si>
  <si>
    <t>PERCENTAGE RENT</t>
  </si>
  <si>
    <t>5510-0000</t>
  </si>
  <si>
    <t>Sales Percentage</t>
  </si>
  <si>
    <t>5590-0000</t>
  </si>
  <si>
    <t>5520-0000</t>
  </si>
  <si>
    <t>Food and  Beverage Percentage</t>
  </si>
  <si>
    <t>5550-0000</t>
  </si>
  <si>
    <t>Other Percentage</t>
  </si>
  <si>
    <t>TOTAL PERCENTAGE RENT</t>
  </si>
  <si>
    <t>5600-0000</t>
  </si>
  <si>
    <t>OTHER INCOME</t>
  </si>
  <si>
    <t>5610-0000</t>
  </si>
  <si>
    <t>Other Monthly Charges</t>
  </si>
  <si>
    <t>5890-0000</t>
  </si>
  <si>
    <t>5620-0000</t>
  </si>
  <si>
    <t>Move In Charges</t>
  </si>
  <si>
    <t>5620-0001</t>
  </si>
  <si>
    <t>Move In Move Out Fee</t>
  </si>
  <si>
    <t>5650-0000</t>
  </si>
  <si>
    <t>Move Out Charges</t>
  </si>
  <si>
    <t>5660-0000</t>
  </si>
  <si>
    <t>Deposit Forfeit</t>
  </si>
  <si>
    <t>5700-0000</t>
  </si>
  <si>
    <t>Miscellaneous Income</t>
  </si>
  <si>
    <t>5700-0001</t>
  </si>
  <si>
    <t>Early Termination Buyout Fee</t>
  </si>
  <si>
    <t>5710-0000</t>
  </si>
  <si>
    <t>Vending Machine Income</t>
  </si>
  <si>
    <t>5730-0000</t>
  </si>
  <si>
    <t>Laundry Machine Income</t>
  </si>
  <si>
    <t>5735-0000</t>
  </si>
  <si>
    <t>Bit Coin Machine Income</t>
  </si>
  <si>
    <t>5739-0000</t>
  </si>
  <si>
    <t>Pet Rent Monthly</t>
  </si>
  <si>
    <t>5740-0000</t>
  </si>
  <si>
    <t>Pet Fee Non Refundable</t>
  </si>
  <si>
    <t>5770-1001</t>
  </si>
  <si>
    <t>Truck Rental</t>
  </si>
  <si>
    <t>5770-1002</t>
  </si>
  <si>
    <t>Truck Insurance</t>
  </si>
  <si>
    <t>5800-0000</t>
  </si>
  <si>
    <t>Late Fee</t>
  </si>
  <si>
    <t>5805-0000</t>
  </si>
  <si>
    <t>Administrative Fee</t>
  </si>
  <si>
    <t>5810-0000</t>
  </si>
  <si>
    <t>NSF Fees</t>
  </si>
  <si>
    <t>5815-0000</t>
  </si>
  <si>
    <t>Laundry Income</t>
  </si>
  <si>
    <t>TOTAL OTHER INCOME</t>
  </si>
  <si>
    <t>TOTAL INCOME</t>
  </si>
  <si>
    <t>7999-9999</t>
  </si>
  <si>
    <t>6000-0000</t>
  </si>
  <si>
    <t>EXPENSES</t>
  </si>
  <si>
    <t>6001-0000</t>
  </si>
  <si>
    <t>CLEANING</t>
  </si>
  <si>
    <t>6002-0000</t>
  </si>
  <si>
    <t>TOTAL CLEANING</t>
  </si>
  <si>
    <t>7999-9000</t>
  </si>
  <si>
    <t>6050-0000</t>
  </si>
  <si>
    <t>ADVERTISING and MARKETING</t>
  </si>
  <si>
    <t>6050-0010</t>
  </si>
  <si>
    <t>6050-9999</t>
  </si>
  <si>
    <t>6050-0015</t>
  </si>
  <si>
    <t>Promotions</t>
  </si>
  <si>
    <t>6050-0020</t>
  </si>
  <si>
    <t>Gifts</t>
  </si>
  <si>
    <t>6050-0025</t>
  </si>
  <si>
    <t>6050-0026</t>
  </si>
  <si>
    <t>OnSite Marketing</t>
  </si>
  <si>
    <t>6050-0027</t>
  </si>
  <si>
    <t>Website</t>
  </si>
  <si>
    <t>6050-0028</t>
  </si>
  <si>
    <t>Events</t>
  </si>
  <si>
    <t>6050-0030</t>
  </si>
  <si>
    <t>Marketing Other</t>
  </si>
  <si>
    <t>ADVERTISING and MARKETING TOTAL</t>
  </si>
  <si>
    <t>6100-0000</t>
  </si>
  <si>
    <t>REPAIRS AND MAINTENANCE</t>
  </si>
  <si>
    <t>6110-0000</t>
  </si>
  <si>
    <t>Building Engineer</t>
  </si>
  <si>
    <t>6199-9999</t>
  </si>
  <si>
    <t>6110-0005</t>
  </si>
  <si>
    <t>Janitorial Services</t>
  </si>
  <si>
    <t>6110-0006</t>
  </si>
  <si>
    <t>Petty Cash</t>
  </si>
  <si>
    <t>6110-0010</t>
  </si>
  <si>
    <t>Maintenance Recoverable</t>
  </si>
  <si>
    <t>6110-0015</t>
  </si>
  <si>
    <t>Parking Lot Lighting</t>
  </si>
  <si>
    <t>6110-0020</t>
  </si>
  <si>
    <t>Lights Light Bulbs Fixtures</t>
  </si>
  <si>
    <t>6110-0025</t>
  </si>
  <si>
    <t>Carpentry Supplies Locks Keys Doors</t>
  </si>
  <si>
    <t>6110-0027</t>
  </si>
  <si>
    <t>Windows Glass Screens Doors</t>
  </si>
  <si>
    <t>6110-0030</t>
  </si>
  <si>
    <t>Plumbing and Sewer Repairs</t>
  </si>
  <si>
    <t>6110-0035</t>
  </si>
  <si>
    <t>Roof and Shingle Repairs Routine</t>
  </si>
  <si>
    <t>6110-0040</t>
  </si>
  <si>
    <t>Sign Repair</t>
  </si>
  <si>
    <t>6110-0045</t>
  </si>
  <si>
    <t>Pressure Washing Tuckpointing</t>
  </si>
  <si>
    <t>6110-0050</t>
  </si>
  <si>
    <t>6110-0085</t>
  </si>
  <si>
    <t>Less: Discounts</t>
  </si>
  <si>
    <t>6110-1000</t>
  </si>
  <si>
    <t>Appliance Repair</t>
  </si>
  <si>
    <t>6110-1005</t>
  </si>
  <si>
    <t>Intercom and Service</t>
  </si>
  <si>
    <t>6110-1050</t>
  </si>
  <si>
    <t>Repairs and  Maintenance</t>
  </si>
  <si>
    <t>6110-1055</t>
  </si>
  <si>
    <t>Janitorial Supplies</t>
  </si>
  <si>
    <t>6110-1060</t>
  </si>
  <si>
    <t>Maintenance Tools and Supplies</t>
  </si>
  <si>
    <t>6110-1062</t>
  </si>
  <si>
    <t>Window Washing</t>
  </si>
  <si>
    <t>6110-1065</t>
  </si>
  <si>
    <t>Painting and Plastering</t>
  </si>
  <si>
    <t>6110-1066</t>
  </si>
  <si>
    <t>Maintenance Contracts</t>
  </si>
  <si>
    <t>6110-1067</t>
  </si>
  <si>
    <t>HVAC Heat Ventilation Air</t>
  </si>
  <si>
    <t>6110-1070</t>
  </si>
  <si>
    <t>Electrical Repair and Maintenance</t>
  </si>
  <si>
    <t>6110-1075</t>
  </si>
  <si>
    <t>Elevator Inspection Repair Contract</t>
  </si>
  <si>
    <t>6110-1100</t>
  </si>
  <si>
    <t>Carpet Cleaning</t>
  </si>
  <si>
    <t>6110-1110</t>
  </si>
  <si>
    <t>6110-1150</t>
  </si>
  <si>
    <t>Testing  Licensing and  Inspections</t>
  </si>
  <si>
    <t>6110-1175</t>
  </si>
  <si>
    <t>6110-1180</t>
  </si>
  <si>
    <t>Water Softener and Conditioner</t>
  </si>
  <si>
    <t>TOTAL REPAIRS AND MAINTENANCE</t>
  </si>
  <si>
    <t>6200-0000</t>
  </si>
  <si>
    <t>GROUNDS</t>
  </si>
  <si>
    <t>6200-0001</t>
  </si>
  <si>
    <t>6299-9999</t>
  </si>
  <si>
    <t>6200-0002</t>
  </si>
  <si>
    <t>Recycling Removal</t>
  </si>
  <si>
    <t>6200-0010</t>
  </si>
  <si>
    <t>6200-0015</t>
  </si>
  <si>
    <t>Snow Removal</t>
  </si>
  <si>
    <t>6200-0020</t>
  </si>
  <si>
    <t>Garage Repairs</t>
  </si>
  <si>
    <t>6200-0030</t>
  </si>
  <si>
    <t>Sprinkler System Maint &amp; Repair</t>
  </si>
  <si>
    <t>6200-0040</t>
  </si>
  <si>
    <t>Parking Lot Minor Repairs</t>
  </si>
  <si>
    <t>6200-0045</t>
  </si>
  <si>
    <t>Parking Lot Sweeping  Maintenance</t>
  </si>
  <si>
    <t>6200-0050</t>
  </si>
  <si>
    <t>Sidewalk and Concrete Repairs</t>
  </si>
  <si>
    <t>TOTAL GROUNDS</t>
  </si>
  <si>
    <t>6300-0000</t>
  </si>
  <si>
    <t>SECURITY SAFETY OTHER EXPENSE</t>
  </si>
  <si>
    <t>6300-0005</t>
  </si>
  <si>
    <t>Backflow Testing</t>
  </si>
  <si>
    <t>6375-0000</t>
  </si>
  <si>
    <t>6300-0010</t>
  </si>
  <si>
    <t>Inspections for Security and Safety</t>
  </si>
  <si>
    <t>6310-0000</t>
  </si>
  <si>
    <t>Fire and Life Safety Maintenance</t>
  </si>
  <si>
    <t>6310-0001</t>
  </si>
  <si>
    <t>Security Service</t>
  </si>
  <si>
    <t>6310-0002</t>
  </si>
  <si>
    <t>Alarm Monitoring Service</t>
  </si>
  <si>
    <t>6310-0010</t>
  </si>
  <si>
    <t>Telephone Elevator and Alarms</t>
  </si>
  <si>
    <t>TOTAL SECURITY SAFETY OTHER EXPENSES</t>
  </si>
  <si>
    <t>6400-0000</t>
  </si>
  <si>
    <t>UTILITIES</t>
  </si>
  <si>
    <t>6400-0010</t>
  </si>
  <si>
    <t>6425-0000</t>
  </si>
  <si>
    <t>6400-0015</t>
  </si>
  <si>
    <t>Electricity Parking Lot</t>
  </si>
  <si>
    <t>6400-0020</t>
  </si>
  <si>
    <t>6400-0025</t>
  </si>
  <si>
    <t>Gas and Electric Combo Billing</t>
  </si>
  <si>
    <t>6400-0030</t>
  </si>
  <si>
    <t>6400-0035</t>
  </si>
  <si>
    <t>Electricity Vacant Unit</t>
  </si>
  <si>
    <t>6400-0040</t>
  </si>
  <si>
    <t>Gas Vacant Unit</t>
  </si>
  <si>
    <t>6400-0045</t>
  </si>
  <si>
    <t>Steam Utilities</t>
  </si>
  <si>
    <t>6400-0046</t>
  </si>
  <si>
    <t>6400-0047</t>
  </si>
  <si>
    <t>Telephone Service</t>
  </si>
  <si>
    <t>TOTAL UTILITIES</t>
  </si>
  <si>
    <t>6450-0000</t>
  </si>
  <si>
    <t>ADMINISTRATIVE and MANAGEMENT</t>
  </si>
  <si>
    <t>6450-0010</t>
  </si>
  <si>
    <t>Management Fee</t>
  </si>
  <si>
    <t>6455-0000</t>
  </si>
  <si>
    <t>6450-0020</t>
  </si>
  <si>
    <t>Asset Management Fee</t>
  </si>
  <si>
    <t>6450-0030</t>
  </si>
  <si>
    <t>General Contracting Fee</t>
  </si>
  <si>
    <t>6450-0050</t>
  </si>
  <si>
    <t>Association Fees</t>
  </si>
  <si>
    <t>6450-0070</t>
  </si>
  <si>
    <t>Acquisition Fees</t>
  </si>
  <si>
    <t>TOTAL ADMINISTRATIVE &amp; MANAGEMENT EXPENSES</t>
  </si>
  <si>
    <t>6460-0000</t>
  </si>
  <si>
    <t>PROPERTY TAXES AND INSURANCE</t>
  </si>
  <si>
    <t>6461-0000</t>
  </si>
  <si>
    <t>Property Tax</t>
  </si>
  <si>
    <t>6470-0000</t>
  </si>
  <si>
    <t>6461-0001</t>
  </si>
  <si>
    <t>Property Taxes Carmen 5025-5043 N East River Rd</t>
  </si>
  <si>
    <t>6461-0002</t>
  </si>
  <si>
    <t>Property Tax Appeal Commercial</t>
  </si>
  <si>
    <t>6461-0998</t>
  </si>
  <si>
    <t>Builders Risk Insurance</t>
  </si>
  <si>
    <t>6461-0999</t>
  </si>
  <si>
    <t>Business Owners Insurance</t>
  </si>
  <si>
    <t>6461-1000</t>
  </si>
  <si>
    <t>Property Insurance</t>
  </si>
  <si>
    <t>6461-1001</t>
  </si>
  <si>
    <t>General Liability Insurance</t>
  </si>
  <si>
    <t>6461-1002</t>
  </si>
  <si>
    <t>Insurance Expense - Other</t>
  </si>
  <si>
    <t>TOTAL PROPERTY TAXES &amp; INSURANCE</t>
  </si>
  <si>
    <t>7000-0000</t>
  </si>
  <si>
    <t>GENERAL &amp; ADMINISTRATIVE</t>
  </si>
  <si>
    <t>7000-0001</t>
  </si>
  <si>
    <t>Additional Cleaning</t>
  </si>
  <si>
    <t>7000-1000</t>
  </si>
  <si>
    <t>7000-0008</t>
  </si>
  <si>
    <t>Meeting Meals</t>
  </si>
  <si>
    <t>7000-0009</t>
  </si>
  <si>
    <t>Meals &amp; Entertainment</t>
  </si>
  <si>
    <t>7000-0010</t>
  </si>
  <si>
    <t>Maintenance Unrecoverable</t>
  </si>
  <si>
    <t>7000-0012</t>
  </si>
  <si>
    <t>Parking</t>
  </si>
  <si>
    <t>7000-0013</t>
  </si>
  <si>
    <t>Vehicle Expense</t>
  </si>
  <si>
    <t>7000-0014</t>
  </si>
  <si>
    <t>Equipment Expense</t>
  </si>
  <si>
    <t>7000-0015</t>
  </si>
  <si>
    <t>HVAC Non Recoverable</t>
  </si>
  <si>
    <t>7000-0020</t>
  </si>
  <si>
    <t>Office Utilities</t>
  </si>
  <si>
    <t>7000-0026</t>
  </si>
  <si>
    <t>7000-0035</t>
  </si>
  <si>
    <t>Indoor Plant Rental and Maintenance</t>
  </si>
  <si>
    <t>7000-0040</t>
  </si>
  <si>
    <t>7000-0045</t>
  </si>
  <si>
    <t>7000-0046</t>
  </si>
  <si>
    <t>Late Fee Expense</t>
  </si>
  <si>
    <t>7000-0047</t>
  </si>
  <si>
    <t>Credit Card Processing Fees</t>
  </si>
  <si>
    <t>7000-0048</t>
  </si>
  <si>
    <t>Payable Processing Fees</t>
  </si>
  <si>
    <t>7000-0050</t>
  </si>
  <si>
    <t>Postage and Shipping Fees</t>
  </si>
  <si>
    <t>1099</t>
  </si>
  <si>
    <t>7000-0054</t>
  </si>
  <si>
    <t>Travel Expenses</t>
  </si>
  <si>
    <t>7000-0060</t>
  </si>
  <si>
    <t>Office Supplies</t>
  </si>
  <si>
    <t>7000-0065</t>
  </si>
  <si>
    <t>Dues and Subscriptions</t>
  </si>
  <si>
    <t>7000-0070</t>
  </si>
  <si>
    <t>Fines and Penalties</t>
  </si>
  <si>
    <t>7000-0075</t>
  </si>
  <si>
    <t>Laundry Maintenance</t>
  </si>
  <si>
    <t>7000-0999</t>
  </si>
  <si>
    <t>Miscellaneous Expense</t>
  </si>
  <si>
    <t>TOTAL G and A EXPENSE</t>
  </si>
  <si>
    <t>7200-0000</t>
  </si>
  <si>
    <t>PROFESSIONAL FEES</t>
  </si>
  <si>
    <t>7200-0001</t>
  </si>
  <si>
    <t>Answering Service</t>
  </si>
  <si>
    <t>7200-0100</t>
  </si>
  <si>
    <t>7200-0002</t>
  </si>
  <si>
    <t>7200-0015</t>
  </si>
  <si>
    <t>Legal Accounting and Servicing</t>
  </si>
  <si>
    <t>7200-0020</t>
  </si>
  <si>
    <t>Professional Fees</t>
  </si>
  <si>
    <t>TOTAL PROFESSIONAL FEES</t>
  </si>
  <si>
    <t>7300-0000</t>
  </si>
  <si>
    <t>PAYROLL EXPENSE</t>
  </si>
  <si>
    <t>7310-0000</t>
  </si>
  <si>
    <t>SUPERVISORY PAYROLL</t>
  </si>
  <si>
    <t>7310-0005</t>
  </si>
  <si>
    <t>Supervisory Payroll Expense</t>
  </si>
  <si>
    <t>7310-0100</t>
  </si>
  <si>
    <t>7310-0010</t>
  </si>
  <si>
    <t>Supervisory Workers Comp Insurance</t>
  </si>
  <si>
    <t>TOTAL SUPERVISORY PAYROLL</t>
  </si>
  <si>
    <t>7500-0000</t>
  </si>
  <si>
    <t>7320-0000</t>
  </si>
  <si>
    <t>Bonus</t>
  </si>
  <si>
    <t>7330-0000</t>
  </si>
  <si>
    <t>Clerical Salaries</t>
  </si>
  <si>
    <t>7340-0000</t>
  </si>
  <si>
    <t>Payroll exp</t>
  </si>
  <si>
    <t>1099, AP</t>
  </si>
  <si>
    <t>7400-0000</t>
  </si>
  <si>
    <t>Payroll Taxes</t>
  </si>
  <si>
    <t>7400-0001</t>
  </si>
  <si>
    <t>Payroll 1099 Contractor</t>
  </si>
  <si>
    <t>7400-0002</t>
  </si>
  <si>
    <t>Employee Health Insurance</t>
  </si>
  <si>
    <t>7400-0003</t>
  </si>
  <si>
    <t>Workers Comp Insurance</t>
  </si>
  <si>
    <t>7400-0010</t>
  </si>
  <si>
    <t>Medical Plan Contributions</t>
  </si>
  <si>
    <t>7400-0050</t>
  </si>
  <si>
    <t>Uniforms</t>
  </si>
  <si>
    <t>TOTAL PAYROLL</t>
  </si>
  <si>
    <t>TOTAL NET OPERATING EXPENSES</t>
  </si>
  <si>
    <t>NET OPERATING INCOME</t>
  </si>
  <si>
    <t>9090-0000</t>
  </si>
  <si>
    <t>8000-0000</t>
  </si>
  <si>
    <t>NON RECURRING EXPENSES</t>
  </si>
  <si>
    <t>8000-0001</t>
  </si>
  <si>
    <t>Insurance Claim</t>
  </si>
  <si>
    <t>8390-0000</t>
  </si>
  <si>
    <t>8000-0010</t>
  </si>
  <si>
    <t>8100-0000</t>
  </si>
  <si>
    <t>Construction ReHab</t>
  </si>
  <si>
    <t>8100-1000</t>
  </si>
  <si>
    <t>Depreciation Expense</t>
  </si>
  <si>
    <t>8100-1001</t>
  </si>
  <si>
    <t>Amortization</t>
  </si>
  <si>
    <t>8100-1002</t>
  </si>
  <si>
    <t>Depreciation Expense - 754</t>
  </si>
  <si>
    <t>8100-1003</t>
  </si>
  <si>
    <t>A/D Building 754</t>
  </si>
  <si>
    <t>8110-0000</t>
  </si>
  <si>
    <t>Elevator Repair/Replace Major</t>
  </si>
  <si>
    <t>8150-0000</t>
  </si>
  <si>
    <t>Carpet, Flooring and Cabinet Replacement</t>
  </si>
  <si>
    <t>8160-0000</t>
  </si>
  <si>
    <t>Painting</t>
  </si>
  <si>
    <t>8161-0000</t>
  </si>
  <si>
    <t>Blinds, Window, Window Treatments, Doors</t>
  </si>
  <si>
    <t>8170-0000</t>
  </si>
  <si>
    <t>Signage and Awnings</t>
  </si>
  <si>
    <t>8179-9999</t>
  </si>
  <si>
    <t>Repairs Major</t>
  </si>
  <si>
    <t>8180-0000</t>
  </si>
  <si>
    <t>8180-0001</t>
  </si>
  <si>
    <t>Roof Repairs and Replacement Major</t>
  </si>
  <si>
    <t>8180-0002</t>
  </si>
  <si>
    <t>Parking Lot Repairs and Replacement Major</t>
  </si>
  <si>
    <t>8180-0003</t>
  </si>
  <si>
    <t>Ceiling Tiles</t>
  </si>
  <si>
    <t>8180-0004</t>
  </si>
  <si>
    <t>Boiler, A/C, Hot H2O and Furnace Replacement</t>
  </si>
  <si>
    <t>8180-0005</t>
  </si>
  <si>
    <t>Storefront</t>
  </si>
  <si>
    <t>8180-0009</t>
  </si>
  <si>
    <t>Tenant Improvement</t>
  </si>
  <si>
    <t>8180-0010</t>
  </si>
  <si>
    <t>Real Property Improvement</t>
  </si>
  <si>
    <t>8180-0011</t>
  </si>
  <si>
    <t>Plumbing Repairs Major</t>
  </si>
  <si>
    <t>8180-0012</t>
  </si>
  <si>
    <t>Landscaping and Grounds Major</t>
  </si>
  <si>
    <t>8180-0013</t>
  </si>
  <si>
    <t>Architectural Drawings</t>
  </si>
  <si>
    <t>8180-0014</t>
  </si>
  <si>
    <t>Appraisal Fees</t>
  </si>
  <si>
    <t>8180-0015</t>
  </si>
  <si>
    <t>Lease Administration</t>
  </si>
  <si>
    <t>8180-0016</t>
  </si>
  <si>
    <t>Recruitment</t>
  </si>
  <si>
    <t>8180-0017</t>
  </si>
  <si>
    <t>Inspections For Review to Purchase New Assets</t>
  </si>
  <si>
    <t>8180-0105</t>
  </si>
  <si>
    <t>Audit Services</t>
  </si>
  <si>
    <t>8180-0200</t>
  </si>
  <si>
    <t>Leasing Commissions</t>
  </si>
  <si>
    <t>8180-0201</t>
  </si>
  <si>
    <t>Sales Commissions</t>
  </si>
  <si>
    <t>8180-1001</t>
  </si>
  <si>
    <t>Property Rental Expense</t>
  </si>
  <si>
    <t>8181-0000</t>
  </si>
  <si>
    <t>Closing Costs</t>
  </si>
  <si>
    <t>8181-0100</t>
  </si>
  <si>
    <t>Due Diligence</t>
  </si>
  <si>
    <t>8181-0101</t>
  </si>
  <si>
    <t>Loan Origination Fees</t>
  </si>
  <si>
    <t>8181-0102</t>
  </si>
  <si>
    <t>Setup Costs</t>
  </si>
  <si>
    <t>8181-0103</t>
  </si>
  <si>
    <t>8181-0104</t>
  </si>
  <si>
    <t>Reimburse Travel Expenses</t>
  </si>
  <si>
    <t>8181-0105</t>
  </si>
  <si>
    <t>Taxes &amp; Licenses</t>
  </si>
  <si>
    <t>8181-0110</t>
  </si>
  <si>
    <t>Acquisition Legal Fees</t>
  </si>
  <si>
    <t>8181-0112</t>
  </si>
  <si>
    <t>Receiver Expenses Reimbursable</t>
  </si>
  <si>
    <t>8181-0113</t>
  </si>
  <si>
    <t>Receiver Fees</t>
  </si>
  <si>
    <t>8181-0114</t>
  </si>
  <si>
    <t>RE Tax Appeal costs</t>
  </si>
  <si>
    <t>8181-1000</t>
  </si>
  <si>
    <t>8181-1500</t>
  </si>
  <si>
    <t>Transfer To From</t>
  </si>
  <si>
    <t>8181-2000</t>
  </si>
  <si>
    <t>Owners Title Insurance</t>
  </si>
  <si>
    <t>8181-2001</t>
  </si>
  <si>
    <t>Receivership Proceeds</t>
  </si>
  <si>
    <t>8389-9999</t>
  </si>
  <si>
    <t>Miscelleneous Non-Operating Expense</t>
  </si>
  <si>
    <t>TOTAL NON-RECURRING EXPENSES</t>
  </si>
  <si>
    <t>8990-0000</t>
  </si>
  <si>
    <t>8500-0000</t>
  </si>
  <si>
    <t>LOAN INTEREST EXPENSE</t>
  </si>
  <si>
    <t>8510-0000</t>
  </si>
  <si>
    <t>1st Mortgage Interest</t>
  </si>
  <si>
    <t>8590-0000</t>
  </si>
  <si>
    <t>8520-0000</t>
  </si>
  <si>
    <t>2nd Mortgage Interest</t>
  </si>
  <si>
    <t>8530-0000</t>
  </si>
  <si>
    <t>3rd Mortgage Interest</t>
  </si>
  <si>
    <t>8540-0000</t>
  </si>
  <si>
    <t>Loan Interest</t>
  </si>
  <si>
    <t>TOTAL LOAN INTEREST</t>
  </si>
  <si>
    <t>8590-0001</t>
  </si>
  <si>
    <t>Federal Income Tax Payments</t>
  </si>
  <si>
    <t>8590-0002</t>
  </si>
  <si>
    <t>State Income Tax Payments</t>
  </si>
  <si>
    <t>8590-0003</t>
  </si>
  <si>
    <t>Local Income Tax Payments</t>
  </si>
  <si>
    <t>8590-0004</t>
  </si>
  <si>
    <t>Sales Tax</t>
  </si>
  <si>
    <t>8590-0005</t>
  </si>
  <si>
    <t>Parking Tax</t>
  </si>
  <si>
    <t>8590-0006</t>
  </si>
  <si>
    <t>Personal Property Tax</t>
  </si>
  <si>
    <t>8600-0000</t>
  </si>
  <si>
    <t>1099 Setup</t>
  </si>
  <si>
    <t>TOTAL EXPENSES</t>
  </si>
  <si>
    <t>9000-0000</t>
  </si>
  <si>
    <t>NON OPERATING INCOME</t>
  </si>
  <si>
    <t>9000-1000</t>
  </si>
  <si>
    <t>Gain on Property</t>
  </si>
  <si>
    <t>9000-2000</t>
  </si>
  <si>
    <t>9000-1001</t>
  </si>
  <si>
    <t>9000-1002</t>
  </si>
  <si>
    <t>Interest on Bank Accounts</t>
  </si>
  <si>
    <t>9000-1003</t>
  </si>
  <si>
    <t>Property Rental Income</t>
  </si>
  <si>
    <t>9000-1004</t>
  </si>
  <si>
    <t>Insurance Claim Received</t>
  </si>
  <si>
    <t>TOTAL NON OPERATING INCOME</t>
  </si>
  <si>
    <t>NET INCOME</t>
  </si>
  <si>
    <t>TOTAL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</si>
</sst>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[$-409]mmmm\ d\,\ yyyy;@"/>
    <numFmt numFmtId="166" formatCode="mm/yyyy"/>
    <numFmt numFmtId="167" formatCode="mm\-yyyy"/>
  </numFmts>
  <fonts count="13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12"/>
      <name val="Arial"/>
      <family val="2"/>
    </font>
    <font>
      <b/>
      <sz val="8"/>
      <name val="Tahoma"/>
      <family val="2"/>
    </font>
    <font>
      <sz val="8"/>
      <color rgb="FF000000"/>
      <name val="Tahoma"/>
      <family val="2"/>
    </font>
    <font>
      <sz val="8"/>
      <color rgb="FF505050"/>
      <name val="Tahoma"/>
    </font>
    <font>
      <b/>
      <sz val="12"/>
      <name val="Tahoma"/>
    </font>
    <font>
      <sz val="1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double">
        <color rgb="FF000000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74">
    <xf numFmtId="0" fontId="0" fillId="0" borderId="0" xfId="0"/>
    <xf numFmtId="44" fontId="0" fillId="0" borderId="0" xfId="2" applyFont="1"/>
    <xf numFmtId="44" fontId="4" fillId="0" borderId="0" xfId="2" applyFont="1" applyAlignment="1">
      <alignment horizontal="right" vertical="center"/>
    </xf>
    <xf numFmtId="16" fontId="0" fillId="0" borderId="0" xfId="0" applyNumberFormat="1"/>
    <xf numFmtId="0" fontId="6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44" fontId="0" fillId="0" borderId="0" xfId="0" applyNumberFormat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6" fillId="0" borderId="0" xfId="0" applyFont="1"/>
    <xf numFmtId="0" fontId="0" fillId="0" borderId="7" xfId="0" applyBorder="1"/>
    <xf numFmtId="44" fontId="0" fillId="0" borderId="7" xfId="2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0" xfId="0" applyFont="1" applyAlignment="1">
      <alignment vertical="center"/>
    </xf>
    <xf numFmtId="44" fontId="0" fillId="0" borderId="0" xfId="2" applyFont="1" applyAlignment="1"/>
    <xf numFmtId="0" fontId="0" fillId="0" borderId="8" xfId="0" applyBorder="1"/>
    <xf numFmtId="44" fontId="0" fillId="0" borderId="8" xfId="2" applyFont="1" applyBorder="1"/>
    <xf numFmtId="0" fontId="0" fillId="0" borderId="0" xfId="0" applyAlignment="1">
      <alignment horizontal="center"/>
    </xf>
    <xf numFmtId="164" fontId="0" fillId="0" borderId="0" xfId="0" applyNumberFormat="1"/>
    <xf numFmtId="44" fontId="6" fillId="0" borderId="0" xfId="2" applyFont="1"/>
    <xf numFmtId="0" fontId="0" fillId="0" borderId="9" xfId="0" applyBorder="1"/>
    <xf numFmtId="44" fontId="0" fillId="0" borderId="9" xfId="2" applyFont="1" applyBorder="1" applyAlignment="1">
      <alignment horizontal="center"/>
    </xf>
    <xf numFmtId="0" fontId="0" fillId="0" borderId="9" xfId="0" applyBorder="1" applyAlignment="1">
      <alignment horizontal="center"/>
    </xf>
    <xf numFmtId="44" fontId="0" fillId="0" borderId="0" xfId="2" applyFont="1" applyBorder="1"/>
    <xf numFmtId="166" fontId="0" fillId="0" borderId="0" xfId="0" applyNumberFormat="1"/>
    <xf numFmtId="0" fontId="0" fillId="4" borderId="0" xfId="0" applyFill="1"/>
    <xf numFmtId="167" fontId="0" fillId="0" borderId="0" xfId="0" applyNumberFormat="1"/>
    <xf numFmtId="14" fontId="0" fillId="0" borderId="0" xfId="2" applyNumberFormat="1" applyFont="1"/>
    <xf numFmtId="0" fontId="0" fillId="5" borderId="0" xfId="0" applyFill="1"/>
    <xf numFmtId="164" fontId="0" fillId="5" borderId="0" xfId="0" applyNumberFormat="1" applyFill="1"/>
    <xf numFmtId="166" fontId="0" fillId="5" borderId="0" xfId="0" applyNumberFormat="1" applyFill="1"/>
    <xf numFmtId="0" fontId="6" fillId="5" borderId="0" xfId="0" applyFont="1" applyFill="1" applyAlignment="1">
      <alignment horizontal="left" vertical="center"/>
    </xf>
    <xf numFmtId="44" fontId="0" fillId="5" borderId="0" xfId="2" applyFont="1" applyFill="1" applyAlignment="1"/>
    <xf numFmtId="44" fontId="4" fillId="5" borderId="0" xfId="2" applyFont="1" applyFill="1" applyAlignment="1">
      <alignment horizontal="right" vertical="center"/>
    </xf>
    <xf numFmtId="0" fontId="9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23"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e-Paid%20Expenses%20-%20Oth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-Paid Expenses - Othe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1" Type="http://schemas.openxmlformats.org/officeDocument/2006/relationships/hyperlink" Target="file:///\\192.168.11.15\Elmdale-Root\Accounting\pages\CommonAccount.aspx%3fsJump=1110-1000&amp;c.ChartCode=&amp;hAccount=&amp;hAccount2=&amp;DbCrd=Either&amp;AcTyp=Any&amp;RpTyp=Either" TargetMode="External"/><Relationship Id="rId170" Type="http://schemas.openxmlformats.org/officeDocument/2006/relationships/hyperlink" Target="file:///\\192.168.11.15\Elmdale-Root\Accounting\pages\CommonAccount.aspx%3fsJump=1110-5001&amp;c.ChartCode=&amp;hAccount=&amp;hAccount2=&amp;DbCrd=Either&amp;AcTyp=Any&amp;RpTyp=Either" TargetMode="External"/><Relationship Id="rId268" Type="http://schemas.openxmlformats.org/officeDocument/2006/relationships/hyperlink" Target="file:///\\192.168.11.15\Elmdale-Root\Accounting\pages\CommonAccount.aspx%3fsJump=1600-0008&amp;c.ChartCode=&amp;hAccount=&amp;hAccount2=&amp;DbCrd=Either&amp;AcTyp=Any&amp;RpTyp=Either" TargetMode="External"/><Relationship Id="rId475" Type="http://schemas.openxmlformats.org/officeDocument/2006/relationships/hyperlink" Target="file:///\\192.168.11.15\Elmdale-Root\Accounting\pages\CommonAccount.aspx%3fsJump=3003-0112&amp;c.ChartCode=&amp;hAccount=&amp;hAccount2=&amp;DbCrd=Either&amp;AcTyp=Any&amp;RpTyp=Either" TargetMode="External"/><Relationship Id="rId682" Type="http://schemas.openxmlformats.org/officeDocument/2006/relationships/hyperlink" Target="file:///\\192.168.11.15\Elmdale-Root\Accounting\pages\CommonAccount.aspx%3fsJump=3068-0000&amp;c.ChartCode=&amp;hAccount=&amp;hAccount2=&amp;DbCrd=Either&amp;AcTyp=Any&amp;RpTyp=Either" TargetMode="External"/><Relationship Id="rId128" Type="http://schemas.openxmlformats.org/officeDocument/2006/relationships/hyperlink" Target="file:///\\192.168.11.15\Elmdale-Root\Accounting\pages\CommonAccount.aspx%3fsJump=1110-4943&amp;c.ChartCode=&amp;hAccount=&amp;hAccount2=&amp;DbCrd=Either&amp;AcTyp=Any&amp;RpTyp=Either" TargetMode="External"/><Relationship Id="rId335" Type="http://schemas.openxmlformats.org/officeDocument/2006/relationships/hyperlink" Target="file:///\\192.168.11.15\Elmdale-Root\Accounting\pages\CommonAccount.aspx%3fsJump=1900-1001&amp;c.ChartCode=&amp;hAccount=&amp;hAccount2=&amp;DbCrd=Either&amp;AcTyp=Any&amp;RpTyp=Either" TargetMode="External"/><Relationship Id="rId542" Type="http://schemas.openxmlformats.org/officeDocument/2006/relationships/hyperlink" Target="file:///\\192.168.11.15\Elmdale-Root\Accounting\pages\CommonAccount.aspx%3fsJump=3003-7003&amp;c.ChartCode=&amp;hAccount=&amp;hAccount2=&amp;DbCrd=Either&amp;AcTyp=Any&amp;RpTyp=Either" TargetMode="External"/><Relationship Id="rId987" Type="http://schemas.openxmlformats.org/officeDocument/2006/relationships/hyperlink" Target="file:///\\192.168.11.15\Elmdale-Root\Accounting\pages\CommonAccount.aspx%3fsJump=3303-2218&amp;c.ChartCode=&amp;hAccount=&amp;hAccount2=&amp;DbCrd=Either&amp;AcTyp=Any&amp;RpTyp=Either" TargetMode="External"/><Relationship Id="rId1172" Type="http://schemas.openxmlformats.org/officeDocument/2006/relationships/hyperlink" Target="file:///\\192.168.11.15\Elmdale-Root\Accounting\pages\CommonAccount.aspx%3fsJump=6300-0010&amp;c.ChartCode=&amp;hAccount=&amp;hAccount2=&amp;DbCrd=Either&amp;AcTyp=Any&amp;RpTyp=Either" TargetMode="External"/><Relationship Id="rId402" Type="http://schemas.openxmlformats.org/officeDocument/2006/relationships/hyperlink" Target="file:///\\192.168.11.15\Elmdale-Root\Accounting\pages\CommonAccount.aspx%3fsJump=2235-0000&amp;c.ChartCode=&amp;hAccount=&amp;hAccount2=&amp;DbCrd=Either&amp;AcTyp=Any&amp;RpTyp=Either" TargetMode="External"/><Relationship Id="rId847" Type="http://schemas.openxmlformats.org/officeDocument/2006/relationships/hyperlink" Target="file:///\\192.168.11.15\Elmdale-Root\Accounting\pages\CommonAccount.aspx%3fsJump=3303-2078&amp;c.ChartCode=&amp;hAccount=&amp;hAccount2=&amp;DbCrd=Either&amp;AcTyp=Any&amp;RpTyp=Either" TargetMode="External"/><Relationship Id="rId1032" Type="http://schemas.openxmlformats.org/officeDocument/2006/relationships/hyperlink" Target="file:///\\192.168.11.15\Elmdale-Root\Accounting\pages\CommonAccount.aspx%3fsJump=4710-1000&amp;c.ChartCode=&amp;hAccount=&amp;hAccount2=&amp;DbCrd=Either&amp;AcTyp=Any&amp;RpTyp=Either" TargetMode="External"/><Relationship Id="rId707" Type="http://schemas.openxmlformats.org/officeDocument/2006/relationships/hyperlink" Target="file:///\\192.168.11.15\Elmdale-Root\Accounting\pages\CommonAccount.aspx%3fsJump=3303-1420&amp;c.ChartCode=&amp;hAccount=&amp;hAccount2=&amp;DbCrd=Either&amp;AcTyp=Any&amp;RpTyp=Either" TargetMode="External"/><Relationship Id="rId914" Type="http://schemas.openxmlformats.org/officeDocument/2006/relationships/hyperlink" Target="file:///\\192.168.11.15\Elmdale-Root\Accounting\pages\CommonAccount.aspx%3fsJump=3303-2145&amp;c.ChartCode=&amp;hAccount=&amp;hAccount2=&amp;DbCrd=Either&amp;AcTyp=Any&amp;RpTyp=Either" TargetMode="External"/><Relationship Id="rId43" Type="http://schemas.openxmlformats.org/officeDocument/2006/relationships/hyperlink" Target="file:///\\192.168.11.15\Elmdale-Root\Accounting\pages\CommonAccount.aspx%3fsJump=1110-1514&amp;c.ChartCode=&amp;hAccount=&amp;hAccount2=&amp;DbCrd=Either&amp;AcTyp=Any&amp;RpTyp=Either" TargetMode="External"/><Relationship Id="rId192" Type="http://schemas.openxmlformats.org/officeDocument/2006/relationships/hyperlink" Target="file:///\\192.168.11.15\Elmdale-Root\Accounting\pages\CommonAccount.aspx%3fsJump=1200-0002&amp;c.ChartCode=&amp;hAccount=&amp;hAccount2=&amp;DbCrd=Either&amp;AcTyp=Any&amp;RpTyp=Either" TargetMode="External"/><Relationship Id="rId497" Type="http://schemas.openxmlformats.org/officeDocument/2006/relationships/hyperlink" Target="file:///\\192.168.11.15\Elmdale-Root\Accounting\pages\CommonAccount.aspx%3fsJump=3003-1400&amp;c.ChartCode=&amp;hAccount=&amp;hAccount2=&amp;DbCrd=Either&amp;AcTyp=Any&amp;RpTyp=Either" TargetMode="External"/><Relationship Id="rId357" Type="http://schemas.openxmlformats.org/officeDocument/2006/relationships/hyperlink" Target="file:///\\192.168.11.15\Elmdale-Root\Accounting\pages\CommonAccount.aspx%3fsJump=2100-1000&amp;c.ChartCode=&amp;hAccount=&amp;hAccount2=&amp;DbCrd=Either&amp;AcTyp=Any&amp;RpTyp=Either" TargetMode="External"/><Relationship Id="rId1194" Type="http://schemas.openxmlformats.org/officeDocument/2006/relationships/hyperlink" Target="file:///\\192.168.11.15\Elmdale-Root\Accounting\pages\CommonAccount.aspx%3fsJump=6450-0050&amp;c.ChartCode=&amp;hAccount=&amp;hAccount2=&amp;DbCrd=Either&amp;AcTyp=Any&amp;RpTyp=Either" TargetMode="External"/><Relationship Id="rId217" Type="http://schemas.openxmlformats.org/officeDocument/2006/relationships/hyperlink" Target="file:///\\192.168.11.15\Elmdale-Root\Accounting\pages\CommonAccount.aspx%3fsJump=1410-1000&amp;c.ChartCode=&amp;hAccount=&amp;hAccount2=&amp;DbCrd=Either&amp;AcTyp=Any&amp;RpTyp=Either" TargetMode="External"/><Relationship Id="rId564" Type="http://schemas.openxmlformats.org/officeDocument/2006/relationships/hyperlink" Target="file:///\\192.168.11.15\Elmdale-Root\Accounting\pages\CommonAccount.aspx%3fsJump=3006-1008&amp;c.ChartCode=&amp;hAccount=&amp;hAccount2=&amp;DbCrd=Either&amp;AcTyp=Any&amp;RpTyp=Either" TargetMode="External"/><Relationship Id="rId771" Type="http://schemas.openxmlformats.org/officeDocument/2006/relationships/hyperlink" Target="file:///\\192.168.11.15\Elmdale-Root\Accounting\pages\CommonAccount.aspx%3fsJump=3303-2001&amp;c.ChartCode=&amp;hAccount=&amp;hAccount2=&amp;DbCrd=Either&amp;AcTyp=Any&amp;RpTyp=Either" TargetMode="External"/><Relationship Id="rId869" Type="http://schemas.openxmlformats.org/officeDocument/2006/relationships/hyperlink" Target="file:///\\192.168.11.15\Elmdale-Root\Accounting\pages\CommonAccount.aspx%3fsJump=3303-2100&amp;c.ChartCode=&amp;hAccount=&amp;hAccount2=&amp;DbCrd=Either&amp;AcTyp=Any&amp;RpTyp=Either" TargetMode="External"/><Relationship Id="rId424" Type="http://schemas.openxmlformats.org/officeDocument/2006/relationships/hyperlink" Target="file:///\\192.168.11.15\Elmdale-Root\Accounting\pages\CommonAccount.aspx%3fsJump=2305-1401&amp;c.ChartCode=&amp;hAccount=&amp;hAccount2=&amp;DbCrd=Either&amp;AcTyp=Any&amp;RpTyp=Either" TargetMode="External"/><Relationship Id="rId631" Type="http://schemas.openxmlformats.org/officeDocument/2006/relationships/hyperlink" Target="file:///\\192.168.11.15\Elmdale-Root\Accounting\pages\CommonAccount.aspx%3fsJump=3006-1075&amp;c.ChartCode=&amp;hAccount=&amp;hAccount2=&amp;DbCrd=Either&amp;AcTyp=Any&amp;RpTyp=Either" TargetMode="External"/><Relationship Id="rId729" Type="http://schemas.openxmlformats.org/officeDocument/2006/relationships/hyperlink" Target="file:///\\192.168.11.15\Elmdale-Root\Accounting\pages\CommonAccount.aspx%3fsJump=3303-1472&amp;c.ChartCode=&amp;hAccount=&amp;hAccount2=&amp;DbCrd=Either&amp;AcTyp=Any&amp;RpTyp=Either" TargetMode="External"/><Relationship Id="rId1054" Type="http://schemas.openxmlformats.org/officeDocument/2006/relationships/hyperlink" Target="file:///\\192.168.11.15\Elmdale-Root\Accounting\pages\CommonAccount.aspx%3fsJump=5217-0000&amp;c.ChartCode=&amp;hAccount=&amp;hAccount2=&amp;DbCrd=Either&amp;AcTyp=Any&amp;RpTyp=Either" TargetMode="External"/><Relationship Id="rId1261" Type="http://schemas.openxmlformats.org/officeDocument/2006/relationships/hyperlink" Target="file:///\\192.168.11.15\Elmdale-Root\Accounting\pages\CommonAccount.aspx%3fsJump=8100-1002&amp;c.ChartCode=&amp;hAccount=&amp;hAccount2=&amp;DbCrd=Either&amp;AcTyp=Any&amp;RpTyp=Either" TargetMode="External"/><Relationship Id="rId936" Type="http://schemas.openxmlformats.org/officeDocument/2006/relationships/hyperlink" Target="file:///\\192.168.11.15\Elmdale-Root\Accounting\pages\CommonAccount.aspx%3fsJump=3303-2167&amp;c.ChartCode=&amp;hAccount=&amp;hAccount2=&amp;DbCrd=Either&amp;AcTyp=Any&amp;RpTyp=Either" TargetMode="External"/><Relationship Id="rId1121" Type="http://schemas.openxmlformats.org/officeDocument/2006/relationships/hyperlink" Target="file:///\\192.168.11.15\Elmdale-Root\Accounting\pages\CommonAccount.aspx%3fsJump=6050-0025&amp;c.ChartCode=&amp;hAccount=&amp;hAccount2=&amp;DbCrd=Either&amp;AcTyp=Any&amp;RpTyp=Either" TargetMode="External"/><Relationship Id="rId1219" Type="http://schemas.openxmlformats.org/officeDocument/2006/relationships/hyperlink" Target="file:///\\192.168.11.15\Elmdale-Root\Accounting\pages\CommonAccount.aspx%3fsJump=7000-0040&amp;c.ChartCode=&amp;hAccount=&amp;hAccount2=&amp;DbCrd=Either&amp;AcTyp=Any&amp;RpTyp=Either" TargetMode="External"/><Relationship Id="rId65" Type="http://schemas.openxmlformats.org/officeDocument/2006/relationships/hyperlink" Target="file:///\\192.168.11.15\Elmdale-Root\Accounting\pages\CommonAccount.aspx%3fsJump=1110-1555&amp;c.ChartCode=&amp;hAccount=&amp;hAccount2=&amp;DbCrd=Either&amp;AcTyp=Any&amp;RpTyp=Either" TargetMode="External"/><Relationship Id="rId281" Type="http://schemas.openxmlformats.org/officeDocument/2006/relationships/hyperlink" Target="file:///\\192.168.11.15\Elmdale-Root\Accounting\pages\CommonAccount.aspx%3fsJump=1600-0027&amp;c.ChartCode=&amp;hAccount=&amp;hAccount2=&amp;DbCrd=Either&amp;AcTyp=Any&amp;RpTyp=Either" TargetMode="External"/><Relationship Id="rId141" Type="http://schemas.openxmlformats.org/officeDocument/2006/relationships/hyperlink" Target="file:///\\192.168.11.15\Elmdale-Root\Accounting\pages\CommonAccount.aspx%3fsJump=1110-4957&amp;c.ChartCode=&amp;hAccount=&amp;hAccount2=&amp;DbCrd=Either&amp;AcTyp=Any&amp;RpTyp=Either" TargetMode="External"/><Relationship Id="rId379" Type="http://schemas.openxmlformats.org/officeDocument/2006/relationships/hyperlink" Target="file:///\\192.168.11.15\Elmdale-Root\Accounting\pages\CommonAccount.aspx%3fsJump=2150-0008&amp;c.ChartCode=&amp;hAccount=&amp;hAccount2=&amp;DbCrd=Either&amp;AcTyp=Any&amp;RpTyp=Either" TargetMode="External"/><Relationship Id="rId586" Type="http://schemas.openxmlformats.org/officeDocument/2006/relationships/hyperlink" Target="file:///\\192.168.11.15\Elmdale-Root\Accounting\pages\CommonAccount.aspx%3fsJump=3006-1030&amp;c.ChartCode=&amp;hAccount=&amp;hAccount2=&amp;DbCrd=Either&amp;AcTyp=Any&amp;RpTyp=Either" TargetMode="External"/><Relationship Id="rId793" Type="http://schemas.openxmlformats.org/officeDocument/2006/relationships/hyperlink" Target="file:///\\192.168.11.15\Elmdale-Root\Accounting\pages\CommonAccount.aspx%3fsJump=3303-2024&amp;c.ChartCode=&amp;hAccount=&amp;hAccount2=&amp;DbCrd=Either&amp;AcTyp=Any&amp;RpTyp=Either" TargetMode="External"/><Relationship Id="rId7" Type="http://schemas.openxmlformats.org/officeDocument/2006/relationships/hyperlink" Target="file:///\\192.168.11.15\Elmdale-Root\Accounting\pages\CommonAccount.aspx%3fsJump=1110-0002&amp;c.ChartCode=&amp;hAccount=&amp;hAccount2=&amp;DbCrd=Either&amp;AcTyp=Any&amp;RpTyp=Either" TargetMode="External"/><Relationship Id="rId239" Type="http://schemas.openxmlformats.org/officeDocument/2006/relationships/hyperlink" Target="file:///\\192.168.11.15\Elmdale-Root\Accounting\pages\CommonAccount.aspx%3fsJump=1500-0030&amp;c.ChartCode=&amp;hAccount=&amp;hAccount2=&amp;DbCrd=Either&amp;AcTyp=Any&amp;RpTyp=Either" TargetMode="External"/><Relationship Id="rId446" Type="http://schemas.openxmlformats.org/officeDocument/2006/relationships/hyperlink" Target="file:///\\192.168.11.15\Elmdale-Root\Accounting\pages\CommonAccount.aspx%3fsJump=2310-0001&amp;c.ChartCode=&amp;hAccount=&amp;hAccount2=&amp;DbCrd=Either&amp;AcTyp=Any&amp;RpTyp=Either" TargetMode="External"/><Relationship Id="rId653" Type="http://schemas.openxmlformats.org/officeDocument/2006/relationships/hyperlink" Target="file:///\\192.168.11.15\Elmdale-Root\Accounting\pages\CommonAccount.aspx%3fsJump=3030-1000&amp;c.ChartCode=&amp;hAccount=&amp;hAccount2=&amp;DbCrd=Either&amp;AcTyp=Any&amp;RpTyp=Either" TargetMode="External"/><Relationship Id="rId1076" Type="http://schemas.openxmlformats.org/officeDocument/2006/relationships/hyperlink" Target="file:///\\192.168.11.15\Elmdale-Root\Accounting\pages\CommonAccount.aspx%3fsJump=5432-0000&amp;c.ChartCode=&amp;hAccount=&amp;hAccount2=&amp;DbCrd=Either&amp;AcTyp=Any&amp;RpTyp=Either" TargetMode="External"/><Relationship Id="rId1283" Type="http://schemas.openxmlformats.org/officeDocument/2006/relationships/hyperlink" Target="file:///\\192.168.11.15\Elmdale-Root\Accounting\pages\CommonAccount.aspx%3fsJump=8180-0017&amp;c.ChartCode=&amp;hAccount=&amp;hAccount2=&amp;DbCrd=Either&amp;AcTyp=Any&amp;RpTyp=Either" TargetMode="External"/><Relationship Id="rId306" Type="http://schemas.openxmlformats.org/officeDocument/2006/relationships/hyperlink" Target="file:///\\192.168.11.15\Elmdale-Root\Accounting\pages\CommonAccount.aspx%3fsJump=1600-1007&amp;c.ChartCode=&amp;hAccount=&amp;hAccount2=&amp;DbCrd=Either&amp;AcTyp=Any&amp;RpTyp=Either" TargetMode="External"/><Relationship Id="rId860" Type="http://schemas.openxmlformats.org/officeDocument/2006/relationships/hyperlink" Target="file:///\\192.168.11.15\Elmdale-Root\Accounting\pages\CommonAccount.aspx%3fsJump=3303-2091&amp;c.ChartCode=&amp;hAccount=&amp;hAccount2=&amp;DbCrd=Either&amp;AcTyp=Any&amp;RpTyp=Either" TargetMode="External"/><Relationship Id="rId958" Type="http://schemas.openxmlformats.org/officeDocument/2006/relationships/hyperlink" Target="file:///\\192.168.11.15\Elmdale-Root\Accounting\pages\CommonAccount.aspx%3fsJump=3303-2189&amp;c.ChartCode=&amp;hAccount=&amp;hAccount2=&amp;DbCrd=Either&amp;AcTyp=Any&amp;RpTyp=Either" TargetMode="External"/><Relationship Id="rId1143" Type="http://schemas.openxmlformats.org/officeDocument/2006/relationships/hyperlink" Target="file:///\\192.168.11.15\Elmdale-Root\Accounting\pages\CommonAccount.aspx%3fsJump=6110-1005&amp;c.ChartCode=&amp;hAccount=&amp;hAccount2=&amp;DbCrd=Either&amp;AcTyp=Any&amp;RpTyp=Either" TargetMode="External"/><Relationship Id="rId87" Type="http://schemas.openxmlformats.org/officeDocument/2006/relationships/hyperlink" Target="file:///\\192.168.11.15\Elmdale-Root\Accounting\pages\CommonAccount.aspx%3fsJump=1110-4329&amp;c.ChartCode=&amp;hAccount=&amp;hAccount2=&amp;DbCrd=Either&amp;AcTyp=Any&amp;RpTyp=Either" TargetMode="External"/><Relationship Id="rId513" Type="http://schemas.openxmlformats.org/officeDocument/2006/relationships/hyperlink" Target="file:///\\192.168.11.15\Elmdale-Root\Accounting\pages\CommonAccount.aspx%3fsJump=3003-1800&amp;c.ChartCode=&amp;hAccount=&amp;hAccount2=&amp;DbCrd=Either&amp;AcTyp=Any&amp;RpTyp=Either" TargetMode="External"/><Relationship Id="rId720" Type="http://schemas.openxmlformats.org/officeDocument/2006/relationships/hyperlink" Target="file:///\\192.168.11.15\Elmdale-Root\Accounting\pages\CommonAccount.aspx%3fsJump=3303-1451&amp;c.ChartCode=&amp;hAccount=&amp;hAccount2=&amp;DbCrd=Either&amp;AcTyp=Any&amp;RpTyp=Either" TargetMode="External"/><Relationship Id="rId818" Type="http://schemas.openxmlformats.org/officeDocument/2006/relationships/hyperlink" Target="file:///\\192.168.11.15\Elmdale-Root\Accounting\pages\CommonAccount.aspx%3fsJump=3303-2049&amp;c.ChartCode=&amp;hAccount=&amp;hAccount2=&amp;DbCrd=Either&amp;AcTyp=Any&amp;RpTyp=Either" TargetMode="External"/><Relationship Id="rId1003" Type="http://schemas.openxmlformats.org/officeDocument/2006/relationships/hyperlink" Target="file:///\\192.168.11.15\Elmdale-Root\Accounting\pages\CommonAccount.aspx%3fsJump=3800-0000&amp;c.ChartCode=&amp;hAccount=&amp;hAccount2=&amp;DbCrd=Either&amp;AcTyp=Any&amp;RpTyp=Either" TargetMode="External"/><Relationship Id="rId1210" Type="http://schemas.openxmlformats.org/officeDocument/2006/relationships/hyperlink" Target="file:///\\192.168.11.15\Elmdale-Root\Accounting\pages\CommonAccount.aspx%3fsJump=7000-0009&amp;c.ChartCode=&amp;hAccount=&amp;hAccount2=&amp;DbCrd=Either&amp;AcTyp=Any&amp;RpTyp=Either" TargetMode="External"/><Relationship Id="rId1308" Type="http://schemas.openxmlformats.org/officeDocument/2006/relationships/hyperlink" Target="file:///\\192.168.11.15\Elmdale-Root\Accounting\pages\CommonAccount.aspx%3fsJump=8530-0000&amp;c.ChartCode=&amp;hAccount=&amp;hAccount2=&amp;DbCrd=Either&amp;AcTyp=Any&amp;RpTyp=Either" TargetMode="External"/><Relationship Id="rId14" Type="http://schemas.openxmlformats.org/officeDocument/2006/relationships/hyperlink" Target="file:///\\192.168.11.15\Elmdale-Root\Accounting\pages\CommonAccount.aspx%3fsJump=1110-0030&amp;c.ChartCode=&amp;hAccount=&amp;hAccount2=&amp;DbCrd=Either&amp;AcTyp=Any&amp;RpTyp=Either" TargetMode="External"/><Relationship Id="rId163" Type="http://schemas.openxmlformats.org/officeDocument/2006/relationships/hyperlink" Target="file:///\\192.168.11.15\Elmdale-Root\Accounting\pages\CommonAccount.aspx%3fsJump=1110-4979&amp;c.ChartCode=&amp;hAccount=&amp;hAccount2=&amp;DbCrd=Either&amp;AcTyp=Any&amp;RpTyp=Either" TargetMode="External"/><Relationship Id="rId370" Type="http://schemas.openxmlformats.org/officeDocument/2006/relationships/hyperlink" Target="file:///\\192.168.11.15\Elmdale-Root\Accounting\pages\CommonAccount.aspx%3fsJump=2147-2200&amp;c.ChartCode=&amp;hAccount=&amp;hAccount2=&amp;DbCrd=Either&amp;AcTyp=Any&amp;RpTyp=Either" TargetMode="External"/><Relationship Id="rId230" Type="http://schemas.openxmlformats.org/officeDocument/2006/relationships/hyperlink" Target="file:///\\192.168.11.15\Elmdale-Root\Accounting\pages\CommonAccount.aspx%3fsJump=1500-0001&amp;c.ChartCode=&amp;hAccount=&amp;hAccount2=&amp;DbCrd=Either&amp;AcTyp=Any&amp;RpTyp=Either" TargetMode="External"/><Relationship Id="rId468" Type="http://schemas.openxmlformats.org/officeDocument/2006/relationships/hyperlink" Target="file:///\\192.168.11.15\Elmdale-Root\Accounting\pages\CommonAccount.aspx%3fsJump=3000-0000&amp;c.ChartCode=&amp;hAccount=&amp;hAccount2=&amp;DbCrd=Either&amp;AcTyp=Any&amp;RpTyp=Either" TargetMode="External"/><Relationship Id="rId675" Type="http://schemas.openxmlformats.org/officeDocument/2006/relationships/hyperlink" Target="file:///\\192.168.11.15\Elmdale-Root\Accounting\pages\CommonAccount.aspx%3fsJump=3056-0000&amp;c.ChartCode=&amp;hAccount=&amp;hAccount2=&amp;DbCrd=Either&amp;AcTyp=Any&amp;RpTyp=Either" TargetMode="External"/><Relationship Id="rId882" Type="http://schemas.openxmlformats.org/officeDocument/2006/relationships/hyperlink" Target="file:///\\192.168.11.15\Elmdale-Root\Accounting\pages\CommonAccount.aspx%3fsJump=3303-2113&amp;c.ChartCode=&amp;hAccount=&amp;hAccount2=&amp;DbCrd=Either&amp;AcTyp=Any&amp;RpTyp=Either" TargetMode="External"/><Relationship Id="rId1098" Type="http://schemas.openxmlformats.org/officeDocument/2006/relationships/hyperlink" Target="file:///\\192.168.11.15\Elmdale-Root\Accounting\pages\CommonAccount.aspx%3fsJump=5660-0000&amp;c.ChartCode=&amp;hAccount=&amp;hAccount2=&amp;DbCrd=Either&amp;AcTyp=Any&amp;RpTyp=Either" TargetMode="External"/><Relationship Id="rId328" Type="http://schemas.openxmlformats.org/officeDocument/2006/relationships/hyperlink" Target="file:///\\192.168.11.15\Elmdale-Root\Accounting\pages\CommonAccount.aspx%3fsJump=1770-0001&amp;c.ChartCode=&amp;hAccount=&amp;hAccount2=&amp;DbCrd=Either&amp;AcTyp=Any&amp;RpTyp=Either" TargetMode="External"/><Relationship Id="rId535" Type="http://schemas.openxmlformats.org/officeDocument/2006/relationships/hyperlink" Target="file:///\\192.168.11.15\Elmdale-Root\Accounting\pages\CommonAccount.aspx%3fsJump=3003-6000&amp;c.ChartCode=&amp;hAccount=&amp;hAccount2=&amp;DbCrd=Either&amp;AcTyp=Any&amp;RpTyp=Either" TargetMode="External"/><Relationship Id="rId742" Type="http://schemas.openxmlformats.org/officeDocument/2006/relationships/hyperlink" Target="file:///\\192.168.11.15\Elmdale-Root\Accounting\pages\CommonAccount.aspx%3fsJump=3303-1503&amp;c.ChartCode=&amp;hAccount=&amp;hAccount2=&amp;DbCrd=Either&amp;AcTyp=Any&amp;RpTyp=Either" TargetMode="External"/><Relationship Id="rId1165" Type="http://schemas.openxmlformats.org/officeDocument/2006/relationships/hyperlink" Target="file:///\\192.168.11.15\Elmdale-Root\Accounting\pages\CommonAccount.aspx%3fsJump=6200-0030&amp;c.ChartCode=&amp;hAccount=&amp;hAccount2=&amp;DbCrd=Either&amp;AcTyp=Any&amp;RpTyp=Either" TargetMode="External"/><Relationship Id="rId602" Type="http://schemas.openxmlformats.org/officeDocument/2006/relationships/hyperlink" Target="file:///\\192.168.11.15\Elmdale-Root\Accounting\pages\CommonAccount.aspx%3fsJump=3006-1046&amp;c.ChartCode=&amp;hAccount=&amp;hAccount2=&amp;DbCrd=Either&amp;AcTyp=Any&amp;RpTyp=Either" TargetMode="External"/><Relationship Id="rId1025" Type="http://schemas.openxmlformats.org/officeDocument/2006/relationships/hyperlink" Target="file:///\\192.168.11.15\Elmdale-Root\Accounting\pages\CommonAccount.aspx%3fsJump=4710-0000&amp;c.ChartCode=&amp;hAccount=&amp;hAccount2=&amp;DbCrd=Either&amp;AcTyp=Any&amp;RpTyp=Either" TargetMode="External"/><Relationship Id="rId1232" Type="http://schemas.openxmlformats.org/officeDocument/2006/relationships/hyperlink" Target="file:///\\192.168.11.15\Elmdale-Root\Accounting\pages\CommonAccount.aspx%3fsJump=7200-0000&amp;c.ChartCode=&amp;hAccount=&amp;hAccount2=&amp;DbCrd=Either&amp;AcTyp=Any&amp;RpTyp=Either" TargetMode="External"/><Relationship Id="rId907" Type="http://schemas.openxmlformats.org/officeDocument/2006/relationships/hyperlink" Target="file:///\\192.168.11.15\Elmdale-Root\Accounting\pages\CommonAccount.aspx%3fsJump=3303-2138&amp;c.ChartCode=&amp;hAccount=&amp;hAccount2=&amp;DbCrd=Either&amp;AcTyp=Any&amp;RpTyp=Either" TargetMode="External"/><Relationship Id="rId36" Type="http://schemas.openxmlformats.org/officeDocument/2006/relationships/hyperlink" Target="file:///\\192.168.11.15\Elmdale-Root\Accounting\pages\CommonAccount.aspx%3fsJump=1110-1507&amp;c.ChartCode=&amp;hAccount=&amp;hAccount2=&amp;DbCrd=Either&amp;AcTyp=Any&amp;RpTyp=Either" TargetMode="External"/><Relationship Id="rId185" Type="http://schemas.openxmlformats.org/officeDocument/2006/relationships/hyperlink" Target="file:///\\192.168.11.15\Elmdale-Root\Accounting\pages\CommonAccount.aspx%3fsJump=1160-0000&amp;c.ChartCode=&amp;hAccount=&amp;hAccount2=&amp;DbCrd=Either&amp;AcTyp=Any&amp;RpTyp=Either" TargetMode="External"/><Relationship Id="rId392" Type="http://schemas.openxmlformats.org/officeDocument/2006/relationships/hyperlink" Target="file:///\\192.168.11.15\Elmdale-Root\Accounting\pages\CommonAccount.aspx%3fsJump=2150-0021&amp;c.ChartCode=&amp;hAccount=&amp;hAccount2=&amp;DbCrd=Either&amp;AcTyp=Any&amp;RpTyp=Either" TargetMode="External"/><Relationship Id="rId697" Type="http://schemas.openxmlformats.org/officeDocument/2006/relationships/hyperlink" Target="file:///\\192.168.11.15\Elmdale-Root\Accounting\pages\CommonAccount.aspx%3fsJump=3206-1000&amp;c.ChartCode=&amp;hAccount=&amp;hAccount2=&amp;DbCrd=Either&amp;AcTyp=Any&amp;RpTyp=Either" TargetMode="External"/><Relationship Id="rId252" Type="http://schemas.openxmlformats.org/officeDocument/2006/relationships/hyperlink" Target="file:///\\192.168.11.15\Elmdale-Root\Accounting\pages\CommonAccount.aspx%3fsJump=1500-0067&amp;c.ChartCode=&amp;hAccount=&amp;hAccount2=&amp;DbCrd=Either&amp;AcTyp=Any&amp;RpTyp=Either" TargetMode="External"/><Relationship Id="rId1187" Type="http://schemas.openxmlformats.org/officeDocument/2006/relationships/hyperlink" Target="file:///\\192.168.11.15\Elmdale-Root\Accounting\pages\CommonAccount.aspx%3fsJump=6400-0046&amp;c.ChartCode=&amp;hAccount=&amp;hAccount2=&amp;DbCrd=Either&amp;AcTyp=Any&amp;RpTyp=Either" TargetMode="External"/><Relationship Id="rId112" Type="http://schemas.openxmlformats.org/officeDocument/2006/relationships/hyperlink" Target="file:///\\192.168.11.15\Elmdale-Root\Accounting\pages\CommonAccount.aspx%3fsJump=1110-4918&amp;c.ChartCode=&amp;hAccount=&amp;hAccount2=&amp;DbCrd=Either&amp;AcTyp=Any&amp;RpTyp=Either" TargetMode="External"/><Relationship Id="rId557" Type="http://schemas.openxmlformats.org/officeDocument/2006/relationships/hyperlink" Target="file:///\\192.168.11.15\Elmdale-Root\Accounting\pages\CommonAccount.aspx%3fsJump=3006-1001&amp;c.ChartCode=&amp;hAccount=&amp;hAccount2=&amp;DbCrd=Either&amp;AcTyp=Any&amp;RpTyp=Either" TargetMode="External"/><Relationship Id="rId764" Type="http://schemas.openxmlformats.org/officeDocument/2006/relationships/hyperlink" Target="file:///\\192.168.11.15\Elmdale-Root\Accounting\pages\CommonAccount.aspx%3fsJump=3303-1551&amp;c.ChartCode=&amp;hAccount=&amp;hAccount2=&amp;DbCrd=Either&amp;AcTyp=Any&amp;RpTyp=Either" TargetMode="External"/><Relationship Id="rId971" Type="http://schemas.openxmlformats.org/officeDocument/2006/relationships/hyperlink" Target="file:///\\192.168.11.15\Elmdale-Root\Accounting\pages\CommonAccount.aspx%3fsJump=3303-2202&amp;c.ChartCode=&amp;hAccount=&amp;hAccount2=&amp;DbCrd=Either&amp;AcTyp=Any&amp;RpTyp=Either" TargetMode="External"/><Relationship Id="rId417" Type="http://schemas.openxmlformats.org/officeDocument/2006/relationships/hyperlink" Target="file:///\\192.168.11.15\Elmdale-Root\Accounting\pages\CommonAccount.aspx%3fsJump=2305-0403&amp;c.ChartCode=&amp;hAccount=&amp;hAccount2=&amp;DbCrd=Either&amp;AcTyp=Any&amp;RpTyp=Either" TargetMode="External"/><Relationship Id="rId624" Type="http://schemas.openxmlformats.org/officeDocument/2006/relationships/hyperlink" Target="file:///\\192.168.11.15\Elmdale-Root\Accounting\pages\CommonAccount.aspx%3fsJump=3006-1068&amp;c.ChartCode=&amp;hAccount=&amp;hAccount2=&amp;DbCrd=Either&amp;AcTyp=Any&amp;RpTyp=Either" TargetMode="External"/><Relationship Id="rId831" Type="http://schemas.openxmlformats.org/officeDocument/2006/relationships/hyperlink" Target="file:///\\192.168.11.15\Elmdale-Root\Accounting\pages\CommonAccount.aspx%3fsJump=3303-2062&amp;c.ChartCode=&amp;hAccount=&amp;hAccount2=&amp;DbCrd=Either&amp;AcTyp=Any&amp;RpTyp=Either" TargetMode="External"/><Relationship Id="rId1047" Type="http://schemas.openxmlformats.org/officeDocument/2006/relationships/hyperlink" Target="file:///\\192.168.11.15\Elmdale-Root\Accounting\pages\CommonAccount.aspx%3fsJump=5000-1000&amp;c.ChartCode=&amp;hAccount=&amp;hAccount2=&amp;DbCrd=Either&amp;AcTyp=Any&amp;RpTyp=Either" TargetMode="External"/><Relationship Id="rId1254" Type="http://schemas.openxmlformats.org/officeDocument/2006/relationships/hyperlink" Target="file:///\\192.168.11.15\Elmdale-Root\Accounting\pages\CommonAccount.aspx%3fsJump=7999-9999&amp;c.ChartCode=&amp;hAccount=&amp;hAccount2=&amp;DbCrd=Either&amp;AcTyp=Any&amp;RpTyp=Either" TargetMode="External"/><Relationship Id="rId929" Type="http://schemas.openxmlformats.org/officeDocument/2006/relationships/hyperlink" Target="file:///\\192.168.11.15\Elmdale-Root\Accounting\pages\CommonAccount.aspx%3fsJump=3303-2160&amp;c.ChartCode=&amp;hAccount=&amp;hAccount2=&amp;DbCrd=Either&amp;AcTyp=Any&amp;RpTyp=Either" TargetMode="External"/><Relationship Id="rId1114" Type="http://schemas.openxmlformats.org/officeDocument/2006/relationships/hyperlink" Target="file:///\\192.168.11.15\Elmdale-Root\Accounting\pages\CommonAccount.aspx%3fsJump=6000-0000&amp;c.ChartCode=&amp;hAccount=&amp;hAccount2=&amp;DbCrd=Either&amp;AcTyp=Any&amp;RpTyp=Either" TargetMode="External"/><Relationship Id="rId1321" Type="http://schemas.openxmlformats.org/officeDocument/2006/relationships/hyperlink" Target="file:///\\192.168.11.15\Elmdale-Root\Accounting\pages\CommonAccount.aspx%3fsJump=9000-1001&amp;c.ChartCode=&amp;hAccount=&amp;hAccount2=&amp;DbCrd=Either&amp;AcTyp=Any&amp;RpTyp=Either" TargetMode="External"/><Relationship Id="rId58" Type="http://schemas.openxmlformats.org/officeDocument/2006/relationships/hyperlink" Target="file:///\\192.168.11.15\Elmdale-Root\Accounting\pages\CommonAccount.aspx%3fsJump=1110-1529&amp;c.ChartCode=&amp;hAccount=&amp;hAccount2=&amp;DbCrd=Either&amp;AcTyp=Any&amp;RpTyp=Either" TargetMode="External"/><Relationship Id="rId274" Type="http://schemas.openxmlformats.org/officeDocument/2006/relationships/hyperlink" Target="file:///\\192.168.11.15\Elmdale-Root\Accounting\pages\CommonAccount.aspx%3fsJump=1600-0015&amp;c.ChartCode=&amp;hAccount=&amp;hAccount2=&amp;DbCrd=Either&amp;AcTyp=Any&amp;RpTyp=Either" TargetMode="External"/><Relationship Id="rId481" Type="http://schemas.openxmlformats.org/officeDocument/2006/relationships/hyperlink" Target="file:///\\192.168.11.15\Elmdale-Root\Accounting\pages\CommonAccount.aspx%3fsJump=3003-1000&amp;c.ChartCode=&amp;hAccount=&amp;hAccount2=&amp;DbCrd=Either&amp;AcTyp=Any&amp;RpTyp=Either" TargetMode="External"/><Relationship Id="rId134" Type="http://schemas.openxmlformats.org/officeDocument/2006/relationships/hyperlink" Target="file:///\\192.168.11.15\Elmdale-Root\Accounting\pages\CommonAccount.aspx%3fsJump=1110-4949&amp;c.ChartCode=&amp;hAccount=&amp;hAccount2=&amp;DbCrd=Either&amp;AcTyp=Any&amp;RpTyp=Either" TargetMode="External"/><Relationship Id="rId579" Type="http://schemas.openxmlformats.org/officeDocument/2006/relationships/hyperlink" Target="file:///\\192.168.11.15\Elmdale-Root\Accounting\pages\CommonAccount.aspx%3fsJump=3006-1023&amp;c.ChartCode=&amp;hAccount=&amp;hAccount2=&amp;DbCrd=Either&amp;AcTyp=Any&amp;RpTyp=Either" TargetMode="External"/><Relationship Id="rId786" Type="http://schemas.openxmlformats.org/officeDocument/2006/relationships/hyperlink" Target="file:///\\192.168.11.15\Elmdale-Root\Accounting\pages\CommonAccount.aspx%3fsJump=3303-2016&amp;c.ChartCode=&amp;hAccount=&amp;hAccount2=&amp;DbCrd=Either&amp;AcTyp=Any&amp;RpTyp=Either" TargetMode="External"/><Relationship Id="rId993" Type="http://schemas.openxmlformats.org/officeDocument/2006/relationships/hyperlink" Target="file:///\\192.168.11.15\Elmdale-Root\Accounting\pages\CommonAccount.aspx%3fsJump=3303-2224&amp;c.ChartCode=&amp;hAccount=&amp;hAccount2=&amp;DbCrd=Either&amp;AcTyp=Any&amp;RpTyp=Either" TargetMode="External"/><Relationship Id="rId341" Type="http://schemas.openxmlformats.org/officeDocument/2006/relationships/hyperlink" Target="file:///\\192.168.11.15\Elmdale-Root\Accounting\pages\CommonAccount.aspx%3fsJump=1900-1007&amp;c.ChartCode=&amp;hAccount=&amp;hAccount2=&amp;DbCrd=Either&amp;AcTyp=Any&amp;RpTyp=Either" TargetMode="External"/><Relationship Id="rId439" Type="http://schemas.openxmlformats.org/officeDocument/2006/relationships/hyperlink" Target="file:///\\192.168.11.15\Elmdale-Root\Accounting\pages\CommonAccount.aspx%3fsJump=2305-7440&amp;c.ChartCode=&amp;hAccount=&amp;hAccount2=&amp;DbCrd=Either&amp;AcTyp=Any&amp;RpTyp=Either" TargetMode="External"/><Relationship Id="rId646" Type="http://schemas.openxmlformats.org/officeDocument/2006/relationships/hyperlink" Target="file:///\\192.168.11.15\Elmdale-Root\Accounting\pages\CommonAccount.aspx%3fsJump=3013-1006&amp;c.ChartCode=&amp;hAccount=&amp;hAccount2=&amp;DbCrd=Either&amp;AcTyp=Any&amp;RpTyp=Either" TargetMode="External"/><Relationship Id="rId1069" Type="http://schemas.openxmlformats.org/officeDocument/2006/relationships/hyperlink" Target="file:///\\192.168.11.15\Elmdale-Root\Accounting\pages\CommonAccount.aspx%3fsJump=5350-0001&amp;c.ChartCode=&amp;hAccount=&amp;hAccount2=&amp;DbCrd=Either&amp;AcTyp=Any&amp;RpTyp=Either" TargetMode="External"/><Relationship Id="rId1276" Type="http://schemas.openxmlformats.org/officeDocument/2006/relationships/hyperlink" Target="file:///\\192.168.11.15\Elmdale-Root\Accounting\pages\CommonAccount.aspx%3fsJump=8180-0010&amp;c.ChartCode=&amp;hAccount=&amp;hAccount2=&amp;DbCrd=Either&amp;AcTyp=Any&amp;RpTyp=Either" TargetMode="External"/><Relationship Id="rId201" Type="http://schemas.openxmlformats.org/officeDocument/2006/relationships/hyperlink" Target="file:///\\192.168.11.15\Elmdale-Root\Accounting\pages\CommonAccount.aspx%3fsJump=1300-0000&amp;c.ChartCode=&amp;hAccount=&amp;hAccount2=&amp;DbCrd=Either&amp;AcTyp=Any&amp;RpTyp=Either" TargetMode="External"/><Relationship Id="rId506" Type="http://schemas.openxmlformats.org/officeDocument/2006/relationships/hyperlink" Target="file:///\\192.168.11.15\Elmdale-Root\Accounting\pages\CommonAccount.aspx%3fsJump=3003-1601&amp;c.ChartCode=&amp;hAccount=&amp;hAccount2=&amp;DbCrd=Either&amp;AcTyp=Any&amp;RpTyp=Either" TargetMode="External"/><Relationship Id="rId853" Type="http://schemas.openxmlformats.org/officeDocument/2006/relationships/hyperlink" Target="file:///\\192.168.11.15\Elmdale-Root\Accounting\pages\CommonAccount.aspx%3fsJump=3303-2084&amp;c.ChartCode=&amp;hAccount=&amp;hAccount2=&amp;DbCrd=Either&amp;AcTyp=Any&amp;RpTyp=Either" TargetMode="External"/><Relationship Id="rId1136" Type="http://schemas.openxmlformats.org/officeDocument/2006/relationships/hyperlink" Target="file:///\\192.168.11.15\Elmdale-Root\Accounting\pages\CommonAccount.aspx%3fsJump=6110-0030&amp;c.ChartCode=&amp;hAccount=&amp;hAccount2=&amp;DbCrd=Either&amp;AcTyp=Any&amp;RpTyp=Either" TargetMode="External"/><Relationship Id="rId713" Type="http://schemas.openxmlformats.org/officeDocument/2006/relationships/hyperlink" Target="file:///\\192.168.11.15\Elmdale-Root\Accounting\pages\CommonAccount.aspx%3fsJump=3303-1432&amp;c.ChartCode=&amp;hAccount=&amp;hAccount2=&amp;DbCrd=Either&amp;AcTyp=Any&amp;RpTyp=Either" TargetMode="External"/><Relationship Id="rId920" Type="http://schemas.openxmlformats.org/officeDocument/2006/relationships/hyperlink" Target="file:///\\192.168.11.15\Elmdale-Root\Accounting\pages\CommonAccount.aspx%3fsJump=3303-2151&amp;c.ChartCode=&amp;hAccount=&amp;hAccount2=&amp;DbCrd=Either&amp;AcTyp=Any&amp;RpTyp=Either" TargetMode="External"/><Relationship Id="rId1203" Type="http://schemas.openxmlformats.org/officeDocument/2006/relationships/hyperlink" Target="file:///\\192.168.11.15\Elmdale-Root\Accounting\pages\CommonAccount.aspx%3fsJump=6461-1000&amp;c.ChartCode=&amp;hAccount=&amp;hAccount2=&amp;DbCrd=Either&amp;AcTyp=Any&amp;RpTyp=Either" TargetMode="External"/><Relationship Id="rId296" Type="http://schemas.openxmlformats.org/officeDocument/2006/relationships/hyperlink" Target="file:///\\192.168.11.15\Elmdale-Root\Accounting\pages\CommonAccount.aspx%3fsJump=1600-0048&amp;c.ChartCode=&amp;hAccount=&amp;hAccount2=&amp;DbCrd=Either&amp;AcTyp=Any&amp;RpTyp=Either" TargetMode="External"/><Relationship Id="rId156" Type="http://schemas.openxmlformats.org/officeDocument/2006/relationships/hyperlink" Target="file:///\\192.168.11.15\Elmdale-Root\Accounting\pages\CommonAccount.aspx%3fsJump=1110-4972&amp;c.ChartCode=&amp;hAccount=&amp;hAccount2=&amp;DbCrd=Either&amp;AcTyp=Any&amp;RpTyp=Either" TargetMode="External"/><Relationship Id="rId363" Type="http://schemas.openxmlformats.org/officeDocument/2006/relationships/hyperlink" Target="file:///\\192.168.11.15\Elmdale-Root\Accounting\pages\CommonAccount.aspx%3fsJump=2110-0000&amp;c.ChartCode=&amp;hAccount=&amp;hAccount2=&amp;DbCrd=Either&amp;AcTyp=Any&amp;RpTyp=Either" TargetMode="External"/><Relationship Id="rId570" Type="http://schemas.openxmlformats.org/officeDocument/2006/relationships/hyperlink" Target="file:///\\192.168.11.15\Elmdale-Root\Accounting\pages\CommonAccount.aspx%3fsJump=3006-1014&amp;c.ChartCode=&amp;hAccount=&amp;hAccount2=&amp;DbCrd=Either&amp;AcTyp=Any&amp;RpTyp=Either" TargetMode="External"/><Relationship Id="rId223" Type="http://schemas.openxmlformats.org/officeDocument/2006/relationships/hyperlink" Target="file:///\\192.168.11.15\Elmdale-Root\Accounting\pages\CommonAccount.aspx%3fsJump=1415-0000&amp;c.ChartCode=&amp;hAccount=&amp;hAccount2=&amp;DbCrd=Either&amp;AcTyp=Any&amp;RpTyp=Either" TargetMode="External"/><Relationship Id="rId430" Type="http://schemas.openxmlformats.org/officeDocument/2006/relationships/hyperlink" Target="file:///\\192.168.11.15\Elmdale-Root\Accounting\pages\CommonAccount.aspx%3fsJump=2305-5100&amp;c.ChartCode=&amp;hAccount=&amp;hAccount2=&amp;DbCrd=Either&amp;AcTyp=Any&amp;RpTyp=Either" TargetMode="External"/><Relationship Id="rId668" Type="http://schemas.openxmlformats.org/officeDocument/2006/relationships/hyperlink" Target="file:///\\192.168.11.15\Elmdale-Root\Accounting\pages\CommonAccount.aspx%3fsJump=3048-0000&amp;c.ChartCode=&amp;hAccount=&amp;hAccount2=&amp;DbCrd=Either&amp;AcTyp=Any&amp;RpTyp=Either" TargetMode="External"/><Relationship Id="rId875" Type="http://schemas.openxmlformats.org/officeDocument/2006/relationships/hyperlink" Target="file:///\\192.168.11.15\Elmdale-Root\Accounting\pages\CommonAccount.aspx%3fsJump=3303-2106&amp;c.ChartCode=&amp;hAccount=&amp;hAccount2=&amp;DbCrd=Either&amp;AcTyp=Any&amp;RpTyp=Either" TargetMode="External"/><Relationship Id="rId1060" Type="http://schemas.openxmlformats.org/officeDocument/2006/relationships/hyperlink" Target="file:///\\192.168.11.15\Elmdale-Root\Accounting\pages\CommonAccount.aspx%3fsJump=5250-0000&amp;c.ChartCode=&amp;hAccount=&amp;hAccount2=&amp;DbCrd=Either&amp;AcTyp=Any&amp;RpTyp=Either" TargetMode="External"/><Relationship Id="rId1298" Type="http://schemas.openxmlformats.org/officeDocument/2006/relationships/hyperlink" Target="file:///\\192.168.11.15\Elmdale-Root\Accounting\pages\CommonAccount.aspx%3fsJump=8181-0114&amp;c.ChartCode=&amp;hAccount=&amp;hAccount2=&amp;DbCrd=Either&amp;AcTyp=Any&amp;RpTyp=Either" TargetMode="External"/><Relationship Id="rId528" Type="http://schemas.openxmlformats.org/officeDocument/2006/relationships/hyperlink" Target="file:///\\192.168.11.15\Elmdale-Root\Accounting\pages\CommonAccount.aspx%3fsJump=3003-4001&amp;c.ChartCode=&amp;hAccount=&amp;hAccount2=&amp;DbCrd=Either&amp;AcTyp=Any&amp;RpTyp=Either" TargetMode="External"/><Relationship Id="rId735" Type="http://schemas.openxmlformats.org/officeDocument/2006/relationships/hyperlink" Target="file:///\\192.168.11.15\Elmdale-Root\Accounting\pages\CommonAccount.aspx%3fsJump=3303-1490&amp;c.ChartCode=&amp;hAccount=&amp;hAccount2=&amp;DbCrd=Either&amp;AcTyp=Any&amp;RpTyp=Either" TargetMode="External"/><Relationship Id="rId942" Type="http://schemas.openxmlformats.org/officeDocument/2006/relationships/hyperlink" Target="file:///\\192.168.11.15\Elmdale-Root\Accounting\pages\CommonAccount.aspx%3fsJump=3303-2173&amp;c.ChartCode=&amp;hAccount=&amp;hAccount2=&amp;DbCrd=Either&amp;AcTyp=Any&amp;RpTyp=Either" TargetMode="External"/><Relationship Id="rId1158" Type="http://schemas.openxmlformats.org/officeDocument/2006/relationships/hyperlink" Target="file:///\\192.168.11.15\Elmdale-Root\Accounting\pages\CommonAccount.aspx%3fsJump=6199-9999&amp;c.ChartCode=&amp;hAccount=&amp;hAccount2=&amp;DbCrd=Either&amp;AcTyp=Any&amp;RpTyp=Either" TargetMode="External"/><Relationship Id="rId1018" Type="http://schemas.openxmlformats.org/officeDocument/2006/relationships/hyperlink" Target="file:///\\192.168.11.15\Elmdale-Root\Accounting\pages\CommonAccount.aspx%3fsJump=4500-1000&amp;c.ChartCode=&amp;hAccount=&amp;hAccount2=&amp;DbCrd=Either&amp;AcTyp=Any&amp;RpTyp=Either" TargetMode="External"/><Relationship Id="rId1225" Type="http://schemas.openxmlformats.org/officeDocument/2006/relationships/hyperlink" Target="file:///\\192.168.11.15\Elmdale-Root\Accounting\pages\CommonAccount.aspx%3fsJump=7000-0054&amp;c.ChartCode=&amp;hAccount=&amp;hAccount2=&amp;DbCrd=Either&amp;AcTyp=Any&amp;RpTyp=Either" TargetMode="External"/><Relationship Id="rId71" Type="http://schemas.openxmlformats.org/officeDocument/2006/relationships/hyperlink" Target="file:///\\192.168.11.15\Elmdale-Root\Accounting\pages\CommonAccount.aspx%3fsJump=1110-3000&amp;c.ChartCode=&amp;hAccount=&amp;hAccount2=&amp;DbCrd=Either&amp;AcTyp=Any&amp;RpTyp=Either" TargetMode="External"/><Relationship Id="rId802" Type="http://schemas.openxmlformats.org/officeDocument/2006/relationships/hyperlink" Target="file:///\\192.168.11.15\Elmdale-Root\Accounting\pages\CommonAccount.aspx%3fsJump=3303-2033&amp;c.ChartCode=&amp;hAccount=&amp;hAccount2=&amp;DbCrd=Either&amp;AcTyp=Any&amp;RpTyp=Either" TargetMode="External"/><Relationship Id="rId29" Type="http://schemas.openxmlformats.org/officeDocument/2006/relationships/hyperlink" Target="file:///\\192.168.11.15\Elmdale-Root\Accounting\pages\CommonAccount.aspx%3fsJump=1110-1500&amp;c.ChartCode=&amp;hAccount=&amp;hAccount2=&amp;DbCrd=Either&amp;AcTyp=Any&amp;RpTyp=Either" TargetMode="External"/><Relationship Id="rId178" Type="http://schemas.openxmlformats.org/officeDocument/2006/relationships/hyperlink" Target="file:///\\192.168.11.15\Elmdale-Root\Accounting\pages\CommonAccount.aspx%3fsJump=1121-2001&amp;c.ChartCode=&amp;hAccount=&amp;hAccount2=&amp;DbCrd=Either&amp;AcTyp=Any&amp;RpTyp=Either" TargetMode="External"/><Relationship Id="rId385" Type="http://schemas.openxmlformats.org/officeDocument/2006/relationships/hyperlink" Target="file:///\\192.168.11.15\Elmdale-Root\Accounting\pages\CommonAccount.aspx%3fsJump=2150-0014&amp;c.ChartCode=&amp;hAccount=&amp;hAccount2=&amp;DbCrd=Either&amp;AcTyp=Any&amp;RpTyp=Either" TargetMode="External"/><Relationship Id="rId592" Type="http://schemas.openxmlformats.org/officeDocument/2006/relationships/hyperlink" Target="file:///\\192.168.11.15\Elmdale-Root\Accounting\pages\CommonAccount.aspx%3fsJump=3006-1036&amp;c.ChartCode=&amp;hAccount=&amp;hAccount2=&amp;DbCrd=Either&amp;AcTyp=Any&amp;RpTyp=Either" TargetMode="External"/><Relationship Id="rId245" Type="http://schemas.openxmlformats.org/officeDocument/2006/relationships/hyperlink" Target="file:///\\192.168.11.15\Elmdale-Root\Accounting\pages\CommonAccount.aspx%3fsJump=1500-0046&amp;c.ChartCode=&amp;hAccount=&amp;hAccount2=&amp;DbCrd=Either&amp;AcTyp=Any&amp;RpTyp=Either" TargetMode="External"/><Relationship Id="rId452" Type="http://schemas.openxmlformats.org/officeDocument/2006/relationships/hyperlink" Target="file:///\\192.168.11.15\Elmdale-Root\Accounting\pages\CommonAccount.aspx%3fsJump=2450-0000&amp;c.ChartCode=&amp;hAccount=&amp;hAccount2=&amp;DbCrd=Either&amp;AcTyp=Any&amp;RpTyp=Either" TargetMode="External"/><Relationship Id="rId897" Type="http://schemas.openxmlformats.org/officeDocument/2006/relationships/hyperlink" Target="file:///\\192.168.11.15\Elmdale-Root\Accounting\pages\CommonAccount.aspx%3fsJump=3303-2128&amp;c.ChartCode=&amp;hAccount=&amp;hAccount2=&amp;DbCrd=Either&amp;AcTyp=Any&amp;RpTyp=Either" TargetMode="External"/><Relationship Id="rId1082" Type="http://schemas.openxmlformats.org/officeDocument/2006/relationships/hyperlink" Target="file:///\\192.168.11.15\Elmdale-Root\Accounting\pages\CommonAccount.aspx%3fsJump=5470-0000&amp;c.ChartCode=&amp;hAccount=&amp;hAccount2=&amp;DbCrd=Either&amp;AcTyp=Any&amp;RpTyp=Either" TargetMode="External"/><Relationship Id="rId105" Type="http://schemas.openxmlformats.org/officeDocument/2006/relationships/hyperlink" Target="file:///\\192.168.11.15\Elmdale-Root\Accounting\pages\CommonAccount.aspx%3fsJump=1110-4911&amp;c.ChartCode=&amp;hAccount=&amp;hAccount2=&amp;DbCrd=Either&amp;AcTyp=Any&amp;RpTyp=Either" TargetMode="External"/><Relationship Id="rId312" Type="http://schemas.openxmlformats.org/officeDocument/2006/relationships/hyperlink" Target="file:///\\192.168.11.15\Elmdale-Root\Accounting\pages\CommonAccount.aspx%3fsJump=1600-1013&amp;c.ChartCode=&amp;hAccount=&amp;hAccount2=&amp;DbCrd=Either&amp;AcTyp=Any&amp;RpTyp=Either" TargetMode="External"/><Relationship Id="rId757" Type="http://schemas.openxmlformats.org/officeDocument/2006/relationships/hyperlink" Target="file:///\\192.168.11.15\Elmdale-Root\Accounting\pages\CommonAccount.aspx%3fsJump=3303-1532&amp;c.ChartCode=&amp;hAccount=&amp;hAccount2=&amp;DbCrd=Either&amp;AcTyp=Any&amp;RpTyp=Either" TargetMode="External"/><Relationship Id="rId964" Type="http://schemas.openxmlformats.org/officeDocument/2006/relationships/hyperlink" Target="file:///\\192.168.11.15\Elmdale-Root\Accounting\pages\CommonAccount.aspx%3fsJump=3303-2195&amp;c.ChartCode=&amp;hAccount=&amp;hAccount2=&amp;DbCrd=Either&amp;AcTyp=Any&amp;RpTyp=Either" TargetMode="External"/><Relationship Id="rId93" Type="http://schemas.openxmlformats.org/officeDocument/2006/relationships/hyperlink" Target="file:///\\192.168.11.15\Elmdale-Root\Accounting\pages\CommonAccount.aspx%3fsJump=1110-4899&amp;c.ChartCode=&amp;hAccount=&amp;hAccount2=&amp;DbCrd=Either&amp;AcTyp=Any&amp;RpTyp=Either" TargetMode="External"/><Relationship Id="rId617" Type="http://schemas.openxmlformats.org/officeDocument/2006/relationships/hyperlink" Target="file:///\\192.168.11.15\Elmdale-Root\Accounting\pages\CommonAccount.aspx%3fsJump=3006-1061&amp;c.ChartCode=&amp;hAccount=&amp;hAccount2=&amp;DbCrd=Either&amp;AcTyp=Any&amp;RpTyp=Either" TargetMode="External"/><Relationship Id="rId824" Type="http://schemas.openxmlformats.org/officeDocument/2006/relationships/hyperlink" Target="file:///\\192.168.11.15\Elmdale-Root\Accounting\pages\CommonAccount.aspx%3fsJump=3303-2055&amp;c.ChartCode=&amp;hAccount=&amp;hAccount2=&amp;DbCrd=Either&amp;AcTyp=Any&amp;RpTyp=Either" TargetMode="External"/><Relationship Id="rId1247" Type="http://schemas.openxmlformats.org/officeDocument/2006/relationships/hyperlink" Target="file:///\\192.168.11.15\Elmdale-Root\Accounting\pages\CommonAccount.aspx%3fsJump=7400-0001&amp;c.ChartCode=&amp;hAccount=&amp;hAccount2=&amp;DbCrd=Either&amp;AcTyp=Any&amp;RpTyp=Either" TargetMode="External"/><Relationship Id="rId1107" Type="http://schemas.openxmlformats.org/officeDocument/2006/relationships/hyperlink" Target="file:///\\192.168.11.15\Elmdale-Root\Accounting\pages\CommonAccount.aspx%3fsJump=5770-1002&amp;c.ChartCode=&amp;hAccount=&amp;hAccount2=&amp;DbCrd=Either&amp;AcTyp=Any&amp;RpTyp=Either" TargetMode="External"/><Relationship Id="rId1314" Type="http://schemas.openxmlformats.org/officeDocument/2006/relationships/hyperlink" Target="file:///\\192.168.11.15\Elmdale-Root\Accounting\pages\CommonAccount.aspx%3fsJump=8590-0004&amp;c.ChartCode=&amp;hAccount=&amp;hAccount2=&amp;DbCrd=Either&amp;AcTyp=Any&amp;RpTyp=Either" TargetMode="External"/><Relationship Id="rId20" Type="http://schemas.openxmlformats.org/officeDocument/2006/relationships/hyperlink" Target="file:///\\192.168.11.15\Elmdale-Root\Accounting\pages\CommonAccount.aspx%3fsJump=1110-0451&amp;c.ChartCode=&amp;hAccount=&amp;hAccount2=&amp;DbCrd=Either&amp;AcTyp=Any&amp;RpTyp=Either" TargetMode="External"/><Relationship Id="rId267" Type="http://schemas.openxmlformats.org/officeDocument/2006/relationships/hyperlink" Target="file:///\\192.168.11.15\Elmdale-Root\Accounting\pages\CommonAccount.aspx%3fsJump=1600-0007&amp;c.ChartCode=&amp;hAccount=&amp;hAccount2=&amp;DbCrd=Either&amp;AcTyp=Any&amp;RpTyp=Either" TargetMode="External"/><Relationship Id="rId474" Type="http://schemas.openxmlformats.org/officeDocument/2006/relationships/hyperlink" Target="file:///\\192.168.11.15\Elmdale-Root\Accounting\pages\CommonAccount.aspx%3fsJump=3003-0111&amp;c.ChartCode=&amp;hAccount=&amp;hAccount2=&amp;DbCrd=Either&amp;AcTyp=Any&amp;RpTyp=Either" TargetMode="External"/><Relationship Id="rId127" Type="http://schemas.openxmlformats.org/officeDocument/2006/relationships/hyperlink" Target="file:///\\192.168.11.15\Elmdale-Root\Accounting\pages\CommonAccount.aspx%3fsJump=1110-4942&amp;c.ChartCode=&amp;hAccount=&amp;hAccount2=&amp;DbCrd=Either&amp;AcTyp=Any&amp;RpTyp=Either" TargetMode="External"/><Relationship Id="rId681" Type="http://schemas.openxmlformats.org/officeDocument/2006/relationships/hyperlink" Target="file:///\\192.168.11.15\Elmdale-Root\Accounting\pages\CommonAccount.aspx%3fsJump=3067-0000&amp;c.ChartCode=&amp;hAccount=&amp;hAccount2=&amp;DbCrd=Either&amp;AcTyp=Any&amp;RpTyp=Either" TargetMode="External"/><Relationship Id="rId779" Type="http://schemas.openxmlformats.org/officeDocument/2006/relationships/hyperlink" Target="file:///\\192.168.11.15\Elmdale-Root\Accounting\pages\CommonAccount.aspx%3fsJump=3303-2009&amp;c.ChartCode=&amp;hAccount=&amp;hAccount2=&amp;DbCrd=Either&amp;AcTyp=Any&amp;RpTyp=Either" TargetMode="External"/><Relationship Id="rId986" Type="http://schemas.openxmlformats.org/officeDocument/2006/relationships/hyperlink" Target="file:///\\192.168.11.15\Elmdale-Root\Accounting\pages\CommonAccount.aspx%3fsJump=3303-2217&amp;c.ChartCode=&amp;hAccount=&amp;hAccount2=&amp;DbCrd=Either&amp;AcTyp=Any&amp;RpTyp=Either" TargetMode="External"/><Relationship Id="rId334" Type="http://schemas.openxmlformats.org/officeDocument/2006/relationships/hyperlink" Target="file:///\\192.168.11.15\Elmdale-Root\Accounting\pages\CommonAccount.aspx%3fsJump=1900-1000&amp;c.ChartCode=&amp;hAccount=&amp;hAccount2=&amp;DbCrd=Either&amp;AcTyp=Any&amp;RpTyp=Either" TargetMode="External"/><Relationship Id="rId541" Type="http://schemas.openxmlformats.org/officeDocument/2006/relationships/hyperlink" Target="file:///\\192.168.11.15\Elmdale-Root\Accounting\pages\CommonAccount.aspx%3fsJump=3003-7002&amp;c.ChartCode=&amp;hAccount=&amp;hAccount2=&amp;DbCrd=Either&amp;AcTyp=Any&amp;RpTyp=Either" TargetMode="External"/><Relationship Id="rId639" Type="http://schemas.openxmlformats.org/officeDocument/2006/relationships/hyperlink" Target="file:///\\192.168.11.15\Elmdale-Root\Accounting\pages\CommonAccount.aspx%3fsJump=3012-0000&amp;c.ChartCode=&amp;hAccount=&amp;hAccount2=&amp;DbCrd=Either&amp;AcTyp=Any&amp;RpTyp=Either" TargetMode="External"/><Relationship Id="rId1171" Type="http://schemas.openxmlformats.org/officeDocument/2006/relationships/hyperlink" Target="file:///\\192.168.11.15\Elmdale-Root\Accounting\pages\CommonAccount.aspx%3fsJump=6300-0005&amp;c.ChartCode=&amp;hAccount=&amp;hAccount2=&amp;DbCrd=Either&amp;AcTyp=Any&amp;RpTyp=Either" TargetMode="External"/><Relationship Id="rId1269" Type="http://schemas.openxmlformats.org/officeDocument/2006/relationships/hyperlink" Target="file:///\\192.168.11.15\Elmdale-Root\Accounting\pages\CommonAccount.aspx%3fsJump=8180-0000&amp;c.ChartCode=&amp;hAccount=&amp;hAccount2=&amp;DbCrd=Either&amp;AcTyp=Any&amp;RpTyp=Either" TargetMode="External"/><Relationship Id="rId401" Type="http://schemas.openxmlformats.org/officeDocument/2006/relationships/hyperlink" Target="file:///\\192.168.11.15\Elmdale-Root\Accounting\pages\CommonAccount.aspx%3fsJump=2230-0000&amp;c.ChartCode=&amp;hAccount=&amp;hAccount2=&amp;DbCrd=Either&amp;AcTyp=Any&amp;RpTyp=Either" TargetMode="External"/><Relationship Id="rId846" Type="http://schemas.openxmlformats.org/officeDocument/2006/relationships/hyperlink" Target="file:///\\192.168.11.15\Elmdale-Root\Accounting\pages\CommonAccount.aspx%3fsJump=3303-2077&amp;c.ChartCode=&amp;hAccount=&amp;hAccount2=&amp;DbCrd=Either&amp;AcTyp=Any&amp;RpTyp=Either" TargetMode="External"/><Relationship Id="rId1031" Type="http://schemas.openxmlformats.org/officeDocument/2006/relationships/hyperlink" Target="file:///\\192.168.11.15\Elmdale-Root\Accounting\pages\CommonAccount.aspx%3fsJump=4710-0006&amp;c.ChartCode=&amp;hAccount=&amp;hAccount2=&amp;DbCrd=Either&amp;AcTyp=Any&amp;RpTyp=Either" TargetMode="External"/><Relationship Id="rId1129" Type="http://schemas.openxmlformats.org/officeDocument/2006/relationships/hyperlink" Target="file:///\\192.168.11.15\Elmdale-Root\Accounting\pages\CommonAccount.aspx%3fsJump=6110-0005&amp;c.ChartCode=&amp;hAccount=&amp;hAccount2=&amp;DbCrd=Either&amp;AcTyp=Any&amp;RpTyp=Either" TargetMode="External"/><Relationship Id="rId706" Type="http://schemas.openxmlformats.org/officeDocument/2006/relationships/hyperlink" Target="file:///\\192.168.11.15\Elmdale-Root\Accounting\pages\CommonAccount.aspx%3fsJump=3303-1413&amp;c.ChartCode=&amp;hAccount=&amp;hAccount2=&amp;DbCrd=Either&amp;AcTyp=Any&amp;RpTyp=Either" TargetMode="External"/><Relationship Id="rId913" Type="http://schemas.openxmlformats.org/officeDocument/2006/relationships/hyperlink" Target="file:///\\192.168.11.15\Elmdale-Root\Accounting\pages\CommonAccount.aspx%3fsJump=3303-2144&amp;c.ChartCode=&amp;hAccount=&amp;hAccount2=&amp;DbCrd=Either&amp;AcTyp=Any&amp;RpTyp=Either" TargetMode="External"/><Relationship Id="rId42" Type="http://schemas.openxmlformats.org/officeDocument/2006/relationships/hyperlink" Target="file:///\\192.168.11.15\Elmdale-Root\Accounting\pages\CommonAccount.aspx%3fsJump=1110-1513&amp;c.ChartCode=&amp;hAccount=&amp;hAccount2=&amp;DbCrd=Either&amp;AcTyp=Any&amp;RpTyp=Either" TargetMode="External"/><Relationship Id="rId191" Type="http://schemas.openxmlformats.org/officeDocument/2006/relationships/hyperlink" Target="file:///\\192.168.11.15\Elmdale-Root\Accounting\pages\CommonAccount.aspx%3fsJump=1200-0001&amp;c.ChartCode=&amp;hAccount=&amp;hAccount2=&amp;DbCrd=Either&amp;AcTyp=Any&amp;RpTyp=Either" TargetMode="External"/><Relationship Id="rId289" Type="http://schemas.openxmlformats.org/officeDocument/2006/relationships/hyperlink" Target="file:///\\192.168.11.15\Elmdale-Root\Accounting\pages\CommonAccount.aspx%3fsJump=1600-0041&amp;c.ChartCode=&amp;hAccount=&amp;hAccount2=&amp;DbCrd=Either&amp;AcTyp=Any&amp;RpTyp=Either" TargetMode="External"/><Relationship Id="rId496" Type="http://schemas.openxmlformats.org/officeDocument/2006/relationships/hyperlink" Target="file:///\\192.168.11.15\Elmdale-Root\Accounting\pages\CommonAccount.aspx%3fsJump=3003-1303&amp;c.ChartCode=&amp;hAccount=&amp;hAccount2=&amp;DbCrd=Either&amp;AcTyp=Any&amp;RpTyp=Either" TargetMode="External"/><Relationship Id="rId149" Type="http://schemas.openxmlformats.org/officeDocument/2006/relationships/hyperlink" Target="file:///\\192.168.11.15\Elmdale-Root\Accounting\pages\CommonAccount.aspx%3fsJump=1110-4965&amp;c.ChartCode=&amp;hAccount=&amp;hAccount2=&amp;DbCrd=Either&amp;AcTyp=Any&amp;RpTyp=Either" TargetMode="External"/><Relationship Id="rId356" Type="http://schemas.openxmlformats.org/officeDocument/2006/relationships/hyperlink" Target="file:///\\192.168.11.15\Elmdale-Root\Accounting\pages\CommonAccount.aspx%3fsJump=2100-0000&amp;c.ChartCode=&amp;hAccount=&amp;hAccount2=&amp;DbCrd=Either&amp;AcTyp=Any&amp;RpTyp=Either" TargetMode="External"/><Relationship Id="rId563" Type="http://schemas.openxmlformats.org/officeDocument/2006/relationships/hyperlink" Target="file:///\\192.168.11.15\Elmdale-Root\Accounting\pages\CommonAccount.aspx%3fsJump=3006-1007&amp;c.ChartCode=&amp;hAccount=&amp;hAccount2=&amp;DbCrd=Either&amp;AcTyp=Any&amp;RpTyp=Either" TargetMode="External"/><Relationship Id="rId770" Type="http://schemas.openxmlformats.org/officeDocument/2006/relationships/hyperlink" Target="file:///\\192.168.11.15\Elmdale-Root\Accounting\pages\CommonAccount.aspx%3fsJump=3303-1563&amp;c.ChartCode=&amp;hAccount=&amp;hAccount2=&amp;DbCrd=Either&amp;AcTyp=Any&amp;RpTyp=Either" TargetMode="External"/><Relationship Id="rId1193" Type="http://schemas.openxmlformats.org/officeDocument/2006/relationships/hyperlink" Target="file:///\\192.168.11.15\Elmdale-Root\Accounting\pages\CommonAccount.aspx%3fsJump=6450-0030&amp;c.ChartCode=&amp;hAccount=&amp;hAccount2=&amp;DbCrd=Either&amp;AcTyp=Any&amp;RpTyp=Either" TargetMode="External"/><Relationship Id="rId216" Type="http://schemas.openxmlformats.org/officeDocument/2006/relationships/hyperlink" Target="file:///\\192.168.11.15\Elmdale-Root\Accounting\pages\CommonAccount.aspx%3fsJump=1410-0001&amp;c.ChartCode=&amp;hAccount=&amp;hAccount2=&amp;DbCrd=Either&amp;AcTyp=Any&amp;RpTyp=Either" TargetMode="External"/><Relationship Id="rId423" Type="http://schemas.openxmlformats.org/officeDocument/2006/relationships/hyperlink" Target="file:///\\192.168.11.15\Elmdale-Root\Accounting\pages\CommonAccount.aspx%3fsJump=2305-1307&amp;c.ChartCode=&amp;hAccount=&amp;hAccount2=&amp;DbCrd=Either&amp;AcTyp=Any&amp;RpTyp=Either" TargetMode="External"/><Relationship Id="rId868" Type="http://schemas.openxmlformats.org/officeDocument/2006/relationships/hyperlink" Target="file:///\\192.168.11.15\Elmdale-Root\Accounting\pages\CommonAccount.aspx%3fsJump=3303-2099&amp;c.ChartCode=&amp;hAccount=&amp;hAccount2=&amp;DbCrd=Either&amp;AcTyp=Any&amp;RpTyp=Either" TargetMode="External"/><Relationship Id="rId1053" Type="http://schemas.openxmlformats.org/officeDocument/2006/relationships/hyperlink" Target="file:///\\192.168.11.15\Elmdale-Root\Accounting\pages\CommonAccount.aspx%3fsJump=5215-0000&amp;c.ChartCode=&amp;hAccount=&amp;hAccount2=&amp;DbCrd=Either&amp;AcTyp=Any&amp;RpTyp=Either" TargetMode="External"/><Relationship Id="rId1260" Type="http://schemas.openxmlformats.org/officeDocument/2006/relationships/hyperlink" Target="file:///\\192.168.11.15\Elmdale-Root\Accounting\pages\CommonAccount.aspx%3fsJump=8100-1001&amp;c.ChartCode=&amp;hAccount=&amp;hAccount2=&amp;DbCrd=Either&amp;AcTyp=Any&amp;RpTyp=Either" TargetMode="External"/><Relationship Id="rId630" Type="http://schemas.openxmlformats.org/officeDocument/2006/relationships/hyperlink" Target="file:///\\192.168.11.15\Elmdale-Root\Accounting\pages\CommonAccount.aspx%3fsJump=3006-1074&amp;c.ChartCode=&amp;hAccount=&amp;hAccount2=&amp;DbCrd=Either&amp;AcTyp=Any&amp;RpTyp=Either" TargetMode="External"/><Relationship Id="rId728" Type="http://schemas.openxmlformats.org/officeDocument/2006/relationships/hyperlink" Target="file:///\\192.168.11.15\Elmdale-Root\Accounting\pages\CommonAccount.aspx%3fsJump=3303-1471&amp;c.ChartCode=&amp;hAccount=&amp;hAccount2=&amp;DbCrd=Either&amp;AcTyp=Any&amp;RpTyp=Either" TargetMode="External"/><Relationship Id="rId935" Type="http://schemas.openxmlformats.org/officeDocument/2006/relationships/hyperlink" Target="file:///\\192.168.11.15\Elmdale-Root\Accounting\pages\CommonAccount.aspx%3fsJump=3303-2166&amp;c.ChartCode=&amp;hAccount=&amp;hAccount2=&amp;DbCrd=Either&amp;AcTyp=Any&amp;RpTyp=Either" TargetMode="External"/><Relationship Id="rId64" Type="http://schemas.openxmlformats.org/officeDocument/2006/relationships/hyperlink" Target="file:///\\192.168.11.15\Elmdale-Root\Accounting\pages\CommonAccount.aspx%3fsJump=1110-1554&amp;c.ChartCode=&amp;hAccount=&amp;hAccount2=&amp;DbCrd=Either&amp;AcTyp=Any&amp;RpTyp=Either" TargetMode="External"/><Relationship Id="rId1120" Type="http://schemas.openxmlformats.org/officeDocument/2006/relationships/hyperlink" Target="file:///\\192.168.11.15\Elmdale-Root\Accounting\pages\CommonAccount.aspx%3fsJump=6050-0020&amp;c.ChartCode=&amp;hAccount=&amp;hAccount2=&amp;DbCrd=Either&amp;AcTyp=Any&amp;RpTyp=Either" TargetMode="External"/><Relationship Id="rId1218" Type="http://schemas.openxmlformats.org/officeDocument/2006/relationships/hyperlink" Target="file:///\\192.168.11.15\Elmdale-Root\Accounting\pages\CommonAccount.aspx%3fsJump=7000-0035&amp;c.ChartCode=&amp;hAccount=&amp;hAccount2=&amp;DbCrd=Either&amp;AcTyp=Any&amp;RpTyp=Either" TargetMode="External"/><Relationship Id="rId280" Type="http://schemas.openxmlformats.org/officeDocument/2006/relationships/hyperlink" Target="file:///\\192.168.11.15\Elmdale-Root\Accounting\pages\CommonAccount.aspx%3fsJump=1600-0026&amp;c.ChartCode=&amp;hAccount=&amp;hAccount2=&amp;DbCrd=Either&amp;AcTyp=Any&amp;RpTyp=Either" TargetMode="External"/><Relationship Id="rId140" Type="http://schemas.openxmlformats.org/officeDocument/2006/relationships/hyperlink" Target="file:///\\192.168.11.15\Elmdale-Root\Accounting\pages\CommonAccount.aspx%3fsJump=1110-4955&amp;c.ChartCode=&amp;hAccount=&amp;hAccount2=&amp;DbCrd=Either&amp;AcTyp=Any&amp;RpTyp=Either" TargetMode="External"/><Relationship Id="rId378" Type="http://schemas.openxmlformats.org/officeDocument/2006/relationships/hyperlink" Target="file:///\\192.168.11.15\Elmdale-Root\Accounting\pages\CommonAccount.aspx%3fsJump=2150-0007&amp;c.ChartCode=&amp;hAccount=&amp;hAccount2=&amp;DbCrd=Either&amp;AcTyp=Any&amp;RpTyp=Either" TargetMode="External"/><Relationship Id="rId585" Type="http://schemas.openxmlformats.org/officeDocument/2006/relationships/hyperlink" Target="file:///\\192.168.11.15\Elmdale-Root\Accounting\pages\CommonAccount.aspx%3fsJump=3006-1029&amp;c.ChartCode=&amp;hAccount=&amp;hAccount2=&amp;DbCrd=Either&amp;AcTyp=Any&amp;RpTyp=Either" TargetMode="External"/><Relationship Id="rId792" Type="http://schemas.openxmlformats.org/officeDocument/2006/relationships/hyperlink" Target="file:///\\192.168.11.15\Elmdale-Root\Accounting\pages\CommonAccount.aspx%3fsJump=3303-2023&amp;c.ChartCode=&amp;hAccount=&amp;hAccount2=&amp;DbCrd=Either&amp;AcTyp=Any&amp;RpTyp=Either" TargetMode="External"/><Relationship Id="rId6" Type="http://schemas.openxmlformats.org/officeDocument/2006/relationships/hyperlink" Target="file:///\\192.168.11.15\Elmdale-Root\Accounting\pages\CommonAccount.aspx%3fsJump=1110-0001&amp;c.ChartCode=&amp;hAccount=&amp;hAccount2=&amp;DbCrd=Either&amp;AcTyp=Any&amp;RpTyp=Either" TargetMode="External"/><Relationship Id="rId238" Type="http://schemas.openxmlformats.org/officeDocument/2006/relationships/hyperlink" Target="file:///\\192.168.11.15\Elmdale-Root\Accounting\pages\CommonAccount.aspx%3fsJump=1500-0025&amp;c.ChartCode=&amp;hAccount=&amp;hAccount2=&amp;DbCrd=Either&amp;AcTyp=Any&amp;RpTyp=Either" TargetMode="External"/><Relationship Id="rId445" Type="http://schemas.openxmlformats.org/officeDocument/2006/relationships/hyperlink" Target="file:///\\192.168.11.15\Elmdale-Root\Accounting\pages\CommonAccount.aspx%3fsJump=2310-0000&amp;c.ChartCode=&amp;hAccount=&amp;hAccount2=&amp;DbCrd=Either&amp;AcTyp=Any&amp;RpTyp=Either" TargetMode="External"/><Relationship Id="rId652" Type="http://schemas.openxmlformats.org/officeDocument/2006/relationships/hyperlink" Target="file:///\\192.168.11.15\Elmdale-Root\Accounting\pages\CommonAccount.aspx%3fsJump=3022-1000&amp;c.ChartCode=&amp;hAccount=&amp;hAccount2=&amp;DbCrd=Either&amp;AcTyp=Any&amp;RpTyp=Either" TargetMode="External"/><Relationship Id="rId1075" Type="http://schemas.openxmlformats.org/officeDocument/2006/relationships/hyperlink" Target="file:///\\192.168.11.15\Elmdale-Root\Accounting\pages\CommonAccount.aspx%3fsJump=5430-0000&amp;c.ChartCode=&amp;hAccount=&amp;hAccount2=&amp;DbCrd=Either&amp;AcTyp=Any&amp;RpTyp=Either" TargetMode="External"/><Relationship Id="rId1282" Type="http://schemas.openxmlformats.org/officeDocument/2006/relationships/hyperlink" Target="file:///\\192.168.11.15\Elmdale-Root\Accounting\pages\CommonAccount.aspx%3fsJump=8180-0016&amp;c.ChartCode=&amp;hAccount=&amp;hAccount2=&amp;DbCrd=Either&amp;AcTyp=Any&amp;RpTyp=Either" TargetMode="External"/><Relationship Id="rId291" Type="http://schemas.openxmlformats.org/officeDocument/2006/relationships/hyperlink" Target="file:///\\192.168.11.15\Elmdale-Root\Accounting\pages\CommonAccount.aspx%3fsJump=1600-0043&amp;c.ChartCode=&amp;hAccount=&amp;hAccount2=&amp;DbCrd=Either&amp;AcTyp=Any&amp;RpTyp=Either" TargetMode="External"/><Relationship Id="rId305" Type="http://schemas.openxmlformats.org/officeDocument/2006/relationships/hyperlink" Target="file:///\\192.168.11.15\Elmdale-Root\Accounting\pages\CommonAccount.aspx%3fsJump=1600-1006&amp;c.ChartCode=&amp;hAccount=&amp;hAccount2=&amp;DbCrd=Either&amp;AcTyp=Any&amp;RpTyp=Either" TargetMode="External"/><Relationship Id="rId512" Type="http://schemas.openxmlformats.org/officeDocument/2006/relationships/hyperlink" Target="file:///\\192.168.11.15\Elmdale-Root\Accounting\pages\CommonAccount.aspx%3fsJump=3003-1703&amp;c.ChartCode=&amp;hAccount=&amp;hAccount2=&amp;DbCrd=Either&amp;AcTyp=Any&amp;RpTyp=Either" TargetMode="External"/><Relationship Id="rId957" Type="http://schemas.openxmlformats.org/officeDocument/2006/relationships/hyperlink" Target="file:///\\192.168.11.15\Elmdale-Root\Accounting\pages\CommonAccount.aspx%3fsJump=3303-2188&amp;c.ChartCode=&amp;hAccount=&amp;hAccount2=&amp;DbCrd=Either&amp;AcTyp=Any&amp;RpTyp=Either" TargetMode="External"/><Relationship Id="rId1142" Type="http://schemas.openxmlformats.org/officeDocument/2006/relationships/hyperlink" Target="file:///\\192.168.11.15\Elmdale-Root\Accounting\pages\CommonAccount.aspx%3fsJump=6110-1000&amp;c.ChartCode=&amp;hAccount=&amp;hAccount2=&amp;DbCrd=Either&amp;AcTyp=Any&amp;RpTyp=Either" TargetMode="External"/><Relationship Id="rId86" Type="http://schemas.openxmlformats.org/officeDocument/2006/relationships/hyperlink" Target="file:///\\192.168.11.15\Elmdale-Root\Accounting\pages\CommonAccount.aspx%3fsJump=1110-4328&amp;c.ChartCode=&amp;hAccount=&amp;hAccount2=&amp;DbCrd=Either&amp;AcTyp=Any&amp;RpTyp=Either" TargetMode="External"/><Relationship Id="rId151" Type="http://schemas.openxmlformats.org/officeDocument/2006/relationships/hyperlink" Target="file:///\\192.168.11.15\Elmdale-Root\Accounting\pages\CommonAccount.aspx%3fsJump=1110-4967&amp;c.ChartCode=&amp;hAccount=&amp;hAccount2=&amp;DbCrd=Either&amp;AcTyp=Any&amp;RpTyp=Either" TargetMode="External"/><Relationship Id="rId389" Type="http://schemas.openxmlformats.org/officeDocument/2006/relationships/hyperlink" Target="file:///\\192.168.11.15\Elmdale-Root\Accounting\pages\CommonAccount.aspx%3fsJump=2150-0018&amp;c.ChartCode=&amp;hAccount=&amp;hAccount2=&amp;DbCrd=Either&amp;AcTyp=Any&amp;RpTyp=Either" TargetMode="External"/><Relationship Id="rId596" Type="http://schemas.openxmlformats.org/officeDocument/2006/relationships/hyperlink" Target="file:///\\192.168.11.15\Elmdale-Root\Accounting\pages\CommonAccount.aspx%3fsJump=3006-1040&amp;c.ChartCode=&amp;hAccount=&amp;hAccount2=&amp;DbCrd=Either&amp;AcTyp=Any&amp;RpTyp=Either" TargetMode="External"/><Relationship Id="rId817" Type="http://schemas.openxmlformats.org/officeDocument/2006/relationships/hyperlink" Target="file:///\\192.168.11.15\Elmdale-Root\Accounting\pages\CommonAccount.aspx%3fsJump=3303-2048&amp;c.ChartCode=&amp;hAccount=&amp;hAccount2=&amp;DbCrd=Either&amp;AcTyp=Any&amp;RpTyp=Either" TargetMode="External"/><Relationship Id="rId1002" Type="http://schemas.openxmlformats.org/officeDocument/2006/relationships/hyperlink" Target="file:///\\192.168.11.15\Elmdale-Root\Accounting\pages\CommonAccount.aspx%3fsJump=3600-0000&amp;c.ChartCode=&amp;hAccount=&amp;hAccount2=&amp;DbCrd=Either&amp;AcTyp=Any&amp;RpTyp=Either" TargetMode="External"/><Relationship Id="rId249" Type="http://schemas.openxmlformats.org/officeDocument/2006/relationships/hyperlink" Target="file:///\\192.168.11.15\Elmdale-Root\Accounting\pages\CommonAccount.aspx%3fsJump=1500-0060&amp;c.ChartCode=&amp;hAccount=&amp;hAccount2=&amp;DbCrd=Either&amp;AcTyp=Any&amp;RpTyp=Either" TargetMode="External"/><Relationship Id="rId456" Type="http://schemas.openxmlformats.org/officeDocument/2006/relationships/hyperlink" Target="file:///\\192.168.11.15\Elmdale-Root\Accounting\pages\CommonAccount.aspx%3fsJump=2609-0000&amp;c.ChartCode=&amp;hAccount=&amp;hAccount2=&amp;DbCrd=Either&amp;AcTyp=Any&amp;RpTyp=Either" TargetMode="External"/><Relationship Id="rId663" Type="http://schemas.openxmlformats.org/officeDocument/2006/relationships/hyperlink" Target="file:///\\192.168.11.15\Elmdale-Root\Accounting\pages\CommonAccount.aspx%3fsJump=3040-0000&amp;c.ChartCode=&amp;hAccount=&amp;hAccount2=&amp;DbCrd=Either&amp;AcTyp=Any&amp;RpTyp=Either" TargetMode="External"/><Relationship Id="rId870" Type="http://schemas.openxmlformats.org/officeDocument/2006/relationships/hyperlink" Target="file:///\\192.168.11.15\Elmdale-Root\Accounting\pages\CommonAccount.aspx%3fsJump=3303-2101&amp;c.ChartCode=&amp;hAccount=&amp;hAccount2=&amp;DbCrd=Either&amp;AcTyp=Any&amp;RpTyp=Either" TargetMode="External"/><Relationship Id="rId1086" Type="http://schemas.openxmlformats.org/officeDocument/2006/relationships/hyperlink" Target="file:///\\192.168.11.15\Elmdale-Root\Accounting\pages\CommonAccount.aspx%3fsJump=5470-0004&amp;c.ChartCode=&amp;hAccount=&amp;hAccount2=&amp;DbCrd=Either&amp;AcTyp=Any&amp;RpTyp=Either" TargetMode="External"/><Relationship Id="rId1293" Type="http://schemas.openxmlformats.org/officeDocument/2006/relationships/hyperlink" Target="file:///\\192.168.11.15\Elmdale-Root\Accounting\pages\CommonAccount.aspx%3fsJump=8181-0104&amp;c.ChartCode=&amp;hAccount=&amp;hAccount2=&amp;DbCrd=Either&amp;AcTyp=Any&amp;RpTyp=Either" TargetMode="External"/><Relationship Id="rId1307" Type="http://schemas.openxmlformats.org/officeDocument/2006/relationships/hyperlink" Target="file:///\\192.168.11.15\Elmdale-Root\Accounting\pages\CommonAccount.aspx%3fsJump=8520-0000&amp;c.ChartCode=&amp;hAccount=&amp;hAccount2=&amp;DbCrd=Either&amp;AcTyp=Any&amp;RpTyp=Either" TargetMode="External"/><Relationship Id="rId13" Type="http://schemas.openxmlformats.org/officeDocument/2006/relationships/hyperlink" Target="file:///\\192.168.11.15\Elmdale-Root\Accounting\pages\CommonAccount.aspx%3fsJump=1110-0020&amp;c.ChartCode=&amp;hAccount=&amp;hAccount2=&amp;DbCrd=Either&amp;AcTyp=Any&amp;RpTyp=Either" TargetMode="External"/><Relationship Id="rId109" Type="http://schemas.openxmlformats.org/officeDocument/2006/relationships/hyperlink" Target="file:///\\192.168.11.15\Elmdale-Root\Accounting\pages\CommonAccount.aspx%3fsJump=1110-4915&amp;c.ChartCode=&amp;hAccount=&amp;hAccount2=&amp;DbCrd=Either&amp;AcTyp=Any&amp;RpTyp=Either" TargetMode="External"/><Relationship Id="rId316" Type="http://schemas.openxmlformats.org/officeDocument/2006/relationships/hyperlink" Target="file:///\\192.168.11.15\Elmdale-Root\Accounting\pages\CommonAccount.aspx%3fsJump=1600-9999&amp;c.ChartCode=&amp;hAccount=&amp;hAccount2=&amp;DbCrd=Either&amp;AcTyp=Any&amp;RpTyp=Either" TargetMode="External"/><Relationship Id="rId523" Type="http://schemas.openxmlformats.org/officeDocument/2006/relationships/hyperlink" Target="file:///\\192.168.11.15\Elmdale-Root\Accounting\pages\CommonAccount.aspx%3fsJump=3003-3000&amp;c.ChartCode=&amp;hAccount=&amp;hAccount2=&amp;DbCrd=Either&amp;AcTyp=Any&amp;RpTyp=Either" TargetMode="External"/><Relationship Id="rId968" Type="http://schemas.openxmlformats.org/officeDocument/2006/relationships/hyperlink" Target="file:///\\192.168.11.15\Elmdale-Root\Accounting\pages\CommonAccount.aspx%3fsJump=3303-2199&amp;c.ChartCode=&amp;hAccount=&amp;hAccount2=&amp;DbCrd=Either&amp;AcTyp=Any&amp;RpTyp=Either" TargetMode="External"/><Relationship Id="rId1153" Type="http://schemas.openxmlformats.org/officeDocument/2006/relationships/hyperlink" Target="file:///\\192.168.11.15\Elmdale-Root\Accounting\pages\CommonAccount.aspx%3fsJump=6110-1100&amp;c.ChartCode=&amp;hAccount=&amp;hAccount2=&amp;DbCrd=Either&amp;AcTyp=Any&amp;RpTyp=Either" TargetMode="External"/><Relationship Id="rId97" Type="http://schemas.openxmlformats.org/officeDocument/2006/relationships/hyperlink" Target="file:///\\192.168.11.15\Elmdale-Root\Accounting\pages\CommonAccount.aspx%3fsJump=1110-4903&amp;c.ChartCode=&amp;hAccount=&amp;hAccount2=&amp;DbCrd=Either&amp;AcTyp=Any&amp;RpTyp=Either" TargetMode="External"/><Relationship Id="rId730" Type="http://schemas.openxmlformats.org/officeDocument/2006/relationships/hyperlink" Target="file:///\\192.168.11.15\Elmdale-Root\Accounting\pages\CommonAccount.aspx%3fsJump=3303-1473&amp;c.ChartCode=&amp;hAccount=&amp;hAccount2=&amp;DbCrd=Either&amp;AcTyp=Any&amp;RpTyp=Either" TargetMode="External"/><Relationship Id="rId828" Type="http://schemas.openxmlformats.org/officeDocument/2006/relationships/hyperlink" Target="file:///\\192.168.11.15\Elmdale-Root\Accounting\pages\CommonAccount.aspx%3fsJump=3303-2059&amp;c.ChartCode=&amp;hAccount=&amp;hAccount2=&amp;DbCrd=Either&amp;AcTyp=Any&amp;RpTyp=Either" TargetMode="External"/><Relationship Id="rId1013" Type="http://schemas.openxmlformats.org/officeDocument/2006/relationships/hyperlink" Target="file:///\\192.168.11.15\Elmdale-Root\Accounting\pages\CommonAccount.aspx%3fsJump=4450-0000&amp;c.ChartCode=&amp;hAccount=&amp;hAccount2=&amp;DbCrd=Either&amp;AcTyp=Any&amp;RpTyp=Either" TargetMode="External"/><Relationship Id="rId162" Type="http://schemas.openxmlformats.org/officeDocument/2006/relationships/hyperlink" Target="file:///\\192.168.11.15\Elmdale-Root\Accounting\pages\CommonAccount.aspx%3fsJump=1110-4978&amp;c.ChartCode=&amp;hAccount=&amp;hAccount2=&amp;DbCrd=Either&amp;AcTyp=Any&amp;RpTyp=Either" TargetMode="External"/><Relationship Id="rId467" Type="http://schemas.openxmlformats.org/officeDocument/2006/relationships/hyperlink" Target="file:///\\192.168.11.15\Elmdale-Root\Accounting\pages\CommonAccount.aspx%3fsJump=2990-0000&amp;c.ChartCode=&amp;hAccount=&amp;hAccount2=&amp;DbCrd=Either&amp;AcTyp=Any&amp;RpTyp=Either" TargetMode="External"/><Relationship Id="rId1097" Type="http://schemas.openxmlformats.org/officeDocument/2006/relationships/hyperlink" Target="file:///\\192.168.11.15\Elmdale-Root\Accounting\pages\CommonAccount.aspx%3fsJump=5650-0000&amp;c.ChartCode=&amp;hAccount=&amp;hAccount2=&amp;DbCrd=Either&amp;AcTyp=Any&amp;RpTyp=Either" TargetMode="External"/><Relationship Id="rId1220" Type="http://schemas.openxmlformats.org/officeDocument/2006/relationships/hyperlink" Target="file:///\\192.168.11.15\Elmdale-Root\Accounting\pages\CommonAccount.aspx%3fsJump=7000-0045&amp;c.ChartCode=&amp;hAccount=&amp;hAccount2=&amp;DbCrd=Either&amp;AcTyp=Any&amp;RpTyp=Either" TargetMode="External"/><Relationship Id="rId1318" Type="http://schemas.openxmlformats.org/officeDocument/2006/relationships/hyperlink" Target="file:///\\192.168.11.15\Elmdale-Root\Accounting\pages\CommonAccount.aspx%3fsJump=8990-0000&amp;c.ChartCode=&amp;hAccount=&amp;hAccount2=&amp;DbCrd=Either&amp;AcTyp=Any&amp;RpTyp=Either" TargetMode="External"/><Relationship Id="rId674" Type="http://schemas.openxmlformats.org/officeDocument/2006/relationships/hyperlink" Target="file:///\\192.168.11.15\Elmdale-Root\Accounting\pages\CommonAccount.aspx%3fsJump=3055-0000&amp;c.ChartCode=&amp;hAccount=&amp;hAccount2=&amp;DbCrd=Either&amp;AcTyp=Any&amp;RpTyp=Either" TargetMode="External"/><Relationship Id="rId881" Type="http://schemas.openxmlformats.org/officeDocument/2006/relationships/hyperlink" Target="file:///\\192.168.11.15\Elmdale-Root\Accounting\pages\CommonAccount.aspx%3fsJump=3303-2112&amp;c.ChartCode=&amp;hAccount=&amp;hAccount2=&amp;DbCrd=Either&amp;AcTyp=Any&amp;RpTyp=Either" TargetMode="External"/><Relationship Id="rId979" Type="http://schemas.openxmlformats.org/officeDocument/2006/relationships/hyperlink" Target="file:///\\192.168.11.15\Elmdale-Root\Accounting\pages\CommonAccount.aspx%3fsJump=3303-2210&amp;c.ChartCode=&amp;hAccount=&amp;hAccount2=&amp;DbCrd=Either&amp;AcTyp=Any&amp;RpTyp=Either" TargetMode="External"/><Relationship Id="rId24" Type="http://schemas.openxmlformats.org/officeDocument/2006/relationships/hyperlink" Target="file:///\\192.168.11.15\Elmdale-Root\Accounting\pages\CommonAccount.aspx%3fsJump=1110-1003&amp;c.ChartCode=&amp;hAccount=&amp;hAccount2=&amp;DbCrd=Either&amp;AcTyp=Any&amp;RpTyp=Either" TargetMode="External"/><Relationship Id="rId327" Type="http://schemas.openxmlformats.org/officeDocument/2006/relationships/hyperlink" Target="file:///\\192.168.11.15\Elmdale-Root\Accounting\pages\CommonAccount.aspx%3fsJump=1770-0000&amp;c.ChartCode=&amp;hAccount=&amp;hAccount2=&amp;DbCrd=Either&amp;AcTyp=Any&amp;RpTyp=Either" TargetMode="External"/><Relationship Id="rId534" Type="http://schemas.openxmlformats.org/officeDocument/2006/relationships/hyperlink" Target="file:///\\192.168.11.15\Elmdale-Root\Accounting\pages\CommonAccount.aspx%3fsJump=3003-5003&amp;c.ChartCode=&amp;hAccount=&amp;hAccount2=&amp;DbCrd=Either&amp;AcTyp=Any&amp;RpTyp=Either" TargetMode="External"/><Relationship Id="rId741" Type="http://schemas.openxmlformats.org/officeDocument/2006/relationships/hyperlink" Target="file:///\\192.168.11.15\Elmdale-Root\Accounting\pages\CommonAccount.aspx%3fsJump=3303-1502&amp;c.ChartCode=&amp;hAccount=&amp;hAccount2=&amp;DbCrd=Either&amp;AcTyp=Any&amp;RpTyp=Either" TargetMode="External"/><Relationship Id="rId839" Type="http://schemas.openxmlformats.org/officeDocument/2006/relationships/hyperlink" Target="file:///\\192.168.11.15\Elmdale-Root\Accounting\pages\CommonAccount.aspx%3fsJump=3303-2070&amp;c.ChartCode=&amp;hAccount=&amp;hAccount2=&amp;DbCrd=Either&amp;AcTyp=Any&amp;RpTyp=Either" TargetMode="External"/><Relationship Id="rId1164" Type="http://schemas.openxmlformats.org/officeDocument/2006/relationships/hyperlink" Target="file:///\\192.168.11.15\Elmdale-Root\Accounting\pages\CommonAccount.aspx%3fsJump=6200-0020&amp;c.ChartCode=&amp;hAccount=&amp;hAccount2=&amp;DbCrd=Either&amp;AcTyp=Any&amp;RpTyp=Either" TargetMode="External"/><Relationship Id="rId173" Type="http://schemas.openxmlformats.org/officeDocument/2006/relationships/hyperlink" Target="file:///\\192.168.11.15\Elmdale-Root\Accounting\pages\CommonAccount.aspx%3fsJump=1110-5101&amp;c.ChartCode=&amp;hAccount=&amp;hAccount2=&amp;DbCrd=Either&amp;AcTyp=Any&amp;RpTyp=Either" TargetMode="External"/><Relationship Id="rId380" Type="http://schemas.openxmlformats.org/officeDocument/2006/relationships/hyperlink" Target="file:///\\192.168.11.15\Elmdale-Root\Accounting\pages\CommonAccount.aspx%3fsJump=2150-0009&amp;c.ChartCode=&amp;hAccount=&amp;hAccount2=&amp;DbCrd=Either&amp;AcTyp=Any&amp;RpTyp=Either" TargetMode="External"/><Relationship Id="rId601" Type="http://schemas.openxmlformats.org/officeDocument/2006/relationships/hyperlink" Target="file:///\\192.168.11.15\Elmdale-Root\Accounting\pages\CommonAccount.aspx%3fsJump=3006-1045&amp;c.ChartCode=&amp;hAccount=&amp;hAccount2=&amp;DbCrd=Either&amp;AcTyp=Any&amp;RpTyp=Either" TargetMode="External"/><Relationship Id="rId1024" Type="http://schemas.openxmlformats.org/officeDocument/2006/relationships/hyperlink" Target="file:///\\192.168.11.15\Elmdale-Root\Accounting\pages\CommonAccount.aspx%3fsJump=4600-1000&amp;c.ChartCode=&amp;hAccount=&amp;hAccount2=&amp;DbCrd=Either&amp;AcTyp=Any&amp;RpTyp=Either" TargetMode="External"/><Relationship Id="rId1231" Type="http://schemas.openxmlformats.org/officeDocument/2006/relationships/hyperlink" Target="file:///\\192.168.11.15\Elmdale-Root\Accounting\pages\CommonAccount.aspx%3fsJump=7000-1000&amp;c.ChartCode=&amp;hAccount=&amp;hAccount2=&amp;DbCrd=Either&amp;AcTyp=Any&amp;RpTyp=Either" TargetMode="External"/><Relationship Id="rId240" Type="http://schemas.openxmlformats.org/officeDocument/2006/relationships/hyperlink" Target="file:///\\192.168.11.15\Elmdale-Root\Accounting\pages\CommonAccount.aspx%3fsJump=1500-0031&amp;c.ChartCode=&amp;hAccount=&amp;hAccount2=&amp;DbCrd=Either&amp;AcTyp=Any&amp;RpTyp=Either" TargetMode="External"/><Relationship Id="rId478" Type="http://schemas.openxmlformats.org/officeDocument/2006/relationships/hyperlink" Target="file:///\\192.168.11.15\Elmdale-Root\Accounting\pages\CommonAccount.aspx%3fsJump=3003-0115&amp;c.ChartCode=&amp;hAccount=&amp;hAccount2=&amp;DbCrd=Either&amp;AcTyp=Any&amp;RpTyp=Either" TargetMode="External"/><Relationship Id="rId685" Type="http://schemas.openxmlformats.org/officeDocument/2006/relationships/hyperlink" Target="file:///\\192.168.11.15\Elmdale-Root\Accounting\pages\CommonAccount.aspx%3fsJump=3071-0000&amp;c.ChartCode=&amp;hAccount=&amp;hAccount2=&amp;DbCrd=Either&amp;AcTyp=Any&amp;RpTyp=Either" TargetMode="External"/><Relationship Id="rId892" Type="http://schemas.openxmlformats.org/officeDocument/2006/relationships/hyperlink" Target="file:///\\192.168.11.15\Elmdale-Root\Accounting\pages\CommonAccount.aspx%3fsJump=3303-2123&amp;c.ChartCode=&amp;hAccount=&amp;hAccount2=&amp;DbCrd=Either&amp;AcTyp=Any&amp;RpTyp=Either" TargetMode="External"/><Relationship Id="rId906" Type="http://schemas.openxmlformats.org/officeDocument/2006/relationships/hyperlink" Target="file:///\\192.168.11.15\Elmdale-Root\Accounting\pages\CommonAccount.aspx%3fsJump=3303-2137&amp;c.ChartCode=&amp;hAccount=&amp;hAccount2=&amp;DbCrd=Either&amp;AcTyp=Any&amp;RpTyp=Either" TargetMode="External"/><Relationship Id="rId35" Type="http://schemas.openxmlformats.org/officeDocument/2006/relationships/hyperlink" Target="file:///\\192.168.11.15\Elmdale-Root\Accounting\pages\CommonAccount.aspx%3fsJump=1110-1506&amp;c.ChartCode=&amp;hAccount=&amp;hAccount2=&amp;DbCrd=Either&amp;AcTyp=Any&amp;RpTyp=Either" TargetMode="External"/><Relationship Id="rId100" Type="http://schemas.openxmlformats.org/officeDocument/2006/relationships/hyperlink" Target="file:///\\192.168.11.15\Elmdale-Root\Accounting\pages\CommonAccount.aspx%3fsJump=1110-4906&amp;c.ChartCode=&amp;hAccount=&amp;hAccount2=&amp;DbCrd=Either&amp;AcTyp=Any&amp;RpTyp=Either" TargetMode="External"/><Relationship Id="rId338" Type="http://schemas.openxmlformats.org/officeDocument/2006/relationships/hyperlink" Target="file:///\\192.168.11.15\Elmdale-Root\Accounting\pages\CommonAccount.aspx%3fsJump=1900-1004&amp;c.ChartCode=&amp;hAccount=&amp;hAccount2=&amp;DbCrd=Either&amp;AcTyp=Any&amp;RpTyp=Either" TargetMode="External"/><Relationship Id="rId545" Type="http://schemas.openxmlformats.org/officeDocument/2006/relationships/hyperlink" Target="file:///\\192.168.11.15\Elmdale-Root\Accounting\pages\CommonAccount.aspx%3fsJump=3003-8002&amp;c.ChartCode=&amp;hAccount=&amp;hAccount2=&amp;DbCrd=Either&amp;AcTyp=Any&amp;RpTyp=Either" TargetMode="External"/><Relationship Id="rId752" Type="http://schemas.openxmlformats.org/officeDocument/2006/relationships/hyperlink" Target="file:///\\192.168.11.15\Elmdale-Root\Accounting\pages\CommonAccount.aspx%3fsJump=3303-1521&amp;c.ChartCode=&amp;hAccount=&amp;hAccount2=&amp;DbCrd=Either&amp;AcTyp=Any&amp;RpTyp=Either" TargetMode="External"/><Relationship Id="rId1175" Type="http://schemas.openxmlformats.org/officeDocument/2006/relationships/hyperlink" Target="file:///\\192.168.11.15\Elmdale-Root\Accounting\pages\CommonAccount.aspx%3fsJump=6310-0002&amp;c.ChartCode=&amp;hAccount=&amp;hAccount2=&amp;DbCrd=Either&amp;AcTyp=Any&amp;RpTyp=Either" TargetMode="External"/><Relationship Id="rId184" Type="http://schemas.openxmlformats.org/officeDocument/2006/relationships/hyperlink" Target="file:///\\192.168.11.15\Elmdale-Root\Accounting\pages\CommonAccount.aspx%3fsJump=1150-0000&amp;c.ChartCode=&amp;hAccount=&amp;hAccount2=&amp;DbCrd=Either&amp;AcTyp=Any&amp;RpTyp=Either" TargetMode="External"/><Relationship Id="rId391" Type="http://schemas.openxmlformats.org/officeDocument/2006/relationships/hyperlink" Target="file:///\\192.168.11.15\Elmdale-Root\Accounting\pages\CommonAccount.aspx%3fsJump=2150-0020&amp;c.ChartCode=&amp;hAccount=&amp;hAccount2=&amp;DbCrd=Either&amp;AcTyp=Any&amp;RpTyp=Either" TargetMode="External"/><Relationship Id="rId405" Type="http://schemas.openxmlformats.org/officeDocument/2006/relationships/hyperlink" Target="file:///\\192.168.11.15\Elmdale-Root\Accounting\pages\CommonAccount.aspx%3fsJump=2250-0000&amp;c.ChartCode=&amp;hAccount=&amp;hAccount2=&amp;DbCrd=Either&amp;AcTyp=Any&amp;RpTyp=Either" TargetMode="External"/><Relationship Id="rId612" Type="http://schemas.openxmlformats.org/officeDocument/2006/relationships/hyperlink" Target="file:///\\192.168.11.15\Elmdale-Root\Accounting\pages\CommonAccount.aspx%3fsJump=3006-1056&amp;c.ChartCode=&amp;hAccount=&amp;hAccount2=&amp;DbCrd=Either&amp;AcTyp=Any&amp;RpTyp=Either" TargetMode="External"/><Relationship Id="rId1035" Type="http://schemas.openxmlformats.org/officeDocument/2006/relationships/hyperlink" Target="file:///\\192.168.11.15\Elmdale-Root\Accounting\pages\CommonAccount.aspx%3fsJump=4720-0000&amp;c.ChartCode=&amp;hAccount=&amp;hAccount2=&amp;DbCrd=Either&amp;AcTyp=Any&amp;RpTyp=Either" TargetMode="External"/><Relationship Id="rId1242" Type="http://schemas.openxmlformats.org/officeDocument/2006/relationships/hyperlink" Target="file:///\\192.168.11.15\Elmdale-Root\Accounting\pages\CommonAccount.aspx%3fsJump=7310-0100&amp;c.ChartCode=&amp;hAccount=&amp;hAccount2=&amp;DbCrd=Either&amp;AcTyp=Any&amp;RpTyp=Either" TargetMode="External"/><Relationship Id="rId251" Type="http://schemas.openxmlformats.org/officeDocument/2006/relationships/hyperlink" Target="file:///\\192.168.11.15\Elmdale-Root\Accounting\pages\CommonAccount.aspx%3fsJump=1500-0066&amp;c.ChartCode=&amp;hAccount=&amp;hAccount2=&amp;DbCrd=Either&amp;AcTyp=Any&amp;RpTyp=Either" TargetMode="External"/><Relationship Id="rId489" Type="http://schemas.openxmlformats.org/officeDocument/2006/relationships/hyperlink" Target="file:///\\192.168.11.15\Elmdale-Root\Accounting\pages\CommonAccount.aspx%3fsJump=3003-1200&amp;c.ChartCode=&amp;hAccount=&amp;hAccount2=&amp;DbCrd=Either&amp;AcTyp=Any&amp;RpTyp=Either" TargetMode="External"/><Relationship Id="rId696" Type="http://schemas.openxmlformats.org/officeDocument/2006/relationships/hyperlink" Target="file:///\\192.168.11.15\Elmdale-Root\Accounting\pages\CommonAccount.aspx%3fsJump=3206-0500&amp;c.ChartCode=&amp;hAccount=&amp;hAccount2=&amp;DbCrd=Either&amp;AcTyp=Any&amp;RpTyp=Either" TargetMode="External"/><Relationship Id="rId917" Type="http://schemas.openxmlformats.org/officeDocument/2006/relationships/hyperlink" Target="file:///\\192.168.11.15\Elmdale-Root\Accounting\pages\CommonAccount.aspx%3fsJump=3303-2148&amp;c.ChartCode=&amp;hAccount=&amp;hAccount2=&amp;DbCrd=Either&amp;AcTyp=Any&amp;RpTyp=Either" TargetMode="External"/><Relationship Id="rId1102" Type="http://schemas.openxmlformats.org/officeDocument/2006/relationships/hyperlink" Target="file:///\\192.168.11.15\Elmdale-Root\Accounting\pages\CommonAccount.aspx%3fsJump=5730-0000&amp;c.ChartCode=&amp;hAccount=&amp;hAccount2=&amp;DbCrd=Either&amp;AcTyp=Any&amp;RpTyp=Either" TargetMode="External"/><Relationship Id="rId46" Type="http://schemas.openxmlformats.org/officeDocument/2006/relationships/hyperlink" Target="file:///\\192.168.11.15\Elmdale-Root\Accounting\pages\CommonAccount.aspx%3fsJump=1110-1517&amp;c.ChartCode=&amp;hAccount=&amp;hAccount2=&amp;DbCrd=Either&amp;AcTyp=Any&amp;RpTyp=Either" TargetMode="External"/><Relationship Id="rId349" Type="http://schemas.openxmlformats.org/officeDocument/2006/relationships/hyperlink" Target="file:///\\192.168.11.15\Elmdale-Root\Accounting\pages\CommonAccount.aspx%3fsJump=1910-0001&amp;c.ChartCode=&amp;hAccount=&amp;hAccount2=&amp;DbCrd=Either&amp;AcTyp=Any&amp;RpTyp=Either" TargetMode="External"/><Relationship Id="rId556" Type="http://schemas.openxmlformats.org/officeDocument/2006/relationships/hyperlink" Target="file:///\\192.168.11.15\Elmdale-Root\Accounting\pages\CommonAccount.aspx%3fsJump=3006-0000&amp;c.ChartCode=&amp;hAccount=&amp;hAccount2=&amp;DbCrd=Either&amp;AcTyp=Any&amp;RpTyp=Either" TargetMode="External"/><Relationship Id="rId763" Type="http://schemas.openxmlformats.org/officeDocument/2006/relationships/hyperlink" Target="file:///\\192.168.11.15\Elmdale-Root\Accounting\pages\CommonAccount.aspx%3fsJump=3303-1550&amp;c.ChartCode=&amp;hAccount=&amp;hAccount2=&amp;DbCrd=Either&amp;AcTyp=Any&amp;RpTyp=Either" TargetMode="External"/><Relationship Id="rId1186" Type="http://schemas.openxmlformats.org/officeDocument/2006/relationships/hyperlink" Target="file:///\\192.168.11.15\Elmdale-Root\Accounting\pages\CommonAccount.aspx%3fsJump=6400-0045&amp;c.ChartCode=&amp;hAccount=&amp;hAccount2=&amp;DbCrd=Either&amp;AcTyp=Any&amp;RpTyp=Either" TargetMode="External"/><Relationship Id="rId111" Type="http://schemas.openxmlformats.org/officeDocument/2006/relationships/hyperlink" Target="file:///\\192.168.11.15\Elmdale-Root\Accounting\pages\CommonAccount.aspx%3fsJump=1110-4917&amp;c.ChartCode=&amp;hAccount=&amp;hAccount2=&amp;DbCrd=Either&amp;AcTyp=Any&amp;RpTyp=Either" TargetMode="External"/><Relationship Id="rId195" Type="http://schemas.openxmlformats.org/officeDocument/2006/relationships/hyperlink" Target="file:///\\192.168.11.15\Elmdale-Root\Accounting\pages\CommonAccount.aspx%3fsJump=1200-0005&amp;c.ChartCode=&amp;hAccount=&amp;hAccount2=&amp;DbCrd=Either&amp;AcTyp=Any&amp;RpTyp=Either" TargetMode="External"/><Relationship Id="rId209" Type="http://schemas.openxmlformats.org/officeDocument/2006/relationships/hyperlink" Target="file:///\\192.168.11.15\Elmdale-Root\Accounting\pages\CommonAccount.aspx%3fsJump=1401-0001&amp;c.ChartCode=&amp;hAccount=&amp;hAccount2=&amp;DbCrd=Either&amp;AcTyp=Any&amp;RpTyp=Either" TargetMode="External"/><Relationship Id="rId416" Type="http://schemas.openxmlformats.org/officeDocument/2006/relationships/hyperlink" Target="file:///\\192.168.11.15\Elmdale-Root\Accounting\pages\CommonAccount.aspx%3fsJump=2305-0000&amp;c.ChartCode=&amp;hAccount=&amp;hAccount2=&amp;DbCrd=Either&amp;AcTyp=Any&amp;RpTyp=Either" TargetMode="External"/><Relationship Id="rId970" Type="http://schemas.openxmlformats.org/officeDocument/2006/relationships/hyperlink" Target="file:///\\192.168.11.15\Elmdale-Root\Accounting\pages\CommonAccount.aspx%3fsJump=3303-2201&amp;c.ChartCode=&amp;hAccount=&amp;hAccount2=&amp;DbCrd=Either&amp;AcTyp=Any&amp;RpTyp=Either" TargetMode="External"/><Relationship Id="rId1046" Type="http://schemas.openxmlformats.org/officeDocument/2006/relationships/hyperlink" Target="file:///\\192.168.11.15\Elmdale-Root\Accounting\pages\CommonAccount.aspx%3fsJump=5000-0012&amp;c.ChartCode=&amp;hAccount=&amp;hAccount2=&amp;DbCrd=Either&amp;AcTyp=Any&amp;RpTyp=Either" TargetMode="External"/><Relationship Id="rId1253" Type="http://schemas.openxmlformats.org/officeDocument/2006/relationships/hyperlink" Target="file:///\\192.168.11.15\Elmdale-Root\Accounting\pages\CommonAccount.aspx%3fsJump=7999-9000&amp;c.ChartCode=&amp;hAccount=&amp;hAccount2=&amp;DbCrd=Either&amp;AcTyp=Any&amp;RpTyp=Either" TargetMode="External"/><Relationship Id="rId623" Type="http://schemas.openxmlformats.org/officeDocument/2006/relationships/hyperlink" Target="file:///\\192.168.11.15\Elmdale-Root\Accounting\pages\CommonAccount.aspx%3fsJump=3006-1067&amp;c.ChartCode=&amp;hAccount=&amp;hAccount2=&amp;DbCrd=Either&amp;AcTyp=Any&amp;RpTyp=Either" TargetMode="External"/><Relationship Id="rId830" Type="http://schemas.openxmlformats.org/officeDocument/2006/relationships/hyperlink" Target="file:///\\192.168.11.15\Elmdale-Root\Accounting\pages\CommonAccount.aspx%3fsJump=3303-2061&amp;c.ChartCode=&amp;hAccount=&amp;hAccount2=&amp;DbCrd=Either&amp;AcTyp=Any&amp;RpTyp=Either" TargetMode="External"/><Relationship Id="rId928" Type="http://schemas.openxmlformats.org/officeDocument/2006/relationships/hyperlink" Target="file:///\\192.168.11.15\Elmdale-Root\Accounting\pages\CommonAccount.aspx%3fsJump=3303-2159&amp;c.ChartCode=&amp;hAccount=&amp;hAccount2=&amp;DbCrd=Either&amp;AcTyp=Any&amp;RpTyp=Either" TargetMode="External"/><Relationship Id="rId57" Type="http://schemas.openxmlformats.org/officeDocument/2006/relationships/hyperlink" Target="file:///\\192.168.11.15\Elmdale-Root\Accounting\pages\CommonAccount.aspx%3fsJump=1110-1528&amp;c.ChartCode=&amp;hAccount=&amp;hAccount2=&amp;DbCrd=Either&amp;AcTyp=Any&amp;RpTyp=Either" TargetMode="External"/><Relationship Id="rId262" Type="http://schemas.openxmlformats.org/officeDocument/2006/relationships/hyperlink" Target="file:///\\192.168.11.15\Elmdale-Root\Accounting\pages\CommonAccount.aspx%3fsJump=1600-0002&amp;c.ChartCode=&amp;hAccount=&amp;hAccount2=&amp;DbCrd=Either&amp;AcTyp=Any&amp;RpTyp=Either" TargetMode="External"/><Relationship Id="rId567" Type="http://schemas.openxmlformats.org/officeDocument/2006/relationships/hyperlink" Target="file:///\\192.168.11.15\Elmdale-Root\Accounting\pages\CommonAccount.aspx%3fsJump=3006-1011&amp;c.ChartCode=&amp;hAccount=&amp;hAccount2=&amp;DbCrd=Either&amp;AcTyp=Any&amp;RpTyp=Either" TargetMode="External"/><Relationship Id="rId1113" Type="http://schemas.openxmlformats.org/officeDocument/2006/relationships/hyperlink" Target="file:///\\192.168.11.15\Elmdale-Root\Accounting\pages\CommonAccount.aspx%3fsJump=5990-0000&amp;c.ChartCode=&amp;hAccount=&amp;hAccount2=&amp;DbCrd=Either&amp;AcTyp=Any&amp;RpTyp=Either" TargetMode="External"/><Relationship Id="rId1197" Type="http://schemas.openxmlformats.org/officeDocument/2006/relationships/hyperlink" Target="file:///\\192.168.11.15\Elmdale-Root\Accounting\pages\CommonAccount.aspx%3fsJump=6460-0000&amp;c.ChartCode=&amp;hAccount=&amp;hAccount2=&amp;DbCrd=Either&amp;AcTyp=Any&amp;RpTyp=Either" TargetMode="External"/><Relationship Id="rId1320" Type="http://schemas.openxmlformats.org/officeDocument/2006/relationships/hyperlink" Target="file:///\\192.168.11.15\Elmdale-Root\Accounting\pages\CommonAccount.aspx%3fsJump=9000-1000&amp;c.ChartCode=&amp;hAccount=&amp;hAccount2=&amp;DbCrd=Either&amp;AcTyp=Any&amp;RpTyp=Either" TargetMode="External"/><Relationship Id="rId122" Type="http://schemas.openxmlformats.org/officeDocument/2006/relationships/hyperlink" Target="file:///\\192.168.11.15\Elmdale-Root\Accounting\pages\CommonAccount.aspx%3fsJump=1110-4937&amp;c.ChartCode=&amp;hAccount=&amp;hAccount2=&amp;DbCrd=Either&amp;AcTyp=Any&amp;RpTyp=Either" TargetMode="External"/><Relationship Id="rId774" Type="http://schemas.openxmlformats.org/officeDocument/2006/relationships/hyperlink" Target="file:///\\192.168.11.15\Elmdale-Root\Accounting\pages\CommonAccount.aspx%3fsJump=3303-2004&amp;c.ChartCode=&amp;hAccount=&amp;hAccount2=&amp;DbCrd=Either&amp;AcTyp=Any&amp;RpTyp=Either" TargetMode="External"/><Relationship Id="rId981" Type="http://schemas.openxmlformats.org/officeDocument/2006/relationships/hyperlink" Target="file:///\\192.168.11.15\Elmdale-Root\Accounting\pages\CommonAccount.aspx%3fsJump=3303-2212&amp;c.ChartCode=&amp;hAccount=&amp;hAccount2=&amp;DbCrd=Either&amp;AcTyp=Any&amp;RpTyp=Either" TargetMode="External"/><Relationship Id="rId1057" Type="http://schemas.openxmlformats.org/officeDocument/2006/relationships/hyperlink" Target="file:///\\192.168.11.15\Elmdale-Root\Accounting\pages\CommonAccount.aspx%3fsJump=5230-0000&amp;c.ChartCode=&amp;hAccount=&amp;hAccount2=&amp;DbCrd=Either&amp;AcTyp=Any&amp;RpTyp=Either" TargetMode="External"/><Relationship Id="rId427" Type="http://schemas.openxmlformats.org/officeDocument/2006/relationships/hyperlink" Target="file:///\\192.168.11.15\Elmdale-Root\Accounting\pages\CommonAccount.aspx%3fsJump=2305-4121&amp;c.ChartCode=&amp;hAccount=&amp;hAccount2=&amp;DbCrd=Either&amp;AcTyp=Any&amp;RpTyp=Either" TargetMode="External"/><Relationship Id="rId634" Type="http://schemas.openxmlformats.org/officeDocument/2006/relationships/hyperlink" Target="file:///\\192.168.11.15\Elmdale-Root\Accounting\pages\CommonAccount.aspx%3fsJump=3006-1078&amp;c.ChartCode=&amp;hAccount=&amp;hAccount2=&amp;DbCrd=Either&amp;AcTyp=Any&amp;RpTyp=Either" TargetMode="External"/><Relationship Id="rId841" Type="http://schemas.openxmlformats.org/officeDocument/2006/relationships/hyperlink" Target="file:///\\192.168.11.15\Elmdale-Root\Accounting\pages\CommonAccount.aspx%3fsJump=3303-2072&amp;c.ChartCode=&amp;hAccount=&amp;hAccount2=&amp;DbCrd=Either&amp;AcTyp=Any&amp;RpTyp=Either" TargetMode="External"/><Relationship Id="rId1264" Type="http://schemas.openxmlformats.org/officeDocument/2006/relationships/hyperlink" Target="file:///\\192.168.11.15\Elmdale-Root\Accounting\pages\CommonAccount.aspx%3fsJump=8150-0000&amp;c.ChartCode=&amp;hAccount=&amp;hAccount2=&amp;DbCrd=Either&amp;AcTyp=Any&amp;RpTyp=Either" TargetMode="External"/><Relationship Id="rId273" Type="http://schemas.openxmlformats.org/officeDocument/2006/relationships/hyperlink" Target="file:///\\192.168.11.15\Elmdale-Root\Accounting\pages\CommonAccount.aspx%3fsJump=1600-0013&amp;c.ChartCode=&amp;hAccount=&amp;hAccount2=&amp;DbCrd=Either&amp;AcTyp=Any&amp;RpTyp=Either" TargetMode="External"/><Relationship Id="rId480" Type="http://schemas.openxmlformats.org/officeDocument/2006/relationships/hyperlink" Target="file:///\\192.168.11.15\Elmdale-Root\Accounting\pages\CommonAccount.aspx%3fsJump=3003-0117&amp;c.ChartCode=&amp;hAccount=&amp;hAccount2=&amp;DbCrd=Either&amp;AcTyp=Any&amp;RpTyp=Either" TargetMode="External"/><Relationship Id="rId701" Type="http://schemas.openxmlformats.org/officeDocument/2006/relationships/hyperlink" Target="file:///\\192.168.11.15\Elmdale-Root\Accounting\pages\CommonAccount.aspx%3fsJump=3210-0000&amp;c.ChartCode=&amp;hAccount=&amp;hAccount2=&amp;DbCrd=Either&amp;AcTyp=Any&amp;RpTyp=Either" TargetMode="External"/><Relationship Id="rId939" Type="http://schemas.openxmlformats.org/officeDocument/2006/relationships/hyperlink" Target="file:///\\192.168.11.15\Elmdale-Root\Accounting\pages\CommonAccount.aspx%3fsJump=3303-2170&amp;c.ChartCode=&amp;hAccount=&amp;hAccount2=&amp;DbCrd=Either&amp;AcTyp=Any&amp;RpTyp=Either" TargetMode="External"/><Relationship Id="rId1124" Type="http://schemas.openxmlformats.org/officeDocument/2006/relationships/hyperlink" Target="file:///\\192.168.11.15\Elmdale-Root\Accounting\pages\CommonAccount.aspx%3fsJump=6050-0028&amp;c.ChartCode=&amp;hAccount=&amp;hAccount2=&amp;DbCrd=Either&amp;AcTyp=Any&amp;RpTyp=Either" TargetMode="External"/><Relationship Id="rId68" Type="http://schemas.openxmlformats.org/officeDocument/2006/relationships/hyperlink" Target="file:///\\192.168.11.15\Elmdale-Root\Accounting\pages\CommonAccount.aspx%3fsJump=1110-2100&amp;c.ChartCode=&amp;hAccount=&amp;hAccount2=&amp;DbCrd=Either&amp;AcTyp=Any&amp;RpTyp=Either" TargetMode="External"/><Relationship Id="rId133" Type="http://schemas.openxmlformats.org/officeDocument/2006/relationships/hyperlink" Target="file:///\\192.168.11.15\Elmdale-Root\Accounting\pages\CommonAccount.aspx%3fsJump=1110-4948&amp;c.ChartCode=&amp;hAccount=&amp;hAccount2=&amp;DbCrd=Either&amp;AcTyp=Any&amp;RpTyp=Either" TargetMode="External"/><Relationship Id="rId340" Type="http://schemas.openxmlformats.org/officeDocument/2006/relationships/hyperlink" Target="file:///\\192.168.11.15\Elmdale-Root\Accounting\pages\CommonAccount.aspx%3fsJump=1900-1006&amp;c.ChartCode=&amp;hAccount=&amp;hAccount2=&amp;DbCrd=Either&amp;AcTyp=Any&amp;RpTyp=Either" TargetMode="External"/><Relationship Id="rId578" Type="http://schemas.openxmlformats.org/officeDocument/2006/relationships/hyperlink" Target="file:///\\192.168.11.15\Elmdale-Root\Accounting\pages\CommonAccount.aspx%3fsJump=3006-1022&amp;c.ChartCode=&amp;hAccount=&amp;hAccount2=&amp;DbCrd=Either&amp;AcTyp=Any&amp;RpTyp=Either" TargetMode="External"/><Relationship Id="rId785" Type="http://schemas.openxmlformats.org/officeDocument/2006/relationships/hyperlink" Target="file:///\\192.168.11.15\Elmdale-Root\Accounting\pages\CommonAccount.aspx%3fsJump=3303-2015&amp;c.ChartCode=&amp;hAccount=&amp;hAccount2=&amp;DbCrd=Either&amp;AcTyp=Any&amp;RpTyp=Either" TargetMode="External"/><Relationship Id="rId992" Type="http://schemas.openxmlformats.org/officeDocument/2006/relationships/hyperlink" Target="file:///\\192.168.11.15\Elmdale-Root\Accounting\pages\CommonAccount.aspx%3fsJump=3303-2223&amp;c.ChartCode=&amp;hAccount=&amp;hAccount2=&amp;DbCrd=Either&amp;AcTyp=Any&amp;RpTyp=Either" TargetMode="External"/><Relationship Id="rId200" Type="http://schemas.openxmlformats.org/officeDocument/2006/relationships/hyperlink" Target="file:///\\192.168.11.15\Elmdale-Root\Accounting\pages\CommonAccount.aspx%3fsJump=1250-0000&amp;c.ChartCode=&amp;hAccount=&amp;hAccount2=&amp;DbCrd=Either&amp;AcTyp=Any&amp;RpTyp=Either" TargetMode="External"/><Relationship Id="rId438" Type="http://schemas.openxmlformats.org/officeDocument/2006/relationships/hyperlink" Target="file:///\\192.168.11.15\Elmdale-Root\Accounting\pages\CommonAccount.aspx%3fsJump=2305-6818&amp;c.ChartCode=&amp;hAccount=&amp;hAccount2=&amp;DbCrd=Either&amp;AcTyp=Any&amp;RpTyp=Either" TargetMode="External"/><Relationship Id="rId645" Type="http://schemas.openxmlformats.org/officeDocument/2006/relationships/hyperlink" Target="file:///\\192.168.11.15\Elmdale-Root\Accounting\pages\CommonAccount.aspx%3fsJump=3013-1005&amp;c.ChartCode=&amp;hAccount=&amp;hAccount2=&amp;DbCrd=Either&amp;AcTyp=Any&amp;RpTyp=Either" TargetMode="External"/><Relationship Id="rId852" Type="http://schemas.openxmlformats.org/officeDocument/2006/relationships/hyperlink" Target="file:///\\192.168.11.15\Elmdale-Root\Accounting\pages\CommonAccount.aspx%3fsJump=3303-2083&amp;c.ChartCode=&amp;hAccount=&amp;hAccount2=&amp;DbCrd=Either&amp;AcTyp=Any&amp;RpTyp=Either" TargetMode="External"/><Relationship Id="rId1068" Type="http://schemas.openxmlformats.org/officeDocument/2006/relationships/hyperlink" Target="file:///\\192.168.11.15\Elmdale-Root\Accounting\pages\CommonAccount.aspx%3fsJump=5350-0000&amp;c.ChartCode=&amp;hAccount=&amp;hAccount2=&amp;DbCrd=Either&amp;AcTyp=Any&amp;RpTyp=Either" TargetMode="External"/><Relationship Id="rId1275" Type="http://schemas.openxmlformats.org/officeDocument/2006/relationships/hyperlink" Target="file:///\\192.168.11.15\Elmdale-Root\Accounting\pages\CommonAccount.aspx%3fsJump=8180-0009&amp;c.ChartCode=&amp;hAccount=&amp;hAccount2=&amp;DbCrd=Either&amp;AcTyp=Any&amp;RpTyp=Either" TargetMode="External"/><Relationship Id="rId284" Type="http://schemas.openxmlformats.org/officeDocument/2006/relationships/hyperlink" Target="file:///\\192.168.11.15\Elmdale-Root\Accounting\pages\CommonAccount.aspx%3fsJump=1600-0035&amp;c.ChartCode=&amp;hAccount=&amp;hAccount2=&amp;DbCrd=Either&amp;AcTyp=Any&amp;RpTyp=Either" TargetMode="External"/><Relationship Id="rId491" Type="http://schemas.openxmlformats.org/officeDocument/2006/relationships/hyperlink" Target="file:///\\192.168.11.15\Elmdale-Root\Accounting\pages\CommonAccount.aspx%3fsJump=3003-1202&amp;c.ChartCode=&amp;hAccount=&amp;hAccount2=&amp;DbCrd=Either&amp;AcTyp=Any&amp;RpTyp=Either" TargetMode="External"/><Relationship Id="rId505" Type="http://schemas.openxmlformats.org/officeDocument/2006/relationships/hyperlink" Target="file:///\\192.168.11.15\Elmdale-Root\Accounting\pages\CommonAccount.aspx%3fsJump=3003-1600&amp;c.ChartCode=&amp;hAccount=&amp;hAccount2=&amp;DbCrd=Either&amp;AcTyp=Any&amp;RpTyp=Either" TargetMode="External"/><Relationship Id="rId712" Type="http://schemas.openxmlformats.org/officeDocument/2006/relationships/hyperlink" Target="file:///\\192.168.11.15\Elmdale-Root\Accounting\pages\CommonAccount.aspx%3fsJump=3303-1431&amp;c.ChartCode=&amp;hAccount=&amp;hAccount2=&amp;DbCrd=Either&amp;AcTyp=Any&amp;RpTyp=Either" TargetMode="External"/><Relationship Id="rId1135" Type="http://schemas.openxmlformats.org/officeDocument/2006/relationships/hyperlink" Target="file:///\\192.168.11.15\Elmdale-Root\Accounting\pages\CommonAccount.aspx%3fsJump=6110-0027&amp;c.ChartCode=&amp;hAccount=&amp;hAccount2=&amp;DbCrd=Either&amp;AcTyp=Any&amp;RpTyp=Either" TargetMode="External"/><Relationship Id="rId79" Type="http://schemas.openxmlformats.org/officeDocument/2006/relationships/hyperlink" Target="file:///\\192.168.11.15\Elmdale-Root\Accounting\pages\CommonAccount.aspx%3fsJump=1110-3310&amp;c.ChartCode=&amp;hAccount=&amp;hAccount2=&amp;DbCrd=Either&amp;AcTyp=Any&amp;RpTyp=Either" TargetMode="External"/><Relationship Id="rId144" Type="http://schemas.openxmlformats.org/officeDocument/2006/relationships/hyperlink" Target="file:///\\192.168.11.15\Elmdale-Root\Accounting\pages\CommonAccount.aspx%3fsJump=1110-4960&amp;c.ChartCode=&amp;hAccount=&amp;hAccount2=&amp;DbCrd=Either&amp;AcTyp=Any&amp;RpTyp=Either" TargetMode="External"/><Relationship Id="rId589" Type="http://schemas.openxmlformats.org/officeDocument/2006/relationships/hyperlink" Target="file:///\\192.168.11.15\Elmdale-Root\Accounting\pages\CommonAccount.aspx%3fsJump=3006-1033&amp;c.ChartCode=&amp;hAccount=&amp;hAccount2=&amp;DbCrd=Either&amp;AcTyp=Any&amp;RpTyp=Either" TargetMode="External"/><Relationship Id="rId796" Type="http://schemas.openxmlformats.org/officeDocument/2006/relationships/hyperlink" Target="file:///\\192.168.11.15\Elmdale-Root\Accounting\pages\CommonAccount.aspx%3fsJump=3303-2027&amp;c.ChartCode=&amp;hAccount=&amp;hAccount2=&amp;DbCrd=Either&amp;AcTyp=Any&amp;RpTyp=Either" TargetMode="External"/><Relationship Id="rId1202" Type="http://schemas.openxmlformats.org/officeDocument/2006/relationships/hyperlink" Target="file:///\\192.168.11.15\Elmdale-Root\Accounting\pages\CommonAccount.aspx%3fsJump=6461-0999&amp;c.ChartCode=&amp;hAccount=&amp;hAccount2=&amp;DbCrd=Either&amp;AcTyp=Any&amp;RpTyp=Either" TargetMode="External"/><Relationship Id="rId351" Type="http://schemas.openxmlformats.org/officeDocument/2006/relationships/hyperlink" Target="file:///\\192.168.11.15\Elmdale-Root\Accounting\pages\CommonAccount.aspx%3fsJump=1920-0000&amp;c.ChartCode=&amp;hAccount=&amp;hAccount2=&amp;DbCrd=Either&amp;AcTyp=Any&amp;RpTyp=Either" TargetMode="External"/><Relationship Id="rId449" Type="http://schemas.openxmlformats.org/officeDocument/2006/relationships/hyperlink" Target="file:///\\192.168.11.15\Elmdale-Root\Accounting\pages\CommonAccount.aspx%3fsJump=2430-0000&amp;c.ChartCode=&amp;hAccount=&amp;hAccount2=&amp;DbCrd=Either&amp;AcTyp=Any&amp;RpTyp=Either" TargetMode="External"/><Relationship Id="rId656" Type="http://schemas.openxmlformats.org/officeDocument/2006/relationships/hyperlink" Target="file:///\\192.168.11.15\Elmdale-Root\Accounting\pages\CommonAccount.aspx%3fsJump=3032-0000&amp;c.ChartCode=&amp;hAccount=&amp;hAccount2=&amp;DbCrd=Either&amp;AcTyp=Any&amp;RpTyp=Either" TargetMode="External"/><Relationship Id="rId863" Type="http://schemas.openxmlformats.org/officeDocument/2006/relationships/hyperlink" Target="file:///\\192.168.11.15\Elmdale-Root\Accounting\pages\CommonAccount.aspx%3fsJump=3303-2094&amp;c.ChartCode=&amp;hAccount=&amp;hAccount2=&amp;DbCrd=Either&amp;AcTyp=Any&amp;RpTyp=Either" TargetMode="External"/><Relationship Id="rId1079" Type="http://schemas.openxmlformats.org/officeDocument/2006/relationships/hyperlink" Target="file:///\\192.168.11.15\Elmdale-Root\Accounting\pages\CommonAccount.aspx%3fsJump=5450-0000&amp;c.ChartCode=&amp;hAccount=&amp;hAccount2=&amp;DbCrd=Either&amp;AcTyp=Any&amp;RpTyp=Either" TargetMode="External"/><Relationship Id="rId1286" Type="http://schemas.openxmlformats.org/officeDocument/2006/relationships/hyperlink" Target="file:///\\192.168.11.15\Elmdale-Root\Accounting\pages\CommonAccount.aspx%3fsJump=8180-0201&amp;c.ChartCode=&amp;hAccount=&amp;hAccount2=&amp;DbCrd=Either&amp;AcTyp=Any&amp;RpTyp=Either" TargetMode="External"/><Relationship Id="rId211" Type="http://schemas.openxmlformats.org/officeDocument/2006/relationships/hyperlink" Target="file:///\\192.168.11.15\Elmdale-Root\Accounting\pages\CommonAccount.aspx%3fsJump=1401-0003&amp;c.ChartCode=&amp;hAccount=&amp;hAccount2=&amp;DbCrd=Either&amp;AcTyp=Any&amp;RpTyp=Either" TargetMode="External"/><Relationship Id="rId295" Type="http://schemas.openxmlformats.org/officeDocument/2006/relationships/hyperlink" Target="file:///\\192.168.11.15\Elmdale-Root\Accounting\pages\CommonAccount.aspx%3fsJump=1600-0047&amp;c.ChartCode=&amp;hAccount=&amp;hAccount2=&amp;DbCrd=Either&amp;AcTyp=Any&amp;RpTyp=Either" TargetMode="External"/><Relationship Id="rId309" Type="http://schemas.openxmlformats.org/officeDocument/2006/relationships/hyperlink" Target="file:///\\192.168.11.15\Elmdale-Root\Accounting\pages\CommonAccount.aspx%3fsJump=1600-1010&amp;c.ChartCode=&amp;hAccount=&amp;hAccount2=&amp;DbCrd=Either&amp;AcTyp=Any&amp;RpTyp=Either" TargetMode="External"/><Relationship Id="rId516" Type="http://schemas.openxmlformats.org/officeDocument/2006/relationships/hyperlink" Target="file:///\\192.168.11.15\Elmdale-Root\Accounting\pages\CommonAccount.aspx%3fsJump=3003-1803&amp;c.ChartCode=&amp;hAccount=&amp;hAccount2=&amp;DbCrd=Either&amp;AcTyp=Any&amp;RpTyp=Either" TargetMode="External"/><Relationship Id="rId1146" Type="http://schemas.openxmlformats.org/officeDocument/2006/relationships/hyperlink" Target="file:///\\192.168.11.15\Elmdale-Root\Accounting\pages\CommonAccount.aspx%3fsJump=6110-1060&amp;c.ChartCode=&amp;hAccount=&amp;hAccount2=&amp;DbCrd=Either&amp;AcTyp=Any&amp;RpTyp=Either" TargetMode="External"/><Relationship Id="rId723" Type="http://schemas.openxmlformats.org/officeDocument/2006/relationships/hyperlink" Target="file:///\\192.168.11.15\Elmdale-Root\Accounting\pages\CommonAccount.aspx%3fsJump=3303-1460&amp;c.ChartCode=&amp;hAccount=&amp;hAccount2=&amp;DbCrd=Either&amp;AcTyp=Any&amp;RpTyp=Either" TargetMode="External"/><Relationship Id="rId930" Type="http://schemas.openxmlformats.org/officeDocument/2006/relationships/hyperlink" Target="file:///\\192.168.11.15\Elmdale-Root\Accounting\pages\CommonAccount.aspx%3fsJump=3303-2161&amp;c.ChartCode=&amp;hAccount=&amp;hAccount2=&amp;DbCrd=Either&amp;AcTyp=Any&amp;RpTyp=Either" TargetMode="External"/><Relationship Id="rId1006" Type="http://schemas.openxmlformats.org/officeDocument/2006/relationships/hyperlink" Target="file:///\\192.168.11.15\Elmdale-Root\Accounting\pages\CommonAccount.aspx%3fsJump=3890-0001&amp;c.ChartCode=&amp;hAccount=&amp;hAccount2=&amp;DbCrd=Either&amp;AcTyp=Any&amp;RpTyp=Either" TargetMode="External"/><Relationship Id="rId155" Type="http://schemas.openxmlformats.org/officeDocument/2006/relationships/hyperlink" Target="file:///\\192.168.11.15\Elmdale-Root\Accounting\pages\CommonAccount.aspx%3fsJump=1110-4971&amp;c.ChartCode=&amp;hAccount=&amp;hAccount2=&amp;DbCrd=Either&amp;AcTyp=Any&amp;RpTyp=Either" TargetMode="External"/><Relationship Id="rId362" Type="http://schemas.openxmlformats.org/officeDocument/2006/relationships/hyperlink" Target="file:///\\192.168.11.15\Elmdale-Root\Accounting\pages\CommonAccount.aspx%3fsJump=2100-1005&amp;c.ChartCode=&amp;hAccount=&amp;hAccount2=&amp;DbCrd=Either&amp;AcTyp=Any&amp;RpTyp=Either" TargetMode="External"/><Relationship Id="rId1213" Type="http://schemas.openxmlformats.org/officeDocument/2006/relationships/hyperlink" Target="file:///\\192.168.11.15\Elmdale-Root\Accounting\pages\CommonAccount.aspx%3fsJump=7000-0013&amp;c.ChartCode=&amp;hAccount=&amp;hAccount2=&amp;DbCrd=Either&amp;AcTyp=Any&amp;RpTyp=Either" TargetMode="External"/><Relationship Id="rId1297" Type="http://schemas.openxmlformats.org/officeDocument/2006/relationships/hyperlink" Target="file:///\\192.168.11.15\Elmdale-Root\Accounting\pages\CommonAccount.aspx%3fsJump=8181-0113&amp;c.ChartCode=&amp;hAccount=&amp;hAccount2=&amp;DbCrd=Either&amp;AcTyp=Any&amp;RpTyp=Either" TargetMode="External"/><Relationship Id="rId222" Type="http://schemas.openxmlformats.org/officeDocument/2006/relationships/hyperlink" Target="file:///\\192.168.11.15\Elmdale-Root\Accounting\pages\CommonAccount.aspx%3fsJump=1414-0000&amp;c.ChartCode=&amp;hAccount=&amp;hAccount2=&amp;DbCrd=Either&amp;AcTyp=Any&amp;RpTyp=Either" TargetMode="External"/><Relationship Id="rId667" Type="http://schemas.openxmlformats.org/officeDocument/2006/relationships/hyperlink" Target="file:///\\192.168.11.15\Elmdale-Root\Accounting\pages\CommonAccount.aspx%3fsJump=3047-0000&amp;c.ChartCode=&amp;hAccount=&amp;hAccount2=&amp;DbCrd=Either&amp;AcTyp=Any&amp;RpTyp=Either" TargetMode="External"/><Relationship Id="rId874" Type="http://schemas.openxmlformats.org/officeDocument/2006/relationships/hyperlink" Target="file:///\\192.168.11.15\Elmdale-Root\Accounting\pages\CommonAccount.aspx%3fsJump=3303-2105&amp;c.ChartCode=&amp;hAccount=&amp;hAccount2=&amp;DbCrd=Either&amp;AcTyp=Any&amp;RpTyp=Either" TargetMode="External"/><Relationship Id="rId17" Type="http://schemas.openxmlformats.org/officeDocument/2006/relationships/hyperlink" Target="file:///\\192.168.11.15\Elmdale-Root\Accounting\pages\CommonAccount.aspx%3fsJump=1110-0200&amp;c.ChartCode=&amp;hAccount=&amp;hAccount2=&amp;DbCrd=Either&amp;AcTyp=Any&amp;RpTyp=Either" TargetMode="External"/><Relationship Id="rId527" Type="http://schemas.openxmlformats.org/officeDocument/2006/relationships/hyperlink" Target="file:///\\192.168.11.15\Elmdale-Root\Accounting\pages\CommonAccount.aspx%3fsJump=3003-4000&amp;c.ChartCode=&amp;hAccount=&amp;hAccount2=&amp;DbCrd=Either&amp;AcTyp=Any&amp;RpTyp=Either" TargetMode="External"/><Relationship Id="rId734" Type="http://schemas.openxmlformats.org/officeDocument/2006/relationships/hyperlink" Target="file:///\\192.168.11.15\Elmdale-Root\Accounting\pages\CommonAccount.aspx%3fsJump=3303-1483&amp;c.ChartCode=&amp;hAccount=&amp;hAccount2=&amp;DbCrd=Either&amp;AcTyp=Any&amp;RpTyp=Either" TargetMode="External"/><Relationship Id="rId941" Type="http://schemas.openxmlformats.org/officeDocument/2006/relationships/hyperlink" Target="file:///\\192.168.11.15\Elmdale-Root\Accounting\pages\CommonAccount.aspx%3fsJump=3303-2172&amp;c.ChartCode=&amp;hAccount=&amp;hAccount2=&amp;DbCrd=Either&amp;AcTyp=Any&amp;RpTyp=Either" TargetMode="External"/><Relationship Id="rId1157" Type="http://schemas.openxmlformats.org/officeDocument/2006/relationships/hyperlink" Target="file:///\\192.168.11.15\Elmdale-Root\Accounting\pages\CommonAccount.aspx%3fsJump=6110-1180&amp;c.ChartCode=&amp;hAccount=&amp;hAccount2=&amp;DbCrd=Either&amp;AcTyp=Any&amp;RpTyp=Either" TargetMode="External"/><Relationship Id="rId70" Type="http://schemas.openxmlformats.org/officeDocument/2006/relationships/hyperlink" Target="file:///\\192.168.11.15\Elmdale-Root\Accounting\pages\CommonAccount.aspx%3fsJump=1110-2469&amp;c.ChartCode=&amp;hAccount=&amp;hAccount2=&amp;DbCrd=Either&amp;AcTyp=Any&amp;RpTyp=Either" TargetMode="External"/><Relationship Id="rId166" Type="http://schemas.openxmlformats.org/officeDocument/2006/relationships/hyperlink" Target="file:///\\192.168.11.15\Elmdale-Root\Accounting\pages\CommonAccount.aspx%3fsJump=1110-4982&amp;c.ChartCode=&amp;hAccount=&amp;hAccount2=&amp;DbCrd=Either&amp;AcTyp=Any&amp;RpTyp=Either" TargetMode="External"/><Relationship Id="rId373" Type="http://schemas.openxmlformats.org/officeDocument/2006/relationships/hyperlink" Target="file:///\\192.168.11.15\Elmdale-Root\Accounting\pages\CommonAccount.aspx%3fsJump=2150-0002&amp;c.ChartCode=&amp;hAccount=&amp;hAccount2=&amp;DbCrd=Either&amp;AcTyp=Any&amp;RpTyp=Either" TargetMode="External"/><Relationship Id="rId580" Type="http://schemas.openxmlformats.org/officeDocument/2006/relationships/hyperlink" Target="file:///\\192.168.11.15\Elmdale-Root\Accounting\pages\CommonAccount.aspx%3fsJump=3006-1024&amp;c.ChartCode=&amp;hAccount=&amp;hAccount2=&amp;DbCrd=Either&amp;AcTyp=Any&amp;RpTyp=Either" TargetMode="External"/><Relationship Id="rId801" Type="http://schemas.openxmlformats.org/officeDocument/2006/relationships/hyperlink" Target="file:///\\192.168.11.15\Elmdale-Root\Accounting\pages\CommonAccount.aspx%3fsJump=3303-2032&amp;c.ChartCode=&amp;hAccount=&amp;hAccount2=&amp;DbCrd=Either&amp;AcTyp=Any&amp;RpTyp=Either" TargetMode="External"/><Relationship Id="rId1017" Type="http://schemas.openxmlformats.org/officeDocument/2006/relationships/hyperlink" Target="file:///\\192.168.11.15\Elmdale-Root\Accounting\pages\CommonAccount.aspx%3fsJump=4500-0002&amp;c.ChartCode=&amp;hAccount=&amp;hAccount2=&amp;DbCrd=Either&amp;AcTyp=Any&amp;RpTyp=Either" TargetMode="External"/><Relationship Id="rId1224" Type="http://schemas.openxmlformats.org/officeDocument/2006/relationships/hyperlink" Target="file:///\\192.168.11.15\Elmdale-Root\Accounting\pages\CommonAccount.aspx%3fsJump=7000-0050&amp;c.ChartCode=&amp;hAccount=&amp;hAccount2=&amp;DbCrd=Either&amp;AcTyp=Any&amp;RpTyp=Either" TargetMode="External"/><Relationship Id="rId1" Type="http://schemas.openxmlformats.org/officeDocument/2006/relationships/hyperlink" Target="file:///\\192.168.11.15\Elmdale-Root\Accounting\pages\CommonAccount.aspx%3fsJump=1000-0000&amp;c.ChartCode=&amp;hAccount=&amp;hAccount2=&amp;DbCrd=Either&amp;AcTyp=Any&amp;RpTyp=Either" TargetMode="External"/><Relationship Id="rId233" Type="http://schemas.openxmlformats.org/officeDocument/2006/relationships/hyperlink" Target="file:///\\192.168.11.15\Elmdale-Root\Accounting\pages\CommonAccount.aspx%3fsJump=1500-0010&amp;c.ChartCode=&amp;hAccount=&amp;hAccount2=&amp;DbCrd=Either&amp;AcTyp=Any&amp;RpTyp=Either" TargetMode="External"/><Relationship Id="rId440" Type="http://schemas.openxmlformats.org/officeDocument/2006/relationships/hyperlink" Target="file:///\\192.168.11.15\Elmdale-Root\Accounting\pages\CommonAccount.aspx%3fsJump=2305-9446&amp;c.ChartCode=&amp;hAccount=&amp;hAccount2=&amp;DbCrd=Either&amp;AcTyp=Any&amp;RpTyp=Either" TargetMode="External"/><Relationship Id="rId678" Type="http://schemas.openxmlformats.org/officeDocument/2006/relationships/hyperlink" Target="file:///\\192.168.11.15\Elmdale-Root\Accounting\pages\CommonAccount.aspx%3fsJump=3064-0000&amp;c.ChartCode=&amp;hAccount=&amp;hAccount2=&amp;DbCrd=Either&amp;AcTyp=Any&amp;RpTyp=Either" TargetMode="External"/><Relationship Id="rId885" Type="http://schemas.openxmlformats.org/officeDocument/2006/relationships/hyperlink" Target="file:///\\192.168.11.15\Elmdale-Root\Accounting\pages\CommonAccount.aspx%3fsJump=3303-2116&amp;c.ChartCode=&amp;hAccount=&amp;hAccount2=&amp;DbCrd=Either&amp;AcTyp=Any&amp;RpTyp=Either" TargetMode="External"/><Relationship Id="rId1070" Type="http://schemas.openxmlformats.org/officeDocument/2006/relationships/hyperlink" Target="file:///\\192.168.11.15\Elmdale-Root\Accounting\pages\CommonAccount.aspx%3fsJump=5350-0002&amp;c.ChartCode=&amp;hAccount=&amp;hAccount2=&amp;DbCrd=Either&amp;AcTyp=Any&amp;RpTyp=Either" TargetMode="External"/><Relationship Id="rId28" Type="http://schemas.openxmlformats.org/officeDocument/2006/relationships/hyperlink" Target="file:///\\192.168.11.15\Elmdale-Root\Accounting\pages\CommonAccount.aspx%3fsJump=1110-1451&amp;c.ChartCode=&amp;hAccount=&amp;hAccount2=&amp;DbCrd=Either&amp;AcTyp=Any&amp;RpTyp=Either" TargetMode="External"/><Relationship Id="rId300" Type="http://schemas.openxmlformats.org/officeDocument/2006/relationships/hyperlink" Target="file:///\\192.168.11.15\Elmdale-Root\Accounting\pages\CommonAccount.aspx%3fsJump=1600-1001&amp;c.ChartCode=&amp;hAccount=&amp;hAccount2=&amp;DbCrd=Either&amp;AcTyp=Any&amp;RpTyp=Either" TargetMode="External"/><Relationship Id="rId538" Type="http://schemas.openxmlformats.org/officeDocument/2006/relationships/hyperlink" Target="file:///\\192.168.11.15\Elmdale-Root\Accounting\pages\CommonAccount.aspx%3fsJump=3003-6003&amp;c.ChartCode=&amp;hAccount=&amp;hAccount2=&amp;DbCrd=Either&amp;AcTyp=Any&amp;RpTyp=Either" TargetMode="External"/><Relationship Id="rId745" Type="http://schemas.openxmlformats.org/officeDocument/2006/relationships/hyperlink" Target="file:///\\192.168.11.15\Elmdale-Root\Accounting\pages\CommonAccount.aspx%3fsJump=3303-1512&amp;c.ChartCode=&amp;hAccount=&amp;hAccount2=&amp;DbCrd=Either&amp;AcTyp=Any&amp;RpTyp=Either" TargetMode="External"/><Relationship Id="rId952" Type="http://schemas.openxmlformats.org/officeDocument/2006/relationships/hyperlink" Target="file:///\\192.168.11.15\Elmdale-Root\Accounting\pages\CommonAccount.aspx%3fsJump=3303-2183&amp;c.ChartCode=&amp;hAccount=&amp;hAccount2=&amp;DbCrd=Either&amp;AcTyp=Any&amp;RpTyp=Either" TargetMode="External"/><Relationship Id="rId1168" Type="http://schemas.openxmlformats.org/officeDocument/2006/relationships/hyperlink" Target="file:///\\192.168.11.15\Elmdale-Root\Accounting\pages\CommonAccount.aspx%3fsJump=6200-0050&amp;c.ChartCode=&amp;hAccount=&amp;hAccount2=&amp;DbCrd=Either&amp;AcTyp=Any&amp;RpTyp=Either" TargetMode="External"/><Relationship Id="rId81" Type="http://schemas.openxmlformats.org/officeDocument/2006/relationships/hyperlink" Target="file:///\\192.168.11.15\Elmdale-Root\Accounting\pages\CommonAccount.aspx%3fsJump=1110-3330&amp;c.ChartCode=&amp;hAccount=&amp;hAccount2=&amp;DbCrd=Either&amp;AcTyp=Any&amp;RpTyp=Either" TargetMode="External"/><Relationship Id="rId177" Type="http://schemas.openxmlformats.org/officeDocument/2006/relationships/hyperlink" Target="file:///\\192.168.11.15\Elmdale-Root\Accounting\pages\CommonAccount.aspx%3fsJump=1121-1000&amp;c.ChartCode=&amp;hAccount=&amp;hAccount2=&amp;DbCrd=Either&amp;AcTyp=Any&amp;RpTyp=Either" TargetMode="External"/><Relationship Id="rId384" Type="http://schemas.openxmlformats.org/officeDocument/2006/relationships/hyperlink" Target="file:///\\192.168.11.15\Elmdale-Root\Accounting\pages\CommonAccount.aspx%3fsJump=2150-0013&amp;c.ChartCode=&amp;hAccount=&amp;hAccount2=&amp;DbCrd=Either&amp;AcTyp=Any&amp;RpTyp=Either" TargetMode="External"/><Relationship Id="rId591" Type="http://schemas.openxmlformats.org/officeDocument/2006/relationships/hyperlink" Target="file:///\\192.168.11.15\Elmdale-Root\Accounting\pages\CommonAccount.aspx%3fsJump=3006-1035&amp;c.ChartCode=&amp;hAccount=&amp;hAccount2=&amp;DbCrd=Either&amp;AcTyp=Any&amp;RpTyp=Either" TargetMode="External"/><Relationship Id="rId605" Type="http://schemas.openxmlformats.org/officeDocument/2006/relationships/hyperlink" Target="file:///\\192.168.11.15\Elmdale-Root\Accounting\pages\CommonAccount.aspx%3fsJump=3006-1049&amp;c.ChartCode=&amp;hAccount=&amp;hAccount2=&amp;DbCrd=Either&amp;AcTyp=Any&amp;RpTyp=Either" TargetMode="External"/><Relationship Id="rId812" Type="http://schemas.openxmlformats.org/officeDocument/2006/relationships/hyperlink" Target="file:///\\192.168.11.15\Elmdale-Root\Accounting\pages\CommonAccount.aspx%3fsJump=3303-2043&amp;c.ChartCode=&amp;hAccount=&amp;hAccount2=&amp;DbCrd=Either&amp;AcTyp=Any&amp;RpTyp=Either" TargetMode="External"/><Relationship Id="rId1028" Type="http://schemas.openxmlformats.org/officeDocument/2006/relationships/hyperlink" Target="file:///\\192.168.11.15\Elmdale-Root\Accounting\pages\CommonAccount.aspx%3fsJump=4710-0003&amp;c.ChartCode=&amp;hAccount=&amp;hAccount2=&amp;DbCrd=Either&amp;AcTyp=Any&amp;RpTyp=Either" TargetMode="External"/><Relationship Id="rId1235" Type="http://schemas.openxmlformats.org/officeDocument/2006/relationships/hyperlink" Target="file:///\\192.168.11.15\Elmdale-Root\Accounting\pages\CommonAccount.aspx%3fsJump=7200-0015&amp;c.ChartCode=&amp;hAccount=&amp;hAccount2=&amp;DbCrd=Either&amp;AcTyp=Any&amp;RpTyp=Either" TargetMode="External"/><Relationship Id="rId244" Type="http://schemas.openxmlformats.org/officeDocument/2006/relationships/hyperlink" Target="file:///\\192.168.11.15\Elmdale-Root\Accounting\pages\CommonAccount.aspx%3fsJump=1500-0045&amp;c.ChartCode=&amp;hAccount=&amp;hAccount2=&amp;DbCrd=Either&amp;AcTyp=Any&amp;RpTyp=Either" TargetMode="External"/><Relationship Id="rId689" Type="http://schemas.openxmlformats.org/officeDocument/2006/relationships/hyperlink" Target="file:///\\192.168.11.15\Elmdale-Root\Accounting\pages\CommonAccount.aspx%3fsJump=3085-0000&amp;c.ChartCode=&amp;hAccount=&amp;hAccount2=&amp;DbCrd=Either&amp;AcTyp=Any&amp;RpTyp=Either" TargetMode="External"/><Relationship Id="rId896" Type="http://schemas.openxmlformats.org/officeDocument/2006/relationships/hyperlink" Target="file:///\\192.168.11.15\Elmdale-Root\Accounting\pages\CommonAccount.aspx%3fsJump=3303-2127&amp;c.ChartCode=&amp;hAccount=&amp;hAccount2=&amp;DbCrd=Either&amp;AcTyp=Any&amp;RpTyp=Either" TargetMode="External"/><Relationship Id="rId1081" Type="http://schemas.openxmlformats.org/officeDocument/2006/relationships/hyperlink" Target="file:///\\192.168.11.15\Elmdale-Root\Accounting\pages\CommonAccount.aspx%3fsJump=5465-0000&amp;c.ChartCode=&amp;hAccount=&amp;hAccount2=&amp;DbCrd=Either&amp;AcTyp=Any&amp;RpTyp=Either" TargetMode="External"/><Relationship Id="rId1302" Type="http://schemas.openxmlformats.org/officeDocument/2006/relationships/hyperlink" Target="file:///\\192.168.11.15\Elmdale-Root\Accounting\pages\CommonAccount.aspx%3fsJump=8181-2001&amp;c.ChartCode=&amp;hAccount=&amp;hAccount2=&amp;DbCrd=Either&amp;AcTyp=Any&amp;RpTyp=Either" TargetMode="External"/><Relationship Id="rId39" Type="http://schemas.openxmlformats.org/officeDocument/2006/relationships/hyperlink" Target="file:///\\192.168.11.15\Elmdale-Root\Accounting\pages\CommonAccount.aspx%3fsJump=1110-1510&amp;c.ChartCode=&amp;hAccount=&amp;hAccount2=&amp;DbCrd=Either&amp;AcTyp=Any&amp;RpTyp=Either" TargetMode="External"/><Relationship Id="rId451" Type="http://schemas.openxmlformats.org/officeDocument/2006/relationships/hyperlink" Target="file:///\\192.168.11.15\Elmdale-Root\Accounting\pages\CommonAccount.aspx%3fsJump=2440-0000&amp;c.ChartCode=&amp;hAccount=&amp;hAccount2=&amp;DbCrd=Either&amp;AcTyp=Any&amp;RpTyp=Either" TargetMode="External"/><Relationship Id="rId549" Type="http://schemas.openxmlformats.org/officeDocument/2006/relationships/hyperlink" Target="file:///\\192.168.11.15\Elmdale-Root\Accounting\pages\CommonAccount.aspx%3fsJump=3003-9002&amp;c.ChartCode=&amp;hAccount=&amp;hAccount2=&amp;DbCrd=Either&amp;AcTyp=Any&amp;RpTyp=Either" TargetMode="External"/><Relationship Id="rId756" Type="http://schemas.openxmlformats.org/officeDocument/2006/relationships/hyperlink" Target="file:///\\192.168.11.15\Elmdale-Root\Accounting\pages\CommonAccount.aspx%3fsJump=3303-1531&amp;c.ChartCode=&amp;hAccount=&amp;hAccount2=&amp;DbCrd=Either&amp;AcTyp=Any&amp;RpTyp=Either" TargetMode="External"/><Relationship Id="rId1179" Type="http://schemas.openxmlformats.org/officeDocument/2006/relationships/hyperlink" Target="file:///\\192.168.11.15\Elmdale-Root\Accounting\pages\CommonAccount.aspx%3fsJump=6400-0010&amp;c.ChartCode=&amp;hAccount=&amp;hAccount2=&amp;DbCrd=Either&amp;AcTyp=Any&amp;RpTyp=Either" TargetMode="External"/><Relationship Id="rId104" Type="http://schemas.openxmlformats.org/officeDocument/2006/relationships/hyperlink" Target="file:///\\192.168.11.15\Elmdale-Root\Accounting\pages\CommonAccount.aspx%3fsJump=1110-4910&amp;c.ChartCode=&amp;hAccount=&amp;hAccount2=&amp;DbCrd=Either&amp;AcTyp=Any&amp;RpTyp=Either" TargetMode="External"/><Relationship Id="rId188" Type="http://schemas.openxmlformats.org/officeDocument/2006/relationships/hyperlink" Target="file:///\\192.168.11.15\Elmdale-Root\Accounting\pages\CommonAccount.aspx%3fsJump=1190-0000&amp;c.ChartCode=&amp;hAccount=&amp;hAccount2=&amp;DbCrd=Either&amp;AcTyp=Any&amp;RpTyp=Either" TargetMode="External"/><Relationship Id="rId311" Type="http://schemas.openxmlformats.org/officeDocument/2006/relationships/hyperlink" Target="file:///\\192.168.11.15\Elmdale-Root\Accounting\pages\CommonAccount.aspx%3fsJump=1600-1012&amp;c.ChartCode=&amp;hAccount=&amp;hAccount2=&amp;DbCrd=Either&amp;AcTyp=Any&amp;RpTyp=Either" TargetMode="External"/><Relationship Id="rId395" Type="http://schemas.openxmlformats.org/officeDocument/2006/relationships/hyperlink" Target="file:///\\192.168.11.15\Elmdale-Root\Accounting\pages\CommonAccount.aspx%3fsJump=2200-0000&amp;c.ChartCode=&amp;hAccount=&amp;hAccount2=&amp;DbCrd=Either&amp;AcTyp=Any&amp;RpTyp=Either" TargetMode="External"/><Relationship Id="rId409" Type="http://schemas.openxmlformats.org/officeDocument/2006/relationships/hyperlink" Target="file:///\\192.168.11.15\Elmdale-Root\Accounting\pages\CommonAccount.aspx%3fsJump=2257-0000&amp;c.ChartCode=&amp;hAccount=&amp;hAccount2=&amp;DbCrd=Either&amp;AcTyp=Any&amp;RpTyp=Either" TargetMode="External"/><Relationship Id="rId963" Type="http://schemas.openxmlformats.org/officeDocument/2006/relationships/hyperlink" Target="file:///\\192.168.11.15\Elmdale-Root\Accounting\pages\CommonAccount.aspx%3fsJump=3303-2194&amp;c.ChartCode=&amp;hAccount=&amp;hAccount2=&amp;DbCrd=Either&amp;AcTyp=Any&amp;RpTyp=Either" TargetMode="External"/><Relationship Id="rId1039" Type="http://schemas.openxmlformats.org/officeDocument/2006/relationships/hyperlink" Target="file:///\\192.168.11.15\Elmdale-Root\Accounting\pages\CommonAccount.aspx%3fsJump=4990-0000&amp;c.ChartCode=&amp;hAccount=&amp;hAccount2=&amp;DbCrd=Either&amp;AcTyp=Any&amp;RpTyp=Either" TargetMode="External"/><Relationship Id="rId1246" Type="http://schemas.openxmlformats.org/officeDocument/2006/relationships/hyperlink" Target="file:///\\192.168.11.15\Elmdale-Root\Accounting\pages\CommonAccount.aspx%3fsJump=7400-0000&amp;c.ChartCode=&amp;hAccount=&amp;hAccount2=&amp;DbCrd=Either&amp;AcTyp=Any&amp;RpTyp=Either" TargetMode="External"/><Relationship Id="rId92" Type="http://schemas.openxmlformats.org/officeDocument/2006/relationships/hyperlink" Target="file:///\\192.168.11.15\Elmdale-Root\Accounting\pages\CommonAccount.aspx%3fsJump=1110-4898&amp;c.ChartCode=&amp;hAccount=&amp;hAccount2=&amp;DbCrd=Either&amp;AcTyp=Any&amp;RpTyp=Either" TargetMode="External"/><Relationship Id="rId616" Type="http://schemas.openxmlformats.org/officeDocument/2006/relationships/hyperlink" Target="file:///\\192.168.11.15\Elmdale-Root\Accounting\pages\CommonAccount.aspx%3fsJump=3006-1060&amp;c.ChartCode=&amp;hAccount=&amp;hAccount2=&amp;DbCrd=Either&amp;AcTyp=Any&amp;RpTyp=Either" TargetMode="External"/><Relationship Id="rId823" Type="http://schemas.openxmlformats.org/officeDocument/2006/relationships/hyperlink" Target="file:///\\192.168.11.15\Elmdale-Root\Accounting\pages\CommonAccount.aspx%3fsJump=3303-2054&amp;c.ChartCode=&amp;hAccount=&amp;hAccount2=&amp;DbCrd=Either&amp;AcTyp=Any&amp;RpTyp=Either" TargetMode="External"/><Relationship Id="rId255" Type="http://schemas.openxmlformats.org/officeDocument/2006/relationships/hyperlink" Target="file:///\\192.168.11.15\Elmdale-Root\Accounting\pages\CommonAccount.aspx%3fsJump=1500-0080&amp;c.ChartCode=&amp;hAccount=&amp;hAccount2=&amp;DbCrd=Either&amp;AcTyp=Any&amp;RpTyp=Either" TargetMode="External"/><Relationship Id="rId462" Type="http://schemas.openxmlformats.org/officeDocument/2006/relationships/hyperlink" Target="file:///\\192.168.11.15\Elmdale-Root\Accounting\pages\CommonAccount.aspx%3fsJump=2640-0000&amp;c.ChartCode=&amp;hAccount=&amp;hAccount2=&amp;DbCrd=Either&amp;AcTyp=Any&amp;RpTyp=Either" TargetMode="External"/><Relationship Id="rId1092" Type="http://schemas.openxmlformats.org/officeDocument/2006/relationships/hyperlink" Target="file:///\\192.168.11.15\Elmdale-Root\Accounting\pages\CommonAccount.aspx%3fsJump=5590-0000&amp;c.ChartCode=&amp;hAccount=&amp;hAccount2=&amp;DbCrd=Either&amp;AcTyp=Any&amp;RpTyp=Either" TargetMode="External"/><Relationship Id="rId1106" Type="http://schemas.openxmlformats.org/officeDocument/2006/relationships/hyperlink" Target="file:///\\192.168.11.15\Elmdale-Root\Accounting\pages\CommonAccount.aspx%3fsJump=5770-1001&amp;c.ChartCode=&amp;hAccount=&amp;hAccount2=&amp;DbCrd=Either&amp;AcTyp=Any&amp;RpTyp=Either" TargetMode="External"/><Relationship Id="rId1313" Type="http://schemas.openxmlformats.org/officeDocument/2006/relationships/hyperlink" Target="file:///\\192.168.11.15\Elmdale-Root\Accounting\pages\CommonAccount.aspx%3fsJump=8590-0003&amp;c.ChartCode=&amp;hAccount=&amp;hAccount2=&amp;DbCrd=Either&amp;AcTyp=Any&amp;RpTyp=Either" TargetMode="External"/><Relationship Id="rId115" Type="http://schemas.openxmlformats.org/officeDocument/2006/relationships/hyperlink" Target="file:///\\192.168.11.15\Elmdale-Root\Accounting\pages\CommonAccount.aspx%3fsJump=1110-4921&amp;c.ChartCode=&amp;hAccount=&amp;hAccount2=&amp;DbCrd=Either&amp;AcTyp=Any&amp;RpTyp=Either" TargetMode="External"/><Relationship Id="rId322" Type="http://schemas.openxmlformats.org/officeDocument/2006/relationships/hyperlink" Target="file:///\\192.168.11.15\Elmdale-Root\Accounting\pages\CommonAccount.aspx%3fsJump=1700-9530&amp;c.ChartCode=&amp;hAccount=&amp;hAccount2=&amp;DbCrd=Either&amp;AcTyp=Any&amp;RpTyp=Either" TargetMode="External"/><Relationship Id="rId767" Type="http://schemas.openxmlformats.org/officeDocument/2006/relationships/hyperlink" Target="file:///\\192.168.11.15\Elmdale-Root\Accounting\pages\CommonAccount.aspx%3fsJump=3303-1560&amp;c.ChartCode=&amp;hAccount=&amp;hAccount2=&amp;DbCrd=Either&amp;AcTyp=Any&amp;RpTyp=Either" TargetMode="External"/><Relationship Id="rId974" Type="http://schemas.openxmlformats.org/officeDocument/2006/relationships/hyperlink" Target="file:///\\192.168.11.15\Elmdale-Root\Accounting\pages\CommonAccount.aspx%3fsJump=3303-2205&amp;c.ChartCode=&amp;hAccount=&amp;hAccount2=&amp;DbCrd=Either&amp;AcTyp=Any&amp;RpTyp=Either" TargetMode="External"/><Relationship Id="rId199" Type="http://schemas.openxmlformats.org/officeDocument/2006/relationships/hyperlink" Target="file:///\\192.168.11.15\Elmdale-Root\Accounting\pages\CommonAccount.aspx%3fsJump=1200-0009&amp;c.ChartCode=&amp;hAccount=&amp;hAccount2=&amp;DbCrd=Either&amp;AcTyp=Any&amp;RpTyp=Either" TargetMode="External"/><Relationship Id="rId627" Type="http://schemas.openxmlformats.org/officeDocument/2006/relationships/hyperlink" Target="file:///\\192.168.11.15\Elmdale-Root\Accounting\pages\CommonAccount.aspx%3fsJump=3006-1071&amp;c.ChartCode=&amp;hAccount=&amp;hAccount2=&amp;DbCrd=Either&amp;AcTyp=Any&amp;RpTyp=Either" TargetMode="External"/><Relationship Id="rId834" Type="http://schemas.openxmlformats.org/officeDocument/2006/relationships/hyperlink" Target="file:///\\192.168.11.15\Elmdale-Root\Accounting\pages\CommonAccount.aspx%3fsJump=3303-2065&amp;c.ChartCode=&amp;hAccount=&amp;hAccount2=&amp;DbCrd=Either&amp;AcTyp=Any&amp;RpTyp=Either" TargetMode="External"/><Relationship Id="rId1257" Type="http://schemas.openxmlformats.org/officeDocument/2006/relationships/hyperlink" Target="file:///\\192.168.11.15\Elmdale-Root\Accounting\pages\CommonAccount.aspx%3fsJump=8000-0010&amp;c.ChartCode=&amp;hAccount=&amp;hAccount2=&amp;DbCrd=Either&amp;AcTyp=Any&amp;RpTyp=Either" TargetMode="External"/><Relationship Id="rId266" Type="http://schemas.openxmlformats.org/officeDocument/2006/relationships/hyperlink" Target="file:///\\192.168.11.15\Elmdale-Root\Accounting\pages\CommonAccount.aspx%3fsJump=1600-0006&amp;c.ChartCode=&amp;hAccount=&amp;hAccount2=&amp;DbCrd=Either&amp;AcTyp=Any&amp;RpTyp=Either" TargetMode="External"/><Relationship Id="rId473" Type="http://schemas.openxmlformats.org/officeDocument/2006/relationships/hyperlink" Target="file:///\\192.168.11.15\Elmdale-Root\Accounting\pages\CommonAccount.aspx%3fsJump=3003-0100&amp;c.ChartCode=&amp;hAccount=&amp;hAccount2=&amp;DbCrd=Either&amp;AcTyp=Any&amp;RpTyp=Either" TargetMode="External"/><Relationship Id="rId680" Type="http://schemas.openxmlformats.org/officeDocument/2006/relationships/hyperlink" Target="file:///\\192.168.11.15\Elmdale-Root\Accounting\pages\CommonAccount.aspx%3fsJump=3066-0000&amp;c.ChartCode=&amp;hAccount=&amp;hAccount2=&amp;DbCrd=Either&amp;AcTyp=Any&amp;RpTyp=Either" TargetMode="External"/><Relationship Id="rId901" Type="http://schemas.openxmlformats.org/officeDocument/2006/relationships/hyperlink" Target="file:///\\192.168.11.15\Elmdale-Root\Accounting\pages\CommonAccount.aspx%3fsJump=3303-2132&amp;c.ChartCode=&amp;hAccount=&amp;hAccount2=&amp;DbCrd=Either&amp;AcTyp=Any&amp;RpTyp=Either" TargetMode="External"/><Relationship Id="rId1117" Type="http://schemas.openxmlformats.org/officeDocument/2006/relationships/hyperlink" Target="file:///\\192.168.11.15\Elmdale-Root\Accounting\pages\CommonAccount.aspx%3fsJump=6050-0000&amp;c.ChartCode=&amp;hAccount=&amp;hAccount2=&amp;DbCrd=Either&amp;AcTyp=Any&amp;RpTyp=Either" TargetMode="External"/><Relationship Id="rId1324" Type="http://schemas.openxmlformats.org/officeDocument/2006/relationships/hyperlink" Target="file:///\\192.168.11.15\Elmdale-Root\Accounting\pages\CommonAccount.aspx%3fsJump=9000-1004&amp;c.ChartCode=&amp;hAccount=&amp;hAccount2=&amp;DbCrd=Either&amp;AcTyp=Any&amp;RpTyp=Either" TargetMode="External"/><Relationship Id="rId30" Type="http://schemas.openxmlformats.org/officeDocument/2006/relationships/hyperlink" Target="file:///\\192.168.11.15\Elmdale-Root\Accounting\pages\CommonAccount.aspx%3fsJump=1110-1501&amp;c.ChartCode=&amp;hAccount=&amp;hAccount2=&amp;DbCrd=Either&amp;AcTyp=Any&amp;RpTyp=Either" TargetMode="External"/><Relationship Id="rId126" Type="http://schemas.openxmlformats.org/officeDocument/2006/relationships/hyperlink" Target="file:///\\192.168.11.15\Elmdale-Root\Accounting\pages\CommonAccount.aspx%3fsJump=1110-4941&amp;c.ChartCode=&amp;hAccount=&amp;hAccount2=&amp;DbCrd=Either&amp;AcTyp=Any&amp;RpTyp=Either" TargetMode="External"/><Relationship Id="rId333" Type="http://schemas.openxmlformats.org/officeDocument/2006/relationships/hyperlink" Target="file:///\\192.168.11.15\Elmdale-Root\Accounting\pages\CommonAccount.aspx%3fsJump=1900-0001&amp;c.ChartCode=&amp;hAccount=&amp;hAccount2=&amp;DbCrd=Either&amp;AcTyp=Any&amp;RpTyp=Either" TargetMode="External"/><Relationship Id="rId540" Type="http://schemas.openxmlformats.org/officeDocument/2006/relationships/hyperlink" Target="file:///\\192.168.11.15\Elmdale-Root\Accounting\pages\CommonAccount.aspx%3fsJump=3003-7001&amp;c.ChartCode=&amp;hAccount=&amp;hAccount2=&amp;DbCrd=Either&amp;AcTyp=Any&amp;RpTyp=Either" TargetMode="External"/><Relationship Id="rId778" Type="http://schemas.openxmlformats.org/officeDocument/2006/relationships/hyperlink" Target="file:///\\192.168.11.15\Elmdale-Root\Accounting\pages\CommonAccount.aspx%3fsJump=3303-2008&amp;c.ChartCode=&amp;hAccount=&amp;hAccount2=&amp;DbCrd=Either&amp;AcTyp=Any&amp;RpTyp=Either" TargetMode="External"/><Relationship Id="rId985" Type="http://schemas.openxmlformats.org/officeDocument/2006/relationships/hyperlink" Target="file:///\\192.168.11.15\Elmdale-Root\Accounting\pages\CommonAccount.aspx%3fsJump=3303-2216&amp;c.ChartCode=&amp;hAccount=&amp;hAccount2=&amp;DbCrd=Either&amp;AcTyp=Any&amp;RpTyp=Either" TargetMode="External"/><Relationship Id="rId1170" Type="http://schemas.openxmlformats.org/officeDocument/2006/relationships/hyperlink" Target="file:///\\192.168.11.15\Elmdale-Root\Accounting\pages\CommonAccount.aspx%3fsJump=6300-0000&amp;c.ChartCode=&amp;hAccount=&amp;hAccount2=&amp;DbCrd=Either&amp;AcTyp=Any&amp;RpTyp=Either" TargetMode="External"/><Relationship Id="rId638" Type="http://schemas.openxmlformats.org/officeDocument/2006/relationships/hyperlink" Target="file:///\\192.168.11.15\Elmdale-Root\Accounting\pages\CommonAccount.aspx%3fsJump=3011-0000&amp;c.ChartCode=&amp;hAccount=&amp;hAccount2=&amp;DbCrd=Either&amp;AcTyp=Any&amp;RpTyp=Either" TargetMode="External"/><Relationship Id="rId845" Type="http://schemas.openxmlformats.org/officeDocument/2006/relationships/hyperlink" Target="file:///\\192.168.11.15\Elmdale-Root\Accounting\pages\CommonAccount.aspx%3fsJump=3303-2076&amp;c.ChartCode=&amp;hAccount=&amp;hAccount2=&amp;DbCrd=Either&amp;AcTyp=Any&amp;RpTyp=Either" TargetMode="External"/><Relationship Id="rId1030" Type="http://schemas.openxmlformats.org/officeDocument/2006/relationships/hyperlink" Target="file:///\\192.168.11.15\Elmdale-Root\Accounting\pages\CommonAccount.aspx%3fsJump=4710-0005&amp;c.ChartCode=&amp;hAccount=&amp;hAccount2=&amp;DbCrd=Either&amp;AcTyp=Any&amp;RpTyp=Either" TargetMode="External"/><Relationship Id="rId1268" Type="http://schemas.openxmlformats.org/officeDocument/2006/relationships/hyperlink" Target="file:///\\192.168.11.15\Elmdale-Root\Accounting\pages\CommonAccount.aspx%3fsJump=8179-9999&amp;c.ChartCode=&amp;hAccount=&amp;hAccount2=&amp;DbCrd=Either&amp;AcTyp=Any&amp;RpTyp=Either" TargetMode="External"/><Relationship Id="rId277" Type="http://schemas.openxmlformats.org/officeDocument/2006/relationships/hyperlink" Target="file:///\\192.168.11.15\Elmdale-Root\Accounting\pages\CommonAccount.aspx%3fsJump=1600-0020&amp;c.ChartCode=&amp;hAccount=&amp;hAccount2=&amp;DbCrd=Either&amp;AcTyp=Any&amp;RpTyp=Either" TargetMode="External"/><Relationship Id="rId400" Type="http://schemas.openxmlformats.org/officeDocument/2006/relationships/hyperlink" Target="file:///\\192.168.11.15\Elmdale-Root\Accounting\pages\CommonAccount.aspx%3fsJump=2220-0000&amp;c.ChartCode=&amp;hAccount=&amp;hAccount2=&amp;DbCrd=Either&amp;AcTyp=Any&amp;RpTyp=Either" TargetMode="External"/><Relationship Id="rId484" Type="http://schemas.openxmlformats.org/officeDocument/2006/relationships/hyperlink" Target="file:///\\192.168.11.15\Elmdale-Root\Accounting\pages\CommonAccount.aspx%3fsJump=3003-1003&amp;c.ChartCode=&amp;hAccount=&amp;hAccount2=&amp;DbCrd=Either&amp;AcTyp=Any&amp;RpTyp=Either" TargetMode="External"/><Relationship Id="rId705" Type="http://schemas.openxmlformats.org/officeDocument/2006/relationships/hyperlink" Target="file:///\\192.168.11.15\Elmdale-Root\Accounting\pages\CommonAccount.aspx%3fsJump=3303-1412&amp;c.ChartCode=&amp;hAccount=&amp;hAccount2=&amp;DbCrd=Either&amp;AcTyp=Any&amp;RpTyp=Either" TargetMode="External"/><Relationship Id="rId1128" Type="http://schemas.openxmlformats.org/officeDocument/2006/relationships/hyperlink" Target="file:///\\192.168.11.15\Elmdale-Root\Accounting\pages\CommonAccount.aspx%3fsJump=6110-0000&amp;c.ChartCode=&amp;hAccount=&amp;hAccount2=&amp;DbCrd=Either&amp;AcTyp=Any&amp;RpTyp=Either" TargetMode="External"/><Relationship Id="rId137" Type="http://schemas.openxmlformats.org/officeDocument/2006/relationships/hyperlink" Target="file:///\\192.168.11.15\Elmdale-Root\Accounting\pages\CommonAccount.aspx%3fsJump=1110-4952&amp;c.ChartCode=&amp;hAccount=&amp;hAccount2=&amp;DbCrd=Either&amp;AcTyp=Any&amp;RpTyp=Either" TargetMode="External"/><Relationship Id="rId344" Type="http://schemas.openxmlformats.org/officeDocument/2006/relationships/hyperlink" Target="file:///\\192.168.11.15\Elmdale-Root\Accounting\pages\CommonAccount.aspx%3fsJump=1900-1010&amp;c.ChartCode=&amp;hAccount=&amp;hAccount2=&amp;DbCrd=Either&amp;AcTyp=Any&amp;RpTyp=Either" TargetMode="External"/><Relationship Id="rId691" Type="http://schemas.openxmlformats.org/officeDocument/2006/relationships/hyperlink" Target="file:///\\192.168.11.15\Elmdale-Root\Accounting\pages\CommonAccount.aspx%3fsJump=3090-0000&amp;c.ChartCode=&amp;hAccount=&amp;hAccount2=&amp;DbCrd=Either&amp;AcTyp=Any&amp;RpTyp=Either" TargetMode="External"/><Relationship Id="rId789" Type="http://schemas.openxmlformats.org/officeDocument/2006/relationships/hyperlink" Target="file:///\\192.168.11.15\Elmdale-Root\Accounting\pages\CommonAccount.aspx%3fsJump=3303-2020&amp;c.ChartCode=&amp;hAccount=&amp;hAccount2=&amp;DbCrd=Either&amp;AcTyp=Any&amp;RpTyp=Either" TargetMode="External"/><Relationship Id="rId912" Type="http://schemas.openxmlformats.org/officeDocument/2006/relationships/hyperlink" Target="file:///\\192.168.11.15\Elmdale-Root\Accounting\pages\CommonAccount.aspx%3fsJump=3303-2143&amp;c.ChartCode=&amp;hAccount=&amp;hAccount2=&amp;DbCrd=Either&amp;AcTyp=Any&amp;RpTyp=Either" TargetMode="External"/><Relationship Id="rId996" Type="http://schemas.openxmlformats.org/officeDocument/2006/relationships/hyperlink" Target="file:///\\192.168.11.15\Elmdale-Root\Accounting\pages\CommonAccount.aspx%3fsJump=3400-0000&amp;c.ChartCode=&amp;hAccount=&amp;hAccount2=&amp;DbCrd=Either&amp;AcTyp=Any&amp;RpTyp=Either" TargetMode="External"/><Relationship Id="rId41" Type="http://schemas.openxmlformats.org/officeDocument/2006/relationships/hyperlink" Target="file:///\\192.168.11.15\Elmdale-Root\Accounting\pages\CommonAccount.aspx%3fsJump=1110-1512&amp;c.ChartCode=&amp;hAccount=&amp;hAccount2=&amp;DbCrd=Either&amp;AcTyp=Any&amp;RpTyp=Either" TargetMode="External"/><Relationship Id="rId551" Type="http://schemas.openxmlformats.org/officeDocument/2006/relationships/hyperlink" Target="file:///\\192.168.11.15\Elmdale-Root\Accounting\pages\CommonAccount.aspx%3fsJump=3004-0000&amp;c.ChartCode=&amp;hAccount=&amp;hAccount2=&amp;DbCrd=Either&amp;AcTyp=Any&amp;RpTyp=Either" TargetMode="External"/><Relationship Id="rId649" Type="http://schemas.openxmlformats.org/officeDocument/2006/relationships/hyperlink" Target="file:///\\192.168.11.15\Elmdale-Root\Accounting\pages\CommonAccount.aspx%3fsJump=3020-0000&amp;c.ChartCode=&amp;hAccount=&amp;hAccount2=&amp;DbCrd=Either&amp;AcTyp=Any&amp;RpTyp=Either" TargetMode="External"/><Relationship Id="rId856" Type="http://schemas.openxmlformats.org/officeDocument/2006/relationships/hyperlink" Target="file:///\\192.168.11.15\Elmdale-Root\Accounting\pages\CommonAccount.aspx%3fsJump=3303-2087&amp;c.ChartCode=&amp;hAccount=&amp;hAccount2=&amp;DbCrd=Either&amp;AcTyp=Any&amp;RpTyp=Either" TargetMode="External"/><Relationship Id="rId1181" Type="http://schemas.openxmlformats.org/officeDocument/2006/relationships/hyperlink" Target="file:///\\192.168.11.15\Elmdale-Root\Accounting\pages\CommonAccount.aspx%3fsJump=6400-0020&amp;c.ChartCode=&amp;hAccount=&amp;hAccount2=&amp;DbCrd=Either&amp;AcTyp=Any&amp;RpTyp=Either" TargetMode="External"/><Relationship Id="rId1279" Type="http://schemas.openxmlformats.org/officeDocument/2006/relationships/hyperlink" Target="file:///\\192.168.11.15\Elmdale-Root\Accounting\pages\CommonAccount.aspx%3fsJump=8180-0013&amp;c.ChartCode=&amp;hAccount=&amp;hAccount2=&amp;DbCrd=Either&amp;AcTyp=Any&amp;RpTyp=Either" TargetMode="External"/><Relationship Id="rId190" Type="http://schemas.openxmlformats.org/officeDocument/2006/relationships/hyperlink" Target="file:///\\192.168.11.15\Elmdale-Root\Accounting\pages\CommonAccount.aspx%3fsJump=1200-0000&amp;c.ChartCode=&amp;hAccount=&amp;hAccount2=&amp;DbCrd=Either&amp;AcTyp=Any&amp;RpTyp=Either" TargetMode="External"/><Relationship Id="rId204" Type="http://schemas.openxmlformats.org/officeDocument/2006/relationships/hyperlink" Target="file:///\\192.168.11.15\Elmdale-Root\Accounting\pages\CommonAccount.aspx%3fsJump=1350-0002&amp;c.ChartCode=&amp;hAccount=&amp;hAccount2=&amp;DbCrd=Either&amp;AcTyp=Any&amp;RpTyp=Either" TargetMode="External"/><Relationship Id="rId288" Type="http://schemas.openxmlformats.org/officeDocument/2006/relationships/hyperlink" Target="file:///\\192.168.11.15\Elmdale-Root\Accounting\pages\CommonAccount.aspx%3fsJump=1600-0040&amp;c.ChartCode=&amp;hAccount=&amp;hAccount2=&amp;DbCrd=Either&amp;AcTyp=Any&amp;RpTyp=Either" TargetMode="External"/><Relationship Id="rId411" Type="http://schemas.openxmlformats.org/officeDocument/2006/relationships/hyperlink" Target="file:///\\192.168.11.15\Elmdale-Root\Accounting\pages\CommonAccount.aspx%3fsJump=2270-0000&amp;c.ChartCode=&amp;hAccount=&amp;hAccount2=&amp;DbCrd=Either&amp;AcTyp=Any&amp;RpTyp=Either" TargetMode="External"/><Relationship Id="rId509" Type="http://schemas.openxmlformats.org/officeDocument/2006/relationships/hyperlink" Target="file:///\\192.168.11.15\Elmdale-Root\Accounting\pages\CommonAccount.aspx%3fsJump=3003-1700&amp;c.ChartCode=&amp;hAccount=&amp;hAccount2=&amp;DbCrd=Either&amp;AcTyp=Any&amp;RpTyp=Either" TargetMode="External"/><Relationship Id="rId1041" Type="http://schemas.openxmlformats.org/officeDocument/2006/relationships/hyperlink" Target="file:///\\192.168.11.15\Elmdale-Root\Accounting\pages\CommonAccount.aspx%3fsJump=5000-0001&amp;c.ChartCode=&amp;hAccount=&amp;hAccount2=&amp;DbCrd=Either&amp;AcTyp=Any&amp;RpTyp=Either" TargetMode="External"/><Relationship Id="rId1139" Type="http://schemas.openxmlformats.org/officeDocument/2006/relationships/hyperlink" Target="file:///\\192.168.11.15\Elmdale-Root\Accounting\pages\CommonAccount.aspx%3fsJump=6110-0045&amp;c.ChartCode=&amp;hAccount=&amp;hAccount2=&amp;DbCrd=Either&amp;AcTyp=Any&amp;RpTyp=Either" TargetMode="External"/><Relationship Id="rId495" Type="http://schemas.openxmlformats.org/officeDocument/2006/relationships/hyperlink" Target="file:///\\192.168.11.15\Elmdale-Root\Accounting\pages\CommonAccount.aspx%3fsJump=3003-1302&amp;c.ChartCode=&amp;hAccount=&amp;hAccount2=&amp;DbCrd=Either&amp;AcTyp=Any&amp;RpTyp=Either" TargetMode="External"/><Relationship Id="rId716" Type="http://schemas.openxmlformats.org/officeDocument/2006/relationships/hyperlink" Target="file:///\\192.168.11.15\Elmdale-Root\Accounting\pages\CommonAccount.aspx%3fsJump=3303-1441&amp;c.ChartCode=&amp;hAccount=&amp;hAccount2=&amp;DbCrd=Either&amp;AcTyp=Any&amp;RpTyp=Either" TargetMode="External"/><Relationship Id="rId923" Type="http://schemas.openxmlformats.org/officeDocument/2006/relationships/hyperlink" Target="file:///\\192.168.11.15\Elmdale-Root\Accounting\pages\CommonAccount.aspx%3fsJump=3303-2154&amp;c.ChartCode=&amp;hAccount=&amp;hAccount2=&amp;DbCrd=Either&amp;AcTyp=Any&amp;RpTyp=Either" TargetMode="External"/><Relationship Id="rId52" Type="http://schemas.openxmlformats.org/officeDocument/2006/relationships/hyperlink" Target="file:///\\192.168.11.15\Elmdale-Root\Accounting\pages\CommonAccount.aspx%3fsJump=1110-1523&amp;c.ChartCode=&amp;hAccount=&amp;hAccount2=&amp;DbCrd=Either&amp;AcTyp=Any&amp;RpTyp=Either" TargetMode="External"/><Relationship Id="rId148" Type="http://schemas.openxmlformats.org/officeDocument/2006/relationships/hyperlink" Target="file:///\\192.168.11.15\Elmdale-Root\Accounting\pages\CommonAccount.aspx%3fsJump=1110-4964&amp;c.ChartCode=&amp;hAccount=&amp;hAccount2=&amp;DbCrd=Either&amp;AcTyp=Any&amp;RpTyp=Either" TargetMode="External"/><Relationship Id="rId355" Type="http://schemas.openxmlformats.org/officeDocument/2006/relationships/hyperlink" Target="file:///\\192.168.11.15\Elmdale-Root\Accounting\pages\CommonAccount.aspx%3fsJump=2000-0000&amp;c.ChartCode=&amp;hAccount=&amp;hAccount2=&amp;DbCrd=Either&amp;AcTyp=Any&amp;RpTyp=Either" TargetMode="External"/><Relationship Id="rId562" Type="http://schemas.openxmlformats.org/officeDocument/2006/relationships/hyperlink" Target="file:///\\192.168.11.15\Elmdale-Root\Accounting\pages\CommonAccount.aspx%3fsJump=3006-1006&amp;c.ChartCode=&amp;hAccount=&amp;hAccount2=&amp;DbCrd=Either&amp;AcTyp=Any&amp;RpTyp=Either" TargetMode="External"/><Relationship Id="rId1192" Type="http://schemas.openxmlformats.org/officeDocument/2006/relationships/hyperlink" Target="file:///\\192.168.11.15\Elmdale-Root\Accounting\pages\CommonAccount.aspx%3fsJump=6450-0020&amp;c.ChartCode=&amp;hAccount=&amp;hAccount2=&amp;DbCrd=Either&amp;AcTyp=Any&amp;RpTyp=Either" TargetMode="External"/><Relationship Id="rId1206" Type="http://schemas.openxmlformats.org/officeDocument/2006/relationships/hyperlink" Target="file:///\\192.168.11.15\Elmdale-Root\Accounting\pages\CommonAccount.aspx%3fsJump=6470-0000&amp;c.ChartCode=&amp;hAccount=&amp;hAccount2=&amp;DbCrd=Either&amp;AcTyp=Any&amp;RpTyp=Either" TargetMode="External"/><Relationship Id="rId215" Type="http://schemas.openxmlformats.org/officeDocument/2006/relationships/hyperlink" Target="file:///\\192.168.11.15\Elmdale-Root\Accounting\pages\CommonAccount.aspx%3fsJump=1410-0000&amp;c.ChartCode=&amp;hAccount=&amp;hAccount2=&amp;DbCrd=Either&amp;AcTyp=Any&amp;RpTyp=Either" TargetMode="External"/><Relationship Id="rId422" Type="http://schemas.openxmlformats.org/officeDocument/2006/relationships/hyperlink" Target="file:///\\192.168.11.15\Elmdale-Root\Accounting\pages\CommonAccount.aspx%3fsJump=2305-1001&amp;c.ChartCode=&amp;hAccount=&amp;hAccount2=&amp;DbCrd=Either&amp;AcTyp=Any&amp;RpTyp=Either" TargetMode="External"/><Relationship Id="rId867" Type="http://schemas.openxmlformats.org/officeDocument/2006/relationships/hyperlink" Target="file:///\\192.168.11.15\Elmdale-Root\Accounting\pages\CommonAccount.aspx%3fsJump=3303-2098&amp;c.ChartCode=&amp;hAccount=&amp;hAccount2=&amp;DbCrd=Either&amp;AcTyp=Any&amp;RpTyp=Either" TargetMode="External"/><Relationship Id="rId1052" Type="http://schemas.openxmlformats.org/officeDocument/2006/relationships/hyperlink" Target="file:///\\192.168.11.15\Elmdale-Root\Accounting\pages\CommonAccount.aspx%3fsJump=5212-0000&amp;c.ChartCode=&amp;hAccount=&amp;hAccount2=&amp;DbCrd=Either&amp;AcTyp=Any&amp;RpTyp=Either" TargetMode="External"/><Relationship Id="rId299" Type="http://schemas.openxmlformats.org/officeDocument/2006/relationships/hyperlink" Target="file:///\\192.168.11.15\Elmdale-Root\Accounting\pages\CommonAccount.aspx%3fsJump=1600-1000&amp;c.ChartCode=&amp;hAccount=&amp;hAccount2=&amp;DbCrd=Either&amp;AcTyp=Any&amp;RpTyp=Either" TargetMode="External"/><Relationship Id="rId727" Type="http://schemas.openxmlformats.org/officeDocument/2006/relationships/hyperlink" Target="file:///\\192.168.11.15\Elmdale-Root\Accounting\pages\CommonAccount.aspx%3fsJump=3303-1470&amp;c.ChartCode=&amp;hAccount=&amp;hAccount2=&amp;DbCrd=Either&amp;AcTyp=Any&amp;RpTyp=Either" TargetMode="External"/><Relationship Id="rId934" Type="http://schemas.openxmlformats.org/officeDocument/2006/relationships/hyperlink" Target="file:///\\192.168.11.15\Elmdale-Root\Accounting\pages\CommonAccount.aspx%3fsJump=3303-2165&amp;c.ChartCode=&amp;hAccount=&amp;hAccount2=&amp;DbCrd=Either&amp;AcTyp=Any&amp;RpTyp=Either" TargetMode="External"/><Relationship Id="rId63" Type="http://schemas.openxmlformats.org/officeDocument/2006/relationships/hyperlink" Target="file:///\\192.168.11.15\Elmdale-Root\Accounting\pages\CommonAccount.aspx%3fsJump=1110-1553&amp;c.ChartCode=&amp;hAccount=&amp;hAccount2=&amp;DbCrd=Either&amp;AcTyp=Any&amp;RpTyp=Either" TargetMode="External"/><Relationship Id="rId159" Type="http://schemas.openxmlformats.org/officeDocument/2006/relationships/hyperlink" Target="file:///\\192.168.11.15\Elmdale-Root\Accounting\pages\CommonAccount.aspx%3fsJump=1110-4975&amp;c.ChartCode=&amp;hAccount=&amp;hAccount2=&amp;DbCrd=Either&amp;AcTyp=Any&amp;RpTyp=Either" TargetMode="External"/><Relationship Id="rId366" Type="http://schemas.openxmlformats.org/officeDocument/2006/relationships/hyperlink" Target="file:///\\192.168.11.15\Elmdale-Root\Accounting\pages\CommonAccount.aspx%3fsJump=2130-0000&amp;c.ChartCode=&amp;hAccount=&amp;hAccount2=&amp;DbCrd=Either&amp;AcTyp=Any&amp;RpTyp=Either" TargetMode="External"/><Relationship Id="rId573" Type="http://schemas.openxmlformats.org/officeDocument/2006/relationships/hyperlink" Target="file:///\\192.168.11.15\Elmdale-Root\Accounting\pages\CommonAccount.aspx%3fsJump=3006-1017&amp;c.ChartCode=&amp;hAccount=&amp;hAccount2=&amp;DbCrd=Either&amp;AcTyp=Any&amp;RpTyp=Either" TargetMode="External"/><Relationship Id="rId780" Type="http://schemas.openxmlformats.org/officeDocument/2006/relationships/hyperlink" Target="file:///\\192.168.11.15\Elmdale-Root\Accounting\pages\CommonAccount.aspx%3fsJump=3303-2010&amp;c.ChartCode=&amp;hAccount=&amp;hAccount2=&amp;DbCrd=Either&amp;AcTyp=Any&amp;RpTyp=Either" TargetMode="External"/><Relationship Id="rId1217" Type="http://schemas.openxmlformats.org/officeDocument/2006/relationships/hyperlink" Target="file:///\\192.168.11.15\Elmdale-Root\Accounting\pages\CommonAccount.aspx%3fsJump=7000-0026&amp;c.ChartCode=&amp;hAccount=&amp;hAccount2=&amp;DbCrd=Either&amp;AcTyp=Any&amp;RpTyp=Either" TargetMode="External"/><Relationship Id="rId226" Type="http://schemas.openxmlformats.org/officeDocument/2006/relationships/hyperlink" Target="file:///\\192.168.11.15\Elmdale-Root\Accounting\pages\CommonAccount.aspx%3fsJump=1418-0000&amp;c.ChartCode=&amp;hAccount=&amp;hAccount2=&amp;DbCrd=Either&amp;AcTyp=Any&amp;RpTyp=Either" TargetMode="External"/><Relationship Id="rId433" Type="http://schemas.openxmlformats.org/officeDocument/2006/relationships/hyperlink" Target="file:///\\192.168.11.15\Elmdale-Root\Accounting\pages\CommonAccount.aspx%3fsJump=2305-5601&amp;c.ChartCode=&amp;hAccount=&amp;hAccount2=&amp;DbCrd=Either&amp;AcTyp=Any&amp;RpTyp=Either" TargetMode="External"/><Relationship Id="rId878" Type="http://schemas.openxmlformats.org/officeDocument/2006/relationships/hyperlink" Target="file:///\\192.168.11.15\Elmdale-Root\Accounting\pages\CommonAccount.aspx%3fsJump=3303-2109&amp;c.ChartCode=&amp;hAccount=&amp;hAccount2=&amp;DbCrd=Either&amp;AcTyp=Any&amp;RpTyp=Either" TargetMode="External"/><Relationship Id="rId1063" Type="http://schemas.openxmlformats.org/officeDocument/2006/relationships/hyperlink" Target="file:///\\192.168.11.15\Elmdale-Root\Accounting\pages\CommonAccount.aspx%3fsJump=5280-0000&amp;c.ChartCode=&amp;hAccount=&amp;hAccount2=&amp;DbCrd=Either&amp;AcTyp=Any&amp;RpTyp=Either" TargetMode="External"/><Relationship Id="rId1270" Type="http://schemas.openxmlformats.org/officeDocument/2006/relationships/hyperlink" Target="file:///\\192.168.11.15\Elmdale-Root\Accounting\pages\CommonAccount.aspx%3fsJump=8180-0001&amp;c.ChartCode=&amp;hAccount=&amp;hAccount2=&amp;DbCrd=Either&amp;AcTyp=Any&amp;RpTyp=Either" TargetMode="External"/><Relationship Id="rId640" Type="http://schemas.openxmlformats.org/officeDocument/2006/relationships/hyperlink" Target="file:///\\192.168.11.15\Elmdale-Root\Accounting\pages\CommonAccount.aspx%3fsJump=3013-1000&amp;c.ChartCode=&amp;hAccount=&amp;hAccount2=&amp;DbCrd=Either&amp;AcTyp=Any&amp;RpTyp=Either" TargetMode="External"/><Relationship Id="rId738" Type="http://schemas.openxmlformats.org/officeDocument/2006/relationships/hyperlink" Target="file:///\\192.168.11.15\Elmdale-Root\Accounting\pages\CommonAccount.aspx%3fsJump=3303-1493&amp;c.ChartCode=&amp;hAccount=&amp;hAccount2=&amp;DbCrd=Either&amp;AcTyp=Any&amp;RpTyp=Either" TargetMode="External"/><Relationship Id="rId945" Type="http://schemas.openxmlformats.org/officeDocument/2006/relationships/hyperlink" Target="file:///\\192.168.11.15\Elmdale-Root\Accounting\pages\CommonAccount.aspx%3fsJump=3303-2176&amp;c.ChartCode=&amp;hAccount=&amp;hAccount2=&amp;DbCrd=Either&amp;AcTyp=Any&amp;RpTyp=Either" TargetMode="External"/><Relationship Id="rId74" Type="http://schemas.openxmlformats.org/officeDocument/2006/relationships/hyperlink" Target="file:///\\192.168.11.15\Elmdale-Root\Accounting\pages\CommonAccount.aspx%3fsJump=1110-3012&amp;c.ChartCode=&amp;hAccount=&amp;hAccount2=&amp;DbCrd=Either&amp;AcTyp=Any&amp;RpTyp=Either" TargetMode="External"/><Relationship Id="rId377" Type="http://schemas.openxmlformats.org/officeDocument/2006/relationships/hyperlink" Target="file:///\\192.168.11.15\Elmdale-Root\Accounting\pages\CommonAccount.aspx%3fsJump=2150-0006&amp;c.ChartCode=&amp;hAccount=&amp;hAccount2=&amp;DbCrd=Either&amp;AcTyp=Any&amp;RpTyp=Either" TargetMode="External"/><Relationship Id="rId500" Type="http://schemas.openxmlformats.org/officeDocument/2006/relationships/hyperlink" Target="file:///\\192.168.11.15\Elmdale-Root\Accounting\pages\CommonAccount.aspx%3fsJump=3003-1403&amp;c.ChartCode=&amp;hAccount=&amp;hAccount2=&amp;DbCrd=Either&amp;AcTyp=Any&amp;RpTyp=Either" TargetMode="External"/><Relationship Id="rId584" Type="http://schemas.openxmlformats.org/officeDocument/2006/relationships/hyperlink" Target="file:///\\192.168.11.15\Elmdale-Root\Accounting\pages\CommonAccount.aspx%3fsJump=3006-1028&amp;c.ChartCode=&amp;hAccount=&amp;hAccount2=&amp;DbCrd=Either&amp;AcTyp=Any&amp;RpTyp=Either" TargetMode="External"/><Relationship Id="rId805" Type="http://schemas.openxmlformats.org/officeDocument/2006/relationships/hyperlink" Target="file:///\\192.168.11.15\Elmdale-Root\Accounting\pages\CommonAccount.aspx%3fsJump=3303-2036&amp;c.ChartCode=&amp;hAccount=&amp;hAccount2=&amp;DbCrd=Either&amp;AcTyp=Any&amp;RpTyp=Either" TargetMode="External"/><Relationship Id="rId1130" Type="http://schemas.openxmlformats.org/officeDocument/2006/relationships/hyperlink" Target="file:///\\192.168.11.15\Elmdale-Root\Accounting\pages\CommonAccount.aspx%3fsJump=6110-0006&amp;c.ChartCode=&amp;hAccount=&amp;hAccount2=&amp;DbCrd=Either&amp;AcTyp=Any&amp;RpTyp=Either" TargetMode="External"/><Relationship Id="rId1228" Type="http://schemas.openxmlformats.org/officeDocument/2006/relationships/hyperlink" Target="file:///\\192.168.11.15\Elmdale-Root\Accounting\pages\CommonAccount.aspx%3fsJump=7000-0070&amp;c.ChartCode=&amp;hAccount=&amp;hAccount2=&amp;DbCrd=Either&amp;AcTyp=Any&amp;RpTyp=Either" TargetMode="External"/><Relationship Id="rId5" Type="http://schemas.openxmlformats.org/officeDocument/2006/relationships/hyperlink" Target="file:///\\192.168.11.15\Elmdale-Root\Accounting\pages\CommonAccount.aspx%3fsJump=1110-0000&amp;c.ChartCode=&amp;hAccount=&amp;hAccount2=&amp;DbCrd=Either&amp;AcTyp=Any&amp;RpTyp=Either" TargetMode="External"/><Relationship Id="rId237" Type="http://schemas.openxmlformats.org/officeDocument/2006/relationships/hyperlink" Target="file:///\\192.168.11.15\Elmdale-Root\Accounting\pages\CommonAccount.aspx%3fsJump=1500-0020&amp;c.ChartCode=&amp;hAccount=&amp;hAccount2=&amp;DbCrd=Either&amp;AcTyp=Any&amp;RpTyp=Either" TargetMode="External"/><Relationship Id="rId791" Type="http://schemas.openxmlformats.org/officeDocument/2006/relationships/hyperlink" Target="file:///\\192.168.11.15\Elmdale-Root\Accounting\pages\CommonAccount.aspx%3fsJump=3303-2022&amp;c.ChartCode=&amp;hAccount=&amp;hAccount2=&amp;DbCrd=Either&amp;AcTyp=Any&amp;RpTyp=Either" TargetMode="External"/><Relationship Id="rId889" Type="http://schemas.openxmlformats.org/officeDocument/2006/relationships/hyperlink" Target="file:///\\192.168.11.15\Elmdale-Root\Accounting\pages\CommonAccount.aspx%3fsJump=3303-2120&amp;c.ChartCode=&amp;hAccount=&amp;hAccount2=&amp;DbCrd=Either&amp;AcTyp=Any&amp;RpTyp=Either" TargetMode="External"/><Relationship Id="rId1074" Type="http://schemas.openxmlformats.org/officeDocument/2006/relationships/hyperlink" Target="file:///\\192.168.11.15\Elmdale-Root\Accounting\pages\CommonAccount.aspx%3fsJump=5420-0000&amp;c.ChartCode=&amp;hAccount=&amp;hAccount2=&amp;DbCrd=Either&amp;AcTyp=Any&amp;RpTyp=Either" TargetMode="External"/><Relationship Id="rId444" Type="http://schemas.openxmlformats.org/officeDocument/2006/relationships/hyperlink" Target="file:///\\192.168.11.15\Elmdale-Root\Accounting\pages\CommonAccount.aspx%3fsJump=2309-0000&amp;c.ChartCode=&amp;hAccount=&amp;hAccount2=&amp;DbCrd=Either&amp;AcTyp=Any&amp;RpTyp=Either" TargetMode="External"/><Relationship Id="rId651" Type="http://schemas.openxmlformats.org/officeDocument/2006/relationships/hyperlink" Target="file:///\\192.168.11.15\Elmdale-Root\Accounting\pages\CommonAccount.aspx%3fsJump=3022-0000&amp;c.ChartCode=&amp;hAccount=&amp;hAccount2=&amp;DbCrd=Either&amp;AcTyp=Any&amp;RpTyp=Either" TargetMode="External"/><Relationship Id="rId749" Type="http://schemas.openxmlformats.org/officeDocument/2006/relationships/hyperlink" Target="file:///\\192.168.11.15\Elmdale-Root\Accounting\pages\CommonAccount.aspx%3fsJump=3303-1517&amp;c.ChartCode=&amp;hAccount=&amp;hAccount2=&amp;DbCrd=Either&amp;AcTyp=Any&amp;RpTyp=Either" TargetMode="External"/><Relationship Id="rId1281" Type="http://schemas.openxmlformats.org/officeDocument/2006/relationships/hyperlink" Target="file:///\\192.168.11.15\Elmdale-Root\Accounting\pages\CommonAccount.aspx%3fsJump=8180-0015&amp;c.ChartCode=&amp;hAccount=&amp;hAccount2=&amp;DbCrd=Either&amp;AcTyp=Any&amp;RpTyp=Either" TargetMode="External"/><Relationship Id="rId290" Type="http://schemas.openxmlformats.org/officeDocument/2006/relationships/hyperlink" Target="file:///\\192.168.11.15\Elmdale-Root\Accounting\pages\CommonAccount.aspx%3fsJump=1600-0042&amp;c.ChartCode=&amp;hAccount=&amp;hAccount2=&amp;DbCrd=Either&amp;AcTyp=Any&amp;RpTyp=Either" TargetMode="External"/><Relationship Id="rId304" Type="http://schemas.openxmlformats.org/officeDocument/2006/relationships/hyperlink" Target="file:///\\192.168.11.15\Elmdale-Root\Accounting\pages\CommonAccount.aspx%3fsJump=1600-1005&amp;c.ChartCode=&amp;hAccount=&amp;hAccount2=&amp;DbCrd=Either&amp;AcTyp=Any&amp;RpTyp=Either" TargetMode="External"/><Relationship Id="rId388" Type="http://schemas.openxmlformats.org/officeDocument/2006/relationships/hyperlink" Target="file:///\\192.168.11.15\Elmdale-Root\Accounting\pages\CommonAccount.aspx%3fsJump=2150-0017&amp;c.ChartCode=&amp;hAccount=&amp;hAccount2=&amp;DbCrd=Either&amp;AcTyp=Any&amp;RpTyp=Either" TargetMode="External"/><Relationship Id="rId511" Type="http://schemas.openxmlformats.org/officeDocument/2006/relationships/hyperlink" Target="file:///\\192.168.11.15\Elmdale-Root\Accounting\pages\CommonAccount.aspx%3fsJump=3003-1702&amp;c.ChartCode=&amp;hAccount=&amp;hAccount2=&amp;DbCrd=Either&amp;AcTyp=Any&amp;RpTyp=Either" TargetMode="External"/><Relationship Id="rId609" Type="http://schemas.openxmlformats.org/officeDocument/2006/relationships/hyperlink" Target="file:///\\192.168.11.15\Elmdale-Root\Accounting\pages\CommonAccount.aspx%3fsJump=3006-1053&amp;c.ChartCode=&amp;hAccount=&amp;hAccount2=&amp;DbCrd=Either&amp;AcTyp=Any&amp;RpTyp=Either" TargetMode="External"/><Relationship Id="rId956" Type="http://schemas.openxmlformats.org/officeDocument/2006/relationships/hyperlink" Target="file:///\\192.168.11.15\Elmdale-Root\Accounting\pages\CommonAccount.aspx%3fsJump=3303-2187&amp;c.ChartCode=&amp;hAccount=&amp;hAccount2=&amp;DbCrd=Either&amp;AcTyp=Any&amp;RpTyp=Either" TargetMode="External"/><Relationship Id="rId1141" Type="http://schemas.openxmlformats.org/officeDocument/2006/relationships/hyperlink" Target="file:///\\192.168.11.15\Elmdale-Root\Accounting\pages\CommonAccount.aspx%3fsJump=6110-0085&amp;c.ChartCode=&amp;hAccount=&amp;hAccount2=&amp;DbCrd=Either&amp;AcTyp=Any&amp;RpTyp=Either" TargetMode="External"/><Relationship Id="rId1239" Type="http://schemas.openxmlformats.org/officeDocument/2006/relationships/hyperlink" Target="file:///\\192.168.11.15\Elmdale-Root\Accounting\pages\CommonAccount.aspx%3fsJump=7310-0000&amp;c.ChartCode=&amp;hAccount=&amp;hAccount2=&amp;DbCrd=Either&amp;AcTyp=Any&amp;RpTyp=Either" TargetMode="External"/><Relationship Id="rId85" Type="http://schemas.openxmlformats.org/officeDocument/2006/relationships/hyperlink" Target="file:///\\192.168.11.15\Elmdale-Root\Accounting\pages\CommonAccount.aspx%3fsJump=1110-4000&amp;c.ChartCode=&amp;hAccount=&amp;hAccount2=&amp;DbCrd=Either&amp;AcTyp=Any&amp;RpTyp=Either" TargetMode="External"/><Relationship Id="rId150" Type="http://schemas.openxmlformats.org/officeDocument/2006/relationships/hyperlink" Target="file:///\\192.168.11.15\Elmdale-Root\Accounting\pages\CommonAccount.aspx%3fsJump=1110-4966&amp;c.ChartCode=&amp;hAccount=&amp;hAccount2=&amp;DbCrd=Either&amp;AcTyp=Any&amp;RpTyp=Either" TargetMode="External"/><Relationship Id="rId595" Type="http://schemas.openxmlformats.org/officeDocument/2006/relationships/hyperlink" Target="file:///\\192.168.11.15\Elmdale-Root\Accounting\pages\CommonAccount.aspx%3fsJump=3006-1039&amp;c.ChartCode=&amp;hAccount=&amp;hAccount2=&amp;DbCrd=Either&amp;AcTyp=Any&amp;RpTyp=Either" TargetMode="External"/><Relationship Id="rId816" Type="http://schemas.openxmlformats.org/officeDocument/2006/relationships/hyperlink" Target="file:///\\192.168.11.15\Elmdale-Root\Accounting\pages\CommonAccount.aspx%3fsJump=3303-2047&amp;c.ChartCode=&amp;hAccount=&amp;hAccount2=&amp;DbCrd=Either&amp;AcTyp=Any&amp;RpTyp=Either" TargetMode="External"/><Relationship Id="rId1001" Type="http://schemas.openxmlformats.org/officeDocument/2006/relationships/hyperlink" Target="file:///\\192.168.11.15\Elmdale-Root\Accounting\pages\CommonAccount.aspx%3fsJump=3500-4000&amp;c.ChartCode=&amp;hAccount=&amp;hAccount2=&amp;DbCrd=Either&amp;AcTyp=Any&amp;RpTyp=Either" TargetMode="External"/><Relationship Id="rId248" Type="http://schemas.openxmlformats.org/officeDocument/2006/relationships/hyperlink" Target="file:///\\192.168.11.15\Elmdale-Root\Accounting\pages\CommonAccount.aspx%3fsJump=1500-0055&amp;c.ChartCode=&amp;hAccount=&amp;hAccount2=&amp;DbCrd=Either&amp;AcTyp=Any&amp;RpTyp=Either" TargetMode="External"/><Relationship Id="rId455" Type="http://schemas.openxmlformats.org/officeDocument/2006/relationships/hyperlink" Target="file:///\\192.168.11.15\Elmdale-Root\Accounting\pages\CommonAccount.aspx%3fsJump=2490-0000&amp;c.ChartCode=&amp;hAccount=&amp;hAccount2=&amp;DbCrd=Either&amp;AcTyp=Any&amp;RpTyp=Either" TargetMode="External"/><Relationship Id="rId662" Type="http://schemas.openxmlformats.org/officeDocument/2006/relationships/hyperlink" Target="file:///\\192.168.11.15\Elmdale-Root\Accounting\pages\CommonAccount.aspx%3fsJump=3039-0000&amp;c.ChartCode=&amp;hAccount=&amp;hAccount2=&amp;DbCrd=Either&amp;AcTyp=Any&amp;RpTyp=Either" TargetMode="External"/><Relationship Id="rId1085" Type="http://schemas.openxmlformats.org/officeDocument/2006/relationships/hyperlink" Target="file:///\\192.168.11.15\Elmdale-Root\Accounting\pages\CommonAccount.aspx%3fsJump=5470-0003&amp;c.ChartCode=&amp;hAccount=&amp;hAccount2=&amp;DbCrd=Either&amp;AcTyp=Any&amp;RpTyp=Either" TargetMode="External"/><Relationship Id="rId1292" Type="http://schemas.openxmlformats.org/officeDocument/2006/relationships/hyperlink" Target="file:///\\192.168.11.15\Elmdale-Root\Accounting\pages\CommonAccount.aspx%3fsJump=8181-0103&amp;c.ChartCode=&amp;hAccount=&amp;hAccount2=&amp;DbCrd=Either&amp;AcTyp=Any&amp;RpTyp=Either" TargetMode="External"/><Relationship Id="rId1306" Type="http://schemas.openxmlformats.org/officeDocument/2006/relationships/hyperlink" Target="file:///\\192.168.11.15\Elmdale-Root\Accounting\pages\CommonAccount.aspx%3fsJump=8510-0000&amp;c.ChartCode=&amp;hAccount=&amp;hAccount2=&amp;DbCrd=Either&amp;AcTyp=Any&amp;RpTyp=Either" TargetMode="External"/><Relationship Id="rId12" Type="http://schemas.openxmlformats.org/officeDocument/2006/relationships/hyperlink" Target="file:///\\192.168.11.15\Elmdale-Root\Accounting\pages\CommonAccount.aspx%3fsJump=1110-0010&amp;c.ChartCode=&amp;hAccount=&amp;hAccount2=&amp;DbCrd=Either&amp;AcTyp=Any&amp;RpTyp=Either" TargetMode="External"/><Relationship Id="rId108" Type="http://schemas.openxmlformats.org/officeDocument/2006/relationships/hyperlink" Target="file:///\\192.168.11.15\Elmdale-Root\Accounting\pages\CommonAccount.aspx%3fsJump=1110-4914&amp;c.ChartCode=&amp;hAccount=&amp;hAccount2=&amp;DbCrd=Either&amp;AcTyp=Any&amp;RpTyp=Either" TargetMode="External"/><Relationship Id="rId315" Type="http://schemas.openxmlformats.org/officeDocument/2006/relationships/hyperlink" Target="file:///\\192.168.11.15\Elmdale-Root\Accounting\pages\CommonAccount.aspx%3fsJump=1600-1016&amp;c.ChartCode=&amp;hAccount=&amp;hAccount2=&amp;DbCrd=Either&amp;AcTyp=Any&amp;RpTyp=Either" TargetMode="External"/><Relationship Id="rId522" Type="http://schemas.openxmlformats.org/officeDocument/2006/relationships/hyperlink" Target="file:///\\192.168.11.15\Elmdale-Root\Accounting\pages\CommonAccount.aspx%3fsJump=3003-2012&amp;c.ChartCode=&amp;hAccount=&amp;hAccount2=&amp;DbCrd=Either&amp;AcTyp=Any&amp;RpTyp=Either" TargetMode="External"/><Relationship Id="rId967" Type="http://schemas.openxmlformats.org/officeDocument/2006/relationships/hyperlink" Target="file:///\\192.168.11.15\Elmdale-Root\Accounting\pages\CommonAccount.aspx%3fsJump=3303-2198&amp;c.ChartCode=&amp;hAccount=&amp;hAccount2=&amp;DbCrd=Either&amp;AcTyp=Any&amp;RpTyp=Either" TargetMode="External"/><Relationship Id="rId1152" Type="http://schemas.openxmlformats.org/officeDocument/2006/relationships/hyperlink" Target="file:///\\192.168.11.15\Elmdale-Root\Accounting\pages\CommonAccount.aspx%3fsJump=6110-1075&amp;c.ChartCode=&amp;hAccount=&amp;hAccount2=&amp;DbCrd=Either&amp;AcTyp=Any&amp;RpTyp=Either" TargetMode="External"/><Relationship Id="rId96" Type="http://schemas.openxmlformats.org/officeDocument/2006/relationships/hyperlink" Target="file:///\\192.168.11.15\Elmdale-Root\Accounting\pages\CommonAccount.aspx%3fsJump=1110-4902&amp;c.ChartCode=&amp;hAccount=&amp;hAccount2=&amp;DbCrd=Either&amp;AcTyp=Any&amp;RpTyp=Either" TargetMode="External"/><Relationship Id="rId161" Type="http://schemas.openxmlformats.org/officeDocument/2006/relationships/hyperlink" Target="file:///\\192.168.11.15\Elmdale-Root\Accounting\pages\CommonAccount.aspx%3fsJump=1110-4977&amp;c.ChartCode=&amp;hAccount=&amp;hAccount2=&amp;DbCrd=Either&amp;AcTyp=Any&amp;RpTyp=Either" TargetMode="External"/><Relationship Id="rId399" Type="http://schemas.openxmlformats.org/officeDocument/2006/relationships/hyperlink" Target="file:///\\192.168.11.15\Elmdale-Root\Accounting\pages\CommonAccount.aspx%3fsJump=2210-0000&amp;c.ChartCode=&amp;hAccount=&amp;hAccount2=&amp;DbCrd=Either&amp;AcTyp=Any&amp;RpTyp=Either" TargetMode="External"/><Relationship Id="rId827" Type="http://schemas.openxmlformats.org/officeDocument/2006/relationships/hyperlink" Target="file:///\\192.168.11.15\Elmdale-Root\Accounting\pages\CommonAccount.aspx%3fsJump=3303-2058&amp;c.ChartCode=&amp;hAccount=&amp;hAccount2=&amp;DbCrd=Either&amp;AcTyp=Any&amp;RpTyp=Either" TargetMode="External"/><Relationship Id="rId1012" Type="http://schemas.openxmlformats.org/officeDocument/2006/relationships/hyperlink" Target="file:///\\192.168.11.15\Elmdale-Root\Accounting\pages\CommonAccount.aspx%3fsJump=4400-0000&amp;c.ChartCode=&amp;hAccount=&amp;hAccount2=&amp;DbCrd=Either&amp;AcTyp=Any&amp;RpTyp=Either" TargetMode="External"/><Relationship Id="rId259" Type="http://schemas.openxmlformats.org/officeDocument/2006/relationships/hyperlink" Target="file:///\\192.168.11.15\Elmdale-Root\Accounting\pages\CommonAccount.aspx%3fsJump=1500-0095&amp;c.ChartCode=&amp;hAccount=&amp;hAccount2=&amp;DbCrd=Either&amp;AcTyp=Any&amp;RpTyp=Either" TargetMode="External"/><Relationship Id="rId466" Type="http://schemas.openxmlformats.org/officeDocument/2006/relationships/hyperlink" Target="file:///\\192.168.11.15\Elmdale-Root\Accounting\pages\CommonAccount.aspx%3fsJump=2641-1000&amp;c.ChartCode=&amp;hAccount=&amp;hAccount2=&amp;DbCrd=Either&amp;AcTyp=Any&amp;RpTyp=Either" TargetMode="External"/><Relationship Id="rId673" Type="http://schemas.openxmlformats.org/officeDocument/2006/relationships/hyperlink" Target="file:///\\192.168.11.15\Elmdale-Root\Accounting\pages\CommonAccount.aspx%3fsJump=3053-0000&amp;c.ChartCode=&amp;hAccount=&amp;hAccount2=&amp;DbCrd=Either&amp;AcTyp=Any&amp;RpTyp=Either" TargetMode="External"/><Relationship Id="rId880" Type="http://schemas.openxmlformats.org/officeDocument/2006/relationships/hyperlink" Target="file:///\\192.168.11.15\Elmdale-Root\Accounting\pages\CommonAccount.aspx%3fsJump=3303-2111&amp;c.ChartCode=&amp;hAccount=&amp;hAccount2=&amp;DbCrd=Either&amp;AcTyp=Any&amp;RpTyp=Either" TargetMode="External"/><Relationship Id="rId1096" Type="http://schemas.openxmlformats.org/officeDocument/2006/relationships/hyperlink" Target="file:///\\192.168.11.15\Elmdale-Root\Accounting\pages\CommonAccount.aspx%3fsJump=5620-0001&amp;c.ChartCode=&amp;hAccount=&amp;hAccount2=&amp;DbCrd=Either&amp;AcTyp=Any&amp;RpTyp=Either" TargetMode="External"/><Relationship Id="rId1317" Type="http://schemas.openxmlformats.org/officeDocument/2006/relationships/hyperlink" Target="file:///\\192.168.11.15\Elmdale-Root\Accounting\pages\CommonAccount.aspx%3fsJump=8600-0000&amp;c.ChartCode=&amp;hAccount=&amp;hAccount2=&amp;DbCrd=Either&amp;AcTyp=Any&amp;RpTyp=Either" TargetMode="External"/><Relationship Id="rId23" Type="http://schemas.openxmlformats.org/officeDocument/2006/relationships/hyperlink" Target="file:///\\192.168.11.15\Elmdale-Root\Accounting\pages\CommonAccount.aspx%3fsJump=1110-1002&amp;c.ChartCode=&amp;hAccount=&amp;hAccount2=&amp;DbCrd=Either&amp;AcTyp=Any&amp;RpTyp=Either" TargetMode="External"/><Relationship Id="rId119" Type="http://schemas.openxmlformats.org/officeDocument/2006/relationships/hyperlink" Target="file:///\\192.168.11.15\Elmdale-Root\Accounting\pages\CommonAccount.aspx%3fsJump=1110-4925&amp;c.ChartCode=&amp;hAccount=&amp;hAccount2=&amp;DbCrd=Either&amp;AcTyp=Any&amp;RpTyp=Either" TargetMode="External"/><Relationship Id="rId326" Type="http://schemas.openxmlformats.org/officeDocument/2006/relationships/hyperlink" Target="file:///\\192.168.11.15\Elmdale-Root\Accounting\pages\CommonAccount.aspx%3fsJump=1750-0000&amp;c.ChartCode=&amp;hAccount=&amp;hAccount2=&amp;DbCrd=Either&amp;AcTyp=Any&amp;RpTyp=Either" TargetMode="External"/><Relationship Id="rId533" Type="http://schemas.openxmlformats.org/officeDocument/2006/relationships/hyperlink" Target="file:///\\192.168.11.15\Elmdale-Root\Accounting\pages\CommonAccount.aspx%3fsJump=3003-5002&amp;c.ChartCode=&amp;hAccount=&amp;hAccount2=&amp;DbCrd=Either&amp;AcTyp=Any&amp;RpTyp=Either" TargetMode="External"/><Relationship Id="rId978" Type="http://schemas.openxmlformats.org/officeDocument/2006/relationships/hyperlink" Target="file:///\\192.168.11.15\Elmdale-Root\Accounting\pages\CommonAccount.aspx%3fsJump=3303-2209&amp;c.ChartCode=&amp;hAccount=&amp;hAccount2=&amp;DbCrd=Either&amp;AcTyp=Any&amp;RpTyp=Either" TargetMode="External"/><Relationship Id="rId1163" Type="http://schemas.openxmlformats.org/officeDocument/2006/relationships/hyperlink" Target="file:///\\192.168.11.15\Elmdale-Root\Accounting\pages\CommonAccount.aspx%3fsJump=6200-0015&amp;c.ChartCode=&amp;hAccount=&amp;hAccount2=&amp;DbCrd=Either&amp;AcTyp=Any&amp;RpTyp=Either" TargetMode="External"/><Relationship Id="rId740" Type="http://schemas.openxmlformats.org/officeDocument/2006/relationships/hyperlink" Target="file:///\\192.168.11.15\Elmdale-Root\Accounting\pages\CommonAccount.aspx%3fsJump=3303-1501&amp;c.ChartCode=&amp;hAccount=&amp;hAccount2=&amp;DbCrd=Either&amp;AcTyp=Any&amp;RpTyp=Either" TargetMode="External"/><Relationship Id="rId838" Type="http://schemas.openxmlformats.org/officeDocument/2006/relationships/hyperlink" Target="file:///\\192.168.11.15\Elmdale-Root\Accounting\pages\CommonAccount.aspx%3fsJump=3303-2069&amp;c.ChartCode=&amp;hAccount=&amp;hAccount2=&amp;DbCrd=Either&amp;AcTyp=Any&amp;RpTyp=Either" TargetMode="External"/><Relationship Id="rId1023" Type="http://schemas.openxmlformats.org/officeDocument/2006/relationships/hyperlink" Target="file:///\\192.168.11.15\Elmdale-Root\Accounting\pages\CommonAccount.aspx%3fsJump=4600-0000&amp;c.ChartCode=&amp;hAccount=&amp;hAccount2=&amp;DbCrd=Either&amp;AcTyp=Any&amp;RpTyp=Either" TargetMode="External"/><Relationship Id="rId172" Type="http://schemas.openxmlformats.org/officeDocument/2006/relationships/hyperlink" Target="file:///\\192.168.11.15\Elmdale-Root\Accounting\pages\CommonAccount.aspx%3fsJump=1110-5100&amp;c.ChartCode=&amp;hAccount=&amp;hAccount2=&amp;DbCrd=Either&amp;AcTyp=Any&amp;RpTyp=Either" TargetMode="External"/><Relationship Id="rId477" Type="http://schemas.openxmlformats.org/officeDocument/2006/relationships/hyperlink" Target="file:///\\192.168.11.15\Elmdale-Root\Accounting\pages\CommonAccount.aspx%3fsJump=3003-0114&amp;c.ChartCode=&amp;hAccount=&amp;hAccount2=&amp;DbCrd=Either&amp;AcTyp=Any&amp;RpTyp=Either" TargetMode="External"/><Relationship Id="rId600" Type="http://schemas.openxmlformats.org/officeDocument/2006/relationships/hyperlink" Target="file:///\\192.168.11.15\Elmdale-Root\Accounting\pages\CommonAccount.aspx%3fsJump=3006-1044&amp;c.ChartCode=&amp;hAccount=&amp;hAccount2=&amp;DbCrd=Either&amp;AcTyp=Any&amp;RpTyp=Either" TargetMode="External"/><Relationship Id="rId684" Type="http://schemas.openxmlformats.org/officeDocument/2006/relationships/hyperlink" Target="file:///\\192.168.11.15\Elmdale-Root\Accounting\pages\CommonAccount.aspx%3fsJump=3070-0000&amp;c.ChartCode=&amp;hAccount=&amp;hAccount2=&amp;DbCrd=Either&amp;AcTyp=Any&amp;RpTyp=Either" TargetMode="External"/><Relationship Id="rId1230" Type="http://schemas.openxmlformats.org/officeDocument/2006/relationships/hyperlink" Target="file:///\\192.168.11.15\Elmdale-Root\Accounting\pages\CommonAccount.aspx%3fsJump=7000-0999&amp;c.ChartCode=&amp;hAccount=&amp;hAccount2=&amp;DbCrd=Either&amp;AcTyp=Any&amp;RpTyp=Either" TargetMode="External"/><Relationship Id="rId337" Type="http://schemas.openxmlformats.org/officeDocument/2006/relationships/hyperlink" Target="file:///\\192.168.11.15\Elmdale-Root\Accounting\pages\CommonAccount.aspx%3fsJump=1900-1003&amp;c.ChartCode=&amp;hAccount=&amp;hAccount2=&amp;DbCrd=Either&amp;AcTyp=Any&amp;RpTyp=Either" TargetMode="External"/><Relationship Id="rId891" Type="http://schemas.openxmlformats.org/officeDocument/2006/relationships/hyperlink" Target="file:///\\192.168.11.15\Elmdale-Root\Accounting\pages\CommonAccount.aspx%3fsJump=3303-2122&amp;c.ChartCode=&amp;hAccount=&amp;hAccount2=&amp;DbCrd=Either&amp;AcTyp=Any&amp;RpTyp=Either" TargetMode="External"/><Relationship Id="rId905" Type="http://schemas.openxmlformats.org/officeDocument/2006/relationships/hyperlink" Target="file:///\\192.168.11.15\Elmdale-Root\Accounting\pages\CommonAccount.aspx%3fsJump=3303-2136&amp;c.ChartCode=&amp;hAccount=&amp;hAccount2=&amp;DbCrd=Either&amp;AcTyp=Any&amp;RpTyp=Either" TargetMode="External"/><Relationship Id="rId989" Type="http://schemas.openxmlformats.org/officeDocument/2006/relationships/hyperlink" Target="file:///\\192.168.11.15\Elmdale-Root\Accounting\pages\CommonAccount.aspx%3fsJump=3303-2220&amp;c.ChartCode=&amp;hAccount=&amp;hAccount2=&amp;DbCrd=Either&amp;AcTyp=Any&amp;RpTyp=Either" TargetMode="External"/><Relationship Id="rId34" Type="http://schemas.openxmlformats.org/officeDocument/2006/relationships/hyperlink" Target="file:///\\192.168.11.15\Elmdale-Root\Accounting\pages\CommonAccount.aspx%3fsJump=1110-1505&amp;c.ChartCode=&amp;hAccount=&amp;hAccount2=&amp;DbCrd=Either&amp;AcTyp=Any&amp;RpTyp=Either" TargetMode="External"/><Relationship Id="rId544" Type="http://schemas.openxmlformats.org/officeDocument/2006/relationships/hyperlink" Target="file:///\\192.168.11.15\Elmdale-Root\Accounting\pages\CommonAccount.aspx%3fsJump=3003-8001&amp;c.ChartCode=&amp;hAccount=&amp;hAccount2=&amp;DbCrd=Either&amp;AcTyp=Any&amp;RpTyp=Either" TargetMode="External"/><Relationship Id="rId751" Type="http://schemas.openxmlformats.org/officeDocument/2006/relationships/hyperlink" Target="file:///\\192.168.11.15\Elmdale-Root\Accounting\pages\CommonAccount.aspx%3fsJump=3303-1520&amp;c.ChartCode=&amp;hAccount=&amp;hAccount2=&amp;DbCrd=Either&amp;AcTyp=Any&amp;RpTyp=Either" TargetMode="External"/><Relationship Id="rId849" Type="http://schemas.openxmlformats.org/officeDocument/2006/relationships/hyperlink" Target="file:///\\192.168.11.15\Elmdale-Root\Accounting\pages\CommonAccount.aspx%3fsJump=3303-2080&amp;c.ChartCode=&amp;hAccount=&amp;hAccount2=&amp;DbCrd=Either&amp;AcTyp=Any&amp;RpTyp=Either" TargetMode="External"/><Relationship Id="rId1174" Type="http://schemas.openxmlformats.org/officeDocument/2006/relationships/hyperlink" Target="file:///\\192.168.11.15\Elmdale-Root\Accounting\pages\CommonAccount.aspx%3fsJump=6310-0001&amp;c.ChartCode=&amp;hAccount=&amp;hAccount2=&amp;DbCrd=Either&amp;AcTyp=Any&amp;RpTyp=Either" TargetMode="External"/><Relationship Id="rId183" Type="http://schemas.openxmlformats.org/officeDocument/2006/relationships/hyperlink" Target="file:///\\192.168.11.15\Elmdale-Root\Accounting\pages\CommonAccount.aspx%3fsJump=1140-8521&amp;c.ChartCode=&amp;hAccount=&amp;hAccount2=&amp;DbCrd=Either&amp;AcTyp=Any&amp;RpTyp=Either" TargetMode="External"/><Relationship Id="rId390" Type="http://schemas.openxmlformats.org/officeDocument/2006/relationships/hyperlink" Target="file:///\\192.168.11.15\Elmdale-Root\Accounting\pages\CommonAccount.aspx%3fsJump=2150-0019&amp;c.ChartCode=&amp;hAccount=&amp;hAccount2=&amp;DbCrd=Either&amp;AcTyp=Any&amp;RpTyp=Either" TargetMode="External"/><Relationship Id="rId404" Type="http://schemas.openxmlformats.org/officeDocument/2006/relationships/hyperlink" Target="file:///\\192.168.11.15\Elmdale-Root\Accounting\pages\CommonAccount.aspx%3fsJump=2245-0000&amp;c.ChartCode=&amp;hAccount=&amp;hAccount2=&amp;DbCrd=Either&amp;AcTyp=Any&amp;RpTyp=Either" TargetMode="External"/><Relationship Id="rId611" Type="http://schemas.openxmlformats.org/officeDocument/2006/relationships/hyperlink" Target="file:///\\192.168.11.15\Elmdale-Root\Accounting\pages\CommonAccount.aspx%3fsJump=3006-1055&amp;c.ChartCode=&amp;hAccount=&amp;hAccount2=&amp;DbCrd=Either&amp;AcTyp=Any&amp;RpTyp=Either" TargetMode="External"/><Relationship Id="rId1034" Type="http://schemas.openxmlformats.org/officeDocument/2006/relationships/hyperlink" Target="file:///\\192.168.11.15\Elmdale-Root\Accounting\pages\CommonAccount.aspx%3fsJump=4715-0000&amp;c.ChartCode=&amp;hAccount=&amp;hAccount2=&amp;DbCrd=Either&amp;AcTyp=Any&amp;RpTyp=Either" TargetMode="External"/><Relationship Id="rId1241" Type="http://schemas.openxmlformats.org/officeDocument/2006/relationships/hyperlink" Target="file:///\\192.168.11.15\Elmdale-Root\Accounting\pages\CommonAccount.aspx%3fsJump=7310-0010&amp;c.ChartCode=&amp;hAccount=&amp;hAccount2=&amp;DbCrd=Either&amp;AcTyp=Any&amp;RpTyp=Either" TargetMode="External"/><Relationship Id="rId250" Type="http://schemas.openxmlformats.org/officeDocument/2006/relationships/hyperlink" Target="file:///\\192.168.11.15\Elmdale-Root\Accounting\pages\CommonAccount.aspx%3fsJump=1500-0065&amp;c.ChartCode=&amp;hAccount=&amp;hAccount2=&amp;DbCrd=Either&amp;AcTyp=Any&amp;RpTyp=Either" TargetMode="External"/><Relationship Id="rId488" Type="http://schemas.openxmlformats.org/officeDocument/2006/relationships/hyperlink" Target="file:///\\192.168.11.15\Elmdale-Root\Accounting\pages\CommonAccount.aspx%3fsJump=3003-1103&amp;c.ChartCode=&amp;hAccount=&amp;hAccount2=&amp;DbCrd=Either&amp;AcTyp=Any&amp;RpTyp=Either" TargetMode="External"/><Relationship Id="rId695" Type="http://schemas.openxmlformats.org/officeDocument/2006/relationships/hyperlink" Target="file:///\\192.168.11.15\Elmdale-Root\Accounting\pages\CommonAccount.aspx%3fsJump=3206-0000&amp;c.ChartCode=&amp;hAccount=&amp;hAccount2=&amp;DbCrd=Either&amp;AcTyp=Any&amp;RpTyp=Either" TargetMode="External"/><Relationship Id="rId709" Type="http://schemas.openxmlformats.org/officeDocument/2006/relationships/hyperlink" Target="file:///\\192.168.11.15\Elmdale-Root\Accounting\pages\CommonAccount.aspx%3fsJump=3303-1422&amp;c.ChartCode=&amp;hAccount=&amp;hAccount2=&amp;DbCrd=Either&amp;AcTyp=Any&amp;RpTyp=Either" TargetMode="External"/><Relationship Id="rId916" Type="http://schemas.openxmlformats.org/officeDocument/2006/relationships/hyperlink" Target="file:///\\192.168.11.15\Elmdale-Root\Accounting\pages\CommonAccount.aspx%3fsJump=3303-2147&amp;c.ChartCode=&amp;hAccount=&amp;hAccount2=&amp;DbCrd=Either&amp;AcTyp=Any&amp;RpTyp=Either" TargetMode="External"/><Relationship Id="rId1101" Type="http://schemas.openxmlformats.org/officeDocument/2006/relationships/hyperlink" Target="file:///\\192.168.11.15\Elmdale-Root\Accounting\pages\CommonAccount.aspx%3fsJump=5710-0000&amp;c.ChartCode=&amp;hAccount=&amp;hAccount2=&amp;DbCrd=Either&amp;AcTyp=Any&amp;RpTyp=Either" TargetMode="External"/><Relationship Id="rId45" Type="http://schemas.openxmlformats.org/officeDocument/2006/relationships/hyperlink" Target="file:///\\192.168.11.15\Elmdale-Root\Accounting\pages\CommonAccount.aspx%3fsJump=1110-1516&amp;c.ChartCode=&amp;hAccount=&amp;hAccount2=&amp;DbCrd=Either&amp;AcTyp=Any&amp;RpTyp=Either" TargetMode="External"/><Relationship Id="rId110" Type="http://schemas.openxmlformats.org/officeDocument/2006/relationships/hyperlink" Target="file:///\\192.168.11.15\Elmdale-Root\Accounting\pages\CommonAccount.aspx%3fsJump=1110-4916&amp;c.ChartCode=&amp;hAccount=&amp;hAccount2=&amp;DbCrd=Either&amp;AcTyp=Any&amp;RpTyp=Either" TargetMode="External"/><Relationship Id="rId348" Type="http://schemas.openxmlformats.org/officeDocument/2006/relationships/hyperlink" Target="file:///\\192.168.11.15\Elmdale-Root\Accounting\pages\CommonAccount.aspx%3fsJump=1910-0000&amp;c.ChartCode=&amp;hAccount=&amp;hAccount2=&amp;DbCrd=Either&amp;AcTyp=Any&amp;RpTyp=Either" TargetMode="External"/><Relationship Id="rId555" Type="http://schemas.openxmlformats.org/officeDocument/2006/relationships/hyperlink" Target="file:///\\192.168.11.15\Elmdale-Root\Accounting\pages\CommonAccount.aspx%3fsJump=3005-1003&amp;c.ChartCode=&amp;hAccount=&amp;hAccount2=&amp;DbCrd=Either&amp;AcTyp=Any&amp;RpTyp=Either" TargetMode="External"/><Relationship Id="rId762" Type="http://schemas.openxmlformats.org/officeDocument/2006/relationships/hyperlink" Target="file:///\\192.168.11.15\Elmdale-Root\Accounting\pages\CommonAccount.aspx%3fsJump=3303-1543&amp;c.ChartCode=&amp;hAccount=&amp;hAccount2=&amp;DbCrd=Either&amp;AcTyp=Any&amp;RpTyp=Either" TargetMode="External"/><Relationship Id="rId1185" Type="http://schemas.openxmlformats.org/officeDocument/2006/relationships/hyperlink" Target="file:///\\192.168.11.15\Elmdale-Root\Accounting\pages\CommonAccount.aspx%3fsJump=6400-0040&amp;c.ChartCode=&amp;hAccount=&amp;hAccount2=&amp;DbCrd=Either&amp;AcTyp=Any&amp;RpTyp=Either" TargetMode="External"/><Relationship Id="rId194" Type="http://schemas.openxmlformats.org/officeDocument/2006/relationships/hyperlink" Target="file:///\\192.168.11.15\Elmdale-Root\Accounting\pages\CommonAccount.aspx%3fsJump=1200-0004&amp;c.ChartCode=&amp;hAccount=&amp;hAccount2=&amp;DbCrd=Either&amp;AcTyp=Any&amp;RpTyp=Either" TargetMode="External"/><Relationship Id="rId208" Type="http://schemas.openxmlformats.org/officeDocument/2006/relationships/hyperlink" Target="file:///\\192.168.11.15\Elmdale-Root\Accounting\pages\CommonAccount.aspx%3fsJump=1401-0000&amp;c.ChartCode=&amp;hAccount=&amp;hAccount2=&amp;DbCrd=Either&amp;AcTyp=Any&amp;RpTyp=Either" TargetMode="External"/><Relationship Id="rId415" Type="http://schemas.openxmlformats.org/officeDocument/2006/relationships/hyperlink" Target="file:///\\192.168.11.15\Elmdale-Root\Accounting\pages\CommonAccount.aspx%3fsJump=2300-0000&amp;c.ChartCode=&amp;hAccount=&amp;hAccount2=&amp;DbCrd=Either&amp;AcTyp=Any&amp;RpTyp=Either" TargetMode="External"/><Relationship Id="rId622" Type="http://schemas.openxmlformats.org/officeDocument/2006/relationships/hyperlink" Target="file:///\\192.168.11.15\Elmdale-Root\Accounting\pages\CommonAccount.aspx%3fsJump=3006-1066&amp;c.ChartCode=&amp;hAccount=&amp;hAccount2=&amp;DbCrd=Either&amp;AcTyp=Any&amp;RpTyp=Either" TargetMode="External"/><Relationship Id="rId1045" Type="http://schemas.openxmlformats.org/officeDocument/2006/relationships/hyperlink" Target="file:///\\192.168.11.15\Elmdale-Root\Accounting\pages\CommonAccount.aspx%3fsJump=5000-0011&amp;c.ChartCode=&amp;hAccount=&amp;hAccount2=&amp;DbCrd=Either&amp;AcTyp=Any&amp;RpTyp=Either" TargetMode="External"/><Relationship Id="rId1252" Type="http://schemas.openxmlformats.org/officeDocument/2006/relationships/hyperlink" Target="file:///\\192.168.11.15\Elmdale-Root\Accounting\pages\CommonAccount.aspx%3fsJump=7500-0000&amp;c.ChartCode=&amp;hAccount=&amp;hAccount2=&amp;DbCrd=Either&amp;AcTyp=Any&amp;RpTyp=Either" TargetMode="External"/><Relationship Id="rId261" Type="http://schemas.openxmlformats.org/officeDocument/2006/relationships/hyperlink" Target="file:///\\192.168.11.15\Elmdale-Root\Accounting\pages\CommonAccount.aspx%3fsJump=1600-0001&amp;c.ChartCode=&amp;hAccount=&amp;hAccount2=&amp;DbCrd=Either&amp;AcTyp=Any&amp;RpTyp=Either" TargetMode="External"/><Relationship Id="rId499" Type="http://schemas.openxmlformats.org/officeDocument/2006/relationships/hyperlink" Target="file:///\\192.168.11.15\Elmdale-Root\Accounting\pages\CommonAccount.aspx%3fsJump=3003-1402&amp;c.ChartCode=&amp;hAccount=&amp;hAccount2=&amp;DbCrd=Either&amp;AcTyp=Any&amp;RpTyp=Either" TargetMode="External"/><Relationship Id="rId927" Type="http://schemas.openxmlformats.org/officeDocument/2006/relationships/hyperlink" Target="file:///\\192.168.11.15\Elmdale-Root\Accounting\pages\CommonAccount.aspx%3fsJump=3303-2158&amp;c.ChartCode=&amp;hAccount=&amp;hAccount2=&amp;DbCrd=Either&amp;AcTyp=Any&amp;RpTyp=Either" TargetMode="External"/><Relationship Id="rId1112" Type="http://schemas.openxmlformats.org/officeDocument/2006/relationships/hyperlink" Target="file:///\\192.168.11.15\Elmdale-Root\Accounting\pages\CommonAccount.aspx%3fsJump=5890-0000&amp;c.ChartCode=&amp;hAccount=&amp;hAccount2=&amp;DbCrd=Either&amp;AcTyp=Any&amp;RpTyp=Either" TargetMode="External"/><Relationship Id="rId56" Type="http://schemas.openxmlformats.org/officeDocument/2006/relationships/hyperlink" Target="file:///\\192.168.11.15\Elmdale-Root\Accounting\pages\CommonAccount.aspx%3fsJump=1110-1527&amp;c.ChartCode=&amp;hAccount=&amp;hAccount2=&amp;DbCrd=Either&amp;AcTyp=Any&amp;RpTyp=Either" TargetMode="External"/><Relationship Id="rId359" Type="http://schemas.openxmlformats.org/officeDocument/2006/relationships/hyperlink" Target="file:///\\192.168.11.15\Elmdale-Root\Accounting\pages\CommonAccount.aspx%3fsJump=2100-1002&amp;c.ChartCode=&amp;hAccount=&amp;hAccount2=&amp;DbCrd=Either&amp;AcTyp=Any&amp;RpTyp=Either" TargetMode="External"/><Relationship Id="rId566" Type="http://schemas.openxmlformats.org/officeDocument/2006/relationships/hyperlink" Target="file:///\\192.168.11.15\Elmdale-Root\Accounting\pages\CommonAccount.aspx%3fsJump=3006-1010&amp;c.ChartCode=&amp;hAccount=&amp;hAccount2=&amp;DbCrd=Either&amp;AcTyp=Any&amp;RpTyp=Either" TargetMode="External"/><Relationship Id="rId773" Type="http://schemas.openxmlformats.org/officeDocument/2006/relationships/hyperlink" Target="file:///\\192.168.11.15\Elmdale-Root\Accounting\pages\CommonAccount.aspx%3fsJump=3303-2003&amp;c.ChartCode=&amp;hAccount=&amp;hAccount2=&amp;DbCrd=Either&amp;AcTyp=Any&amp;RpTyp=Either" TargetMode="External"/><Relationship Id="rId1196" Type="http://schemas.openxmlformats.org/officeDocument/2006/relationships/hyperlink" Target="file:///\\192.168.11.15\Elmdale-Root\Accounting\pages\CommonAccount.aspx%3fsJump=6455-0000&amp;c.ChartCode=&amp;hAccount=&amp;hAccount2=&amp;DbCrd=Either&amp;AcTyp=Any&amp;RpTyp=Either" TargetMode="External"/><Relationship Id="rId121" Type="http://schemas.openxmlformats.org/officeDocument/2006/relationships/hyperlink" Target="file:///\\192.168.11.15\Elmdale-Root\Accounting\pages\CommonAccount.aspx%3fsJump=1110-4927&amp;c.ChartCode=&amp;hAccount=&amp;hAccount2=&amp;DbCrd=Either&amp;AcTyp=Any&amp;RpTyp=Either" TargetMode="External"/><Relationship Id="rId219" Type="http://schemas.openxmlformats.org/officeDocument/2006/relationships/hyperlink" Target="file:///\\192.168.11.15\Elmdale-Root\Accounting\pages\CommonAccount.aspx%3fsJump=1412-0000&amp;c.ChartCode=&amp;hAccount=&amp;hAccount2=&amp;DbCrd=Either&amp;AcTyp=Any&amp;RpTyp=Either" TargetMode="External"/><Relationship Id="rId426" Type="http://schemas.openxmlformats.org/officeDocument/2006/relationships/hyperlink" Target="file:///\\192.168.11.15\Elmdale-Root\Accounting\pages\CommonAccount.aspx%3fsJump=2305-1747&amp;c.ChartCode=&amp;hAccount=&amp;hAccount2=&amp;DbCrd=Either&amp;AcTyp=Any&amp;RpTyp=Either" TargetMode="External"/><Relationship Id="rId633" Type="http://schemas.openxmlformats.org/officeDocument/2006/relationships/hyperlink" Target="file:///\\192.168.11.15\Elmdale-Root\Accounting\pages\CommonAccount.aspx%3fsJump=3006-1077&amp;c.ChartCode=&amp;hAccount=&amp;hAccount2=&amp;DbCrd=Either&amp;AcTyp=Any&amp;RpTyp=Either" TargetMode="External"/><Relationship Id="rId980" Type="http://schemas.openxmlformats.org/officeDocument/2006/relationships/hyperlink" Target="file:///\\192.168.11.15\Elmdale-Root\Accounting\pages\CommonAccount.aspx%3fsJump=3303-2211&amp;c.ChartCode=&amp;hAccount=&amp;hAccount2=&amp;DbCrd=Either&amp;AcTyp=Any&amp;RpTyp=Either" TargetMode="External"/><Relationship Id="rId1056" Type="http://schemas.openxmlformats.org/officeDocument/2006/relationships/hyperlink" Target="file:///\\192.168.11.15\Elmdale-Root\Accounting\pages\CommonAccount.aspx%3fsJump=5220-0000&amp;c.ChartCode=&amp;hAccount=&amp;hAccount2=&amp;DbCrd=Either&amp;AcTyp=Any&amp;RpTyp=Either" TargetMode="External"/><Relationship Id="rId1263" Type="http://schemas.openxmlformats.org/officeDocument/2006/relationships/hyperlink" Target="file:///\\192.168.11.15\Elmdale-Root\Accounting\pages\CommonAccount.aspx%3fsJump=8110-0000&amp;c.ChartCode=&amp;hAccount=&amp;hAccount2=&amp;DbCrd=Either&amp;AcTyp=Any&amp;RpTyp=Either" TargetMode="External"/><Relationship Id="rId840" Type="http://schemas.openxmlformats.org/officeDocument/2006/relationships/hyperlink" Target="file:///\\192.168.11.15\Elmdale-Root\Accounting\pages\CommonAccount.aspx%3fsJump=3303-2071&amp;c.ChartCode=&amp;hAccount=&amp;hAccount2=&amp;DbCrd=Either&amp;AcTyp=Any&amp;RpTyp=Either" TargetMode="External"/><Relationship Id="rId938" Type="http://schemas.openxmlformats.org/officeDocument/2006/relationships/hyperlink" Target="file:///\\192.168.11.15\Elmdale-Root\Accounting\pages\CommonAccount.aspx%3fsJump=3303-2169&amp;c.ChartCode=&amp;hAccount=&amp;hAccount2=&amp;DbCrd=Either&amp;AcTyp=Any&amp;RpTyp=Either" TargetMode="External"/><Relationship Id="rId67" Type="http://schemas.openxmlformats.org/officeDocument/2006/relationships/hyperlink" Target="file:///\\192.168.11.15\Elmdale-Root\Accounting\pages\CommonAccount.aspx%3fsJump=1110-2000&amp;c.ChartCode=&amp;hAccount=&amp;hAccount2=&amp;DbCrd=Either&amp;AcTyp=Any&amp;RpTyp=Either" TargetMode="External"/><Relationship Id="rId272" Type="http://schemas.openxmlformats.org/officeDocument/2006/relationships/hyperlink" Target="file:///\\192.168.11.15\Elmdale-Root\Accounting\pages\CommonAccount.aspx%3fsJump=1600-0012&amp;c.ChartCode=&amp;hAccount=&amp;hAccount2=&amp;DbCrd=Either&amp;AcTyp=Any&amp;RpTyp=Either" TargetMode="External"/><Relationship Id="rId577" Type="http://schemas.openxmlformats.org/officeDocument/2006/relationships/hyperlink" Target="file:///\\192.168.11.15\Elmdale-Root\Accounting\pages\CommonAccount.aspx%3fsJump=3006-1021&amp;c.ChartCode=&amp;hAccount=&amp;hAccount2=&amp;DbCrd=Either&amp;AcTyp=Any&amp;RpTyp=Either" TargetMode="External"/><Relationship Id="rId700" Type="http://schemas.openxmlformats.org/officeDocument/2006/relationships/hyperlink" Target="file:///\\192.168.11.15\Elmdale-Root\Accounting\pages\CommonAccount.aspx%3fsJump=3207-2000&amp;c.ChartCode=&amp;hAccount=&amp;hAccount2=&amp;DbCrd=Either&amp;AcTyp=Any&amp;RpTyp=Either" TargetMode="External"/><Relationship Id="rId1123" Type="http://schemas.openxmlformats.org/officeDocument/2006/relationships/hyperlink" Target="file:///\\192.168.11.15\Elmdale-Root\Accounting\pages\CommonAccount.aspx%3fsJump=6050-0027&amp;c.ChartCode=&amp;hAccount=&amp;hAccount2=&amp;DbCrd=Either&amp;AcTyp=Any&amp;RpTyp=Either" TargetMode="External"/><Relationship Id="rId132" Type="http://schemas.openxmlformats.org/officeDocument/2006/relationships/hyperlink" Target="file:///\\192.168.11.15\Elmdale-Root\Accounting\pages\CommonAccount.aspx%3fsJump=1110-4947&amp;c.ChartCode=&amp;hAccount=&amp;hAccount2=&amp;DbCrd=Either&amp;AcTyp=Any&amp;RpTyp=Either" TargetMode="External"/><Relationship Id="rId784" Type="http://schemas.openxmlformats.org/officeDocument/2006/relationships/hyperlink" Target="file:///\\192.168.11.15\Elmdale-Root\Accounting\pages\CommonAccount.aspx%3fsJump=3303-2014&amp;c.ChartCode=&amp;hAccount=&amp;hAccount2=&amp;DbCrd=Either&amp;AcTyp=Any&amp;RpTyp=Either" TargetMode="External"/><Relationship Id="rId991" Type="http://schemas.openxmlformats.org/officeDocument/2006/relationships/hyperlink" Target="file:///\\192.168.11.15\Elmdale-Root\Accounting\pages\CommonAccount.aspx%3fsJump=3303-2222&amp;c.ChartCode=&amp;hAccount=&amp;hAccount2=&amp;DbCrd=Either&amp;AcTyp=Any&amp;RpTyp=Either" TargetMode="External"/><Relationship Id="rId1067" Type="http://schemas.openxmlformats.org/officeDocument/2006/relationships/hyperlink" Target="file:///\\192.168.11.15\Elmdale-Root\Accounting\pages\CommonAccount.aspx%3fsJump=5320-0001&amp;c.ChartCode=&amp;hAccount=&amp;hAccount2=&amp;DbCrd=Either&amp;AcTyp=Any&amp;RpTyp=Either" TargetMode="External"/><Relationship Id="rId437" Type="http://schemas.openxmlformats.org/officeDocument/2006/relationships/hyperlink" Target="file:///\\192.168.11.15\Elmdale-Root\Accounting\pages\CommonAccount.aspx%3fsJump=2305-6401&amp;c.ChartCode=&amp;hAccount=&amp;hAccount2=&amp;DbCrd=Either&amp;AcTyp=Any&amp;RpTyp=Either" TargetMode="External"/><Relationship Id="rId644" Type="http://schemas.openxmlformats.org/officeDocument/2006/relationships/hyperlink" Target="file:///\\192.168.11.15\Elmdale-Root\Accounting\pages\CommonAccount.aspx%3fsJump=3013-1004&amp;c.ChartCode=&amp;hAccount=&amp;hAccount2=&amp;DbCrd=Either&amp;AcTyp=Any&amp;RpTyp=Either" TargetMode="External"/><Relationship Id="rId851" Type="http://schemas.openxmlformats.org/officeDocument/2006/relationships/hyperlink" Target="file:///\\192.168.11.15\Elmdale-Root\Accounting\pages\CommonAccount.aspx%3fsJump=3303-2082&amp;c.ChartCode=&amp;hAccount=&amp;hAccount2=&amp;DbCrd=Either&amp;AcTyp=Any&amp;RpTyp=Either" TargetMode="External"/><Relationship Id="rId1274" Type="http://schemas.openxmlformats.org/officeDocument/2006/relationships/hyperlink" Target="file:///\\192.168.11.15\Elmdale-Root\Accounting\pages\CommonAccount.aspx%3fsJump=8180-0005&amp;c.ChartCode=&amp;hAccount=&amp;hAccount2=&amp;DbCrd=Either&amp;AcTyp=Any&amp;RpTyp=Either" TargetMode="External"/><Relationship Id="rId283" Type="http://schemas.openxmlformats.org/officeDocument/2006/relationships/hyperlink" Target="file:///\\192.168.11.15\Elmdale-Root\Accounting\pages\CommonAccount.aspx%3fsJump=1600-0030&amp;c.ChartCode=&amp;hAccount=&amp;hAccount2=&amp;DbCrd=Either&amp;AcTyp=Any&amp;RpTyp=Either" TargetMode="External"/><Relationship Id="rId490" Type="http://schemas.openxmlformats.org/officeDocument/2006/relationships/hyperlink" Target="file:///\\192.168.11.15\Elmdale-Root\Accounting\pages\CommonAccount.aspx%3fsJump=3003-1201&amp;c.ChartCode=&amp;hAccount=&amp;hAccount2=&amp;DbCrd=Either&amp;AcTyp=Any&amp;RpTyp=Either" TargetMode="External"/><Relationship Id="rId504" Type="http://schemas.openxmlformats.org/officeDocument/2006/relationships/hyperlink" Target="file:///\\192.168.11.15\Elmdale-Root\Accounting\pages\CommonAccount.aspx%3fsJump=3003-1503&amp;c.ChartCode=&amp;hAccount=&amp;hAccount2=&amp;DbCrd=Either&amp;AcTyp=Any&amp;RpTyp=Either" TargetMode="External"/><Relationship Id="rId711" Type="http://schemas.openxmlformats.org/officeDocument/2006/relationships/hyperlink" Target="file:///\\192.168.11.15\Elmdale-Root\Accounting\pages\CommonAccount.aspx%3fsJump=3303-1430&amp;c.ChartCode=&amp;hAccount=&amp;hAccount2=&amp;DbCrd=Either&amp;AcTyp=Any&amp;RpTyp=Either" TargetMode="External"/><Relationship Id="rId949" Type="http://schemas.openxmlformats.org/officeDocument/2006/relationships/hyperlink" Target="file:///\\192.168.11.15\Elmdale-Root\Accounting\pages\CommonAccount.aspx%3fsJump=3303-2180&amp;c.ChartCode=&amp;hAccount=&amp;hAccount2=&amp;DbCrd=Either&amp;AcTyp=Any&amp;RpTyp=Either" TargetMode="External"/><Relationship Id="rId1134" Type="http://schemas.openxmlformats.org/officeDocument/2006/relationships/hyperlink" Target="file:///\\192.168.11.15\Elmdale-Root\Accounting\pages\CommonAccount.aspx%3fsJump=6110-0025&amp;c.ChartCode=&amp;hAccount=&amp;hAccount2=&amp;DbCrd=Either&amp;AcTyp=Any&amp;RpTyp=Either" TargetMode="External"/><Relationship Id="rId78" Type="http://schemas.openxmlformats.org/officeDocument/2006/relationships/hyperlink" Target="file:///\\192.168.11.15\Elmdale-Root\Accounting\pages\CommonAccount.aspx%3fsJump=1110-3300&amp;c.ChartCode=&amp;hAccount=&amp;hAccount2=&amp;DbCrd=Either&amp;AcTyp=Any&amp;RpTyp=Either" TargetMode="External"/><Relationship Id="rId143" Type="http://schemas.openxmlformats.org/officeDocument/2006/relationships/hyperlink" Target="file:///\\192.168.11.15\Elmdale-Root\Accounting\pages\CommonAccount.aspx%3fsJump=1110-4959&amp;c.ChartCode=&amp;hAccount=&amp;hAccount2=&amp;DbCrd=Either&amp;AcTyp=Any&amp;RpTyp=Either" TargetMode="External"/><Relationship Id="rId350" Type="http://schemas.openxmlformats.org/officeDocument/2006/relationships/hyperlink" Target="file:///\\192.168.11.15\Elmdale-Root\Accounting\pages\CommonAccount.aspx%3fsJump=1910-0002&amp;c.ChartCode=&amp;hAccount=&amp;hAccount2=&amp;DbCrd=Either&amp;AcTyp=Any&amp;RpTyp=Either" TargetMode="External"/><Relationship Id="rId588" Type="http://schemas.openxmlformats.org/officeDocument/2006/relationships/hyperlink" Target="file:///\\192.168.11.15\Elmdale-Root\Accounting\pages\CommonAccount.aspx%3fsJump=3006-1032&amp;c.ChartCode=&amp;hAccount=&amp;hAccount2=&amp;DbCrd=Either&amp;AcTyp=Any&amp;RpTyp=Either" TargetMode="External"/><Relationship Id="rId795" Type="http://schemas.openxmlformats.org/officeDocument/2006/relationships/hyperlink" Target="file:///\\192.168.11.15\Elmdale-Root\Accounting\pages\CommonAccount.aspx%3fsJump=3303-2026&amp;c.ChartCode=&amp;hAccount=&amp;hAccount2=&amp;DbCrd=Either&amp;AcTyp=Any&amp;RpTyp=Either" TargetMode="External"/><Relationship Id="rId809" Type="http://schemas.openxmlformats.org/officeDocument/2006/relationships/hyperlink" Target="file:///\\192.168.11.15\Elmdale-Root\Accounting\pages\CommonAccount.aspx%3fsJump=3303-2040&amp;c.ChartCode=&amp;hAccount=&amp;hAccount2=&amp;DbCrd=Either&amp;AcTyp=Any&amp;RpTyp=Either" TargetMode="External"/><Relationship Id="rId1201" Type="http://schemas.openxmlformats.org/officeDocument/2006/relationships/hyperlink" Target="file:///\\192.168.11.15\Elmdale-Root\Accounting\pages\CommonAccount.aspx%3fsJump=6461-0998&amp;c.ChartCode=&amp;hAccount=&amp;hAccount2=&amp;DbCrd=Either&amp;AcTyp=Any&amp;RpTyp=Either" TargetMode="External"/><Relationship Id="rId9" Type="http://schemas.openxmlformats.org/officeDocument/2006/relationships/hyperlink" Target="file:///\\192.168.11.15\Elmdale-Root\Accounting\pages\CommonAccount.aspx%3fsJump=1110-0004&amp;c.ChartCode=&amp;hAccount=&amp;hAccount2=&amp;DbCrd=Either&amp;AcTyp=Any&amp;RpTyp=Either" TargetMode="External"/><Relationship Id="rId210" Type="http://schemas.openxmlformats.org/officeDocument/2006/relationships/hyperlink" Target="file:///\\192.168.11.15\Elmdale-Root\Accounting\pages\CommonAccount.aspx%3fsJump=1401-0002&amp;c.ChartCode=&amp;hAccount=&amp;hAccount2=&amp;DbCrd=Either&amp;AcTyp=Any&amp;RpTyp=Either" TargetMode="External"/><Relationship Id="rId448" Type="http://schemas.openxmlformats.org/officeDocument/2006/relationships/hyperlink" Target="file:///\\192.168.11.15\Elmdale-Root\Accounting\pages\CommonAccount.aspx%3fsJump=2420-0000&amp;c.ChartCode=&amp;hAccount=&amp;hAccount2=&amp;DbCrd=Either&amp;AcTyp=Any&amp;RpTyp=Either" TargetMode="External"/><Relationship Id="rId655" Type="http://schemas.openxmlformats.org/officeDocument/2006/relationships/hyperlink" Target="file:///\\192.168.11.15\Elmdale-Root\Accounting\pages\CommonAccount.aspx%3fsJump=3031-0000&amp;c.ChartCode=&amp;hAccount=&amp;hAccount2=&amp;DbCrd=Either&amp;AcTyp=Any&amp;RpTyp=Either" TargetMode="External"/><Relationship Id="rId862" Type="http://schemas.openxmlformats.org/officeDocument/2006/relationships/hyperlink" Target="file:///\\192.168.11.15\Elmdale-Root\Accounting\pages\CommonAccount.aspx%3fsJump=3303-2093&amp;c.ChartCode=&amp;hAccount=&amp;hAccount2=&amp;DbCrd=Either&amp;AcTyp=Any&amp;RpTyp=Either" TargetMode="External"/><Relationship Id="rId1078" Type="http://schemas.openxmlformats.org/officeDocument/2006/relationships/hyperlink" Target="file:///\\192.168.11.15\Elmdale-Root\Accounting\pages\CommonAccount.aspx%3fsJump=5435-0000&amp;c.ChartCode=&amp;hAccount=&amp;hAccount2=&amp;DbCrd=Either&amp;AcTyp=Any&amp;RpTyp=Either" TargetMode="External"/><Relationship Id="rId1285" Type="http://schemas.openxmlformats.org/officeDocument/2006/relationships/hyperlink" Target="file:///\\192.168.11.15\Elmdale-Root\Accounting\pages\CommonAccount.aspx%3fsJump=8180-0200&amp;c.ChartCode=&amp;hAccount=&amp;hAccount2=&amp;DbCrd=Either&amp;AcTyp=Any&amp;RpTyp=Either" TargetMode="External"/><Relationship Id="rId294" Type="http://schemas.openxmlformats.org/officeDocument/2006/relationships/hyperlink" Target="file:///\\192.168.11.15\Elmdale-Root\Accounting\pages\CommonAccount.aspx%3fsJump=1600-0046&amp;c.ChartCode=&amp;hAccount=&amp;hAccount2=&amp;DbCrd=Either&amp;AcTyp=Any&amp;RpTyp=Either" TargetMode="External"/><Relationship Id="rId308" Type="http://schemas.openxmlformats.org/officeDocument/2006/relationships/hyperlink" Target="file:///\\192.168.11.15\Elmdale-Root\Accounting\pages\CommonAccount.aspx%3fsJump=1600-1009&amp;c.ChartCode=&amp;hAccount=&amp;hAccount2=&amp;DbCrd=Either&amp;AcTyp=Any&amp;RpTyp=Either" TargetMode="External"/><Relationship Id="rId515" Type="http://schemas.openxmlformats.org/officeDocument/2006/relationships/hyperlink" Target="file:///\\192.168.11.15\Elmdale-Root\Accounting\pages\CommonAccount.aspx%3fsJump=3003-1802&amp;c.ChartCode=&amp;hAccount=&amp;hAccount2=&amp;DbCrd=Either&amp;AcTyp=Any&amp;RpTyp=Either" TargetMode="External"/><Relationship Id="rId722" Type="http://schemas.openxmlformats.org/officeDocument/2006/relationships/hyperlink" Target="file:///\\192.168.11.15\Elmdale-Root\Accounting\pages\CommonAccount.aspx%3fsJump=3303-1453&amp;c.ChartCode=&amp;hAccount=&amp;hAccount2=&amp;DbCrd=Either&amp;AcTyp=Any&amp;RpTyp=Either" TargetMode="External"/><Relationship Id="rId1145" Type="http://schemas.openxmlformats.org/officeDocument/2006/relationships/hyperlink" Target="file:///\\192.168.11.15\Elmdale-Root\Accounting\pages\CommonAccount.aspx%3fsJump=6110-1055&amp;c.ChartCode=&amp;hAccount=&amp;hAccount2=&amp;DbCrd=Either&amp;AcTyp=Any&amp;RpTyp=Either" TargetMode="External"/><Relationship Id="rId89" Type="http://schemas.openxmlformats.org/officeDocument/2006/relationships/hyperlink" Target="file:///\\192.168.11.15\Elmdale-Root\Accounting\pages\CommonAccount.aspx%3fsJump=1110-4701&amp;c.ChartCode=&amp;hAccount=&amp;hAccount2=&amp;DbCrd=Either&amp;AcTyp=Any&amp;RpTyp=Either" TargetMode="External"/><Relationship Id="rId154" Type="http://schemas.openxmlformats.org/officeDocument/2006/relationships/hyperlink" Target="file:///\\192.168.11.15\Elmdale-Root\Accounting\pages\CommonAccount.aspx%3fsJump=1110-4970&amp;c.ChartCode=&amp;hAccount=&amp;hAccount2=&amp;DbCrd=Either&amp;AcTyp=Any&amp;RpTyp=Either" TargetMode="External"/><Relationship Id="rId361" Type="http://schemas.openxmlformats.org/officeDocument/2006/relationships/hyperlink" Target="file:///\\192.168.11.15\Elmdale-Root\Accounting\pages\CommonAccount.aspx%3fsJump=2100-1004&amp;c.ChartCode=&amp;hAccount=&amp;hAccount2=&amp;DbCrd=Either&amp;AcTyp=Any&amp;RpTyp=Either" TargetMode="External"/><Relationship Id="rId599" Type="http://schemas.openxmlformats.org/officeDocument/2006/relationships/hyperlink" Target="file:///\\192.168.11.15\Elmdale-Root\Accounting\pages\CommonAccount.aspx%3fsJump=3006-1043&amp;c.ChartCode=&amp;hAccount=&amp;hAccount2=&amp;DbCrd=Either&amp;AcTyp=Any&amp;RpTyp=Either" TargetMode="External"/><Relationship Id="rId1005" Type="http://schemas.openxmlformats.org/officeDocument/2006/relationships/hyperlink" Target="file:///\\192.168.11.15\Elmdale-Root\Accounting\pages\CommonAccount.aspx%3fsJump=3890-0000&amp;c.ChartCode=&amp;hAccount=&amp;hAccount2=&amp;DbCrd=Either&amp;AcTyp=Any&amp;RpTyp=Either" TargetMode="External"/><Relationship Id="rId1212" Type="http://schemas.openxmlformats.org/officeDocument/2006/relationships/hyperlink" Target="file:///\\192.168.11.15\Elmdale-Root\Accounting\pages\CommonAccount.aspx%3fsJump=7000-0012&amp;c.ChartCode=&amp;hAccount=&amp;hAccount2=&amp;DbCrd=Either&amp;AcTyp=Any&amp;RpTyp=Either" TargetMode="External"/><Relationship Id="rId459" Type="http://schemas.openxmlformats.org/officeDocument/2006/relationships/hyperlink" Target="file:///\\192.168.11.15\Elmdale-Root\Accounting\pages\CommonAccount.aspx%3fsJump=2610-0000&amp;c.ChartCode=&amp;hAccount=&amp;hAccount2=&amp;DbCrd=Either&amp;AcTyp=Any&amp;RpTyp=Either" TargetMode="External"/><Relationship Id="rId666" Type="http://schemas.openxmlformats.org/officeDocument/2006/relationships/hyperlink" Target="file:///\\192.168.11.15\Elmdale-Root\Accounting\pages\CommonAccount.aspx%3fsJump=3046-0000&amp;c.ChartCode=&amp;hAccount=&amp;hAccount2=&amp;DbCrd=Either&amp;AcTyp=Any&amp;RpTyp=Either" TargetMode="External"/><Relationship Id="rId873" Type="http://schemas.openxmlformats.org/officeDocument/2006/relationships/hyperlink" Target="file:///\\192.168.11.15\Elmdale-Root\Accounting\pages\CommonAccount.aspx%3fsJump=3303-2104&amp;c.ChartCode=&amp;hAccount=&amp;hAccount2=&amp;DbCrd=Either&amp;AcTyp=Any&amp;RpTyp=Either" TargetMode="External"/><Relationship Id="rId1089" Type="http://schemas.openxmlformats.org/officeDocument/2006/relationships/hyperlink" Target="file:///\\192.168.11.15\Elmdale-Root\Accounting\pages\CommonAccount.aspx%3fsJump=5510-0000&amp;c.ChartCode=&amp;hAccount=&amp;hAccount2=&amp;DbCrd=Either&amp;AcTyp=Any&amp;RpTyp=Either" TargetMode="External"/><Relationship Id="rId1296" Type="http://schemas.openxmlformats.org/officeDocument/2006/relationships/hyperlink" Target="file:///\\192.168.11.15\Elmdale-Root\Accounting\pages\CommonAccount.aspx%3fsJump=8181-0112&amp;c.ChartCode=&amp;hAccount=&amp;hAccount2=&amp;DbCrd=Either&amp;AcTyp=Any&amp;RpTyp=Either" TargetMode="External"/><Relationship Id="rId16" Type="http://schemas.openxmlformats.org/officeDocument/2006/relationships/hyperlink" Target="file:///\\192.168.11.15\Elmdale-Root\Accounting\pages\CommonAccount.aspx%3fsJump=1110-0100&amp;c.ChartCode=&amp;hAccount=&amp;hAccount2=&amp;DbCrd=Either&amp;AcTyp=Any&amp;RpTyp=Either" TargetMode="External"/><Relationship Id="rId221" Type="http://schemas.openxmlformats.org/officeDocument/2006/relationships/hyperlink" Target="file:///\\192.168.11.15\Elmdale-Root\Accounting\pages\CommonAccount.aspx%3fsJump=1413-0000&amp;c.ChartCode=&amp;hAccount=&amp;hAccount2=&amp;DbCrd=Either&amp;AcTyp=Any&amp;RpTyp=Either" TargetMode="External"/><Relationship Id="rId319" Type="http://schemas.openxmlformats.org/officeDocument/2006/relationships/hyperlink" Target="file:///\\192.168.11.15\Elmdale-Root\Accounting\pages\CommonAccount.aspx%3fsJump=1700-0002&amp;c.ChartCode=&amp;hAccount=&amp;hAccount2=&amp;DbCrd=Either&amp;AcTyp=Any&amp;RpTyp=Either" TargetMode="External"/><Relationship Id="rId526" Type="http://schemas.openxmlformats.org/officeDocument/2006/relationships/hyperlink" Target="file:///\\192.168.11.15\Elmdale-Root\Accounting\pages\CommonAccount.aspx%3fsJump=3003-3003&amp;c.ChartCode=&amp;hAccount=&amp;hAccount2=&amp;DbCrd=Either&amp;AcTyp=Any&amp;RpTyp=Either" TargetMode="External"/><Relationship Id="rId1156" Type="http://schemas.openxmlformats.org/officeDocument/2006/relationships/hyperlink" Target="file:///\\192.168.11.15\Elmdale-Root\Accounting\pages\CommonAccount.aspx%3fsJump=6110-1175&amp;c.ChartCode=&amp;hAccount=&amp;hAccount2=&amp;DbCrd=Either&amp;AcTyp=Any&amp;RpTyp=Either" TargetMode="External"/><Relationship Id="rId733" Type="http://schemas.openxmlformats.org/officeDocument/2006/relationships/hyperlink" Target="file:///\\192.168.11.15\Elmdale-Root\Accounting\pages\CommonAccount.aspx%3fsJump=3303-1482&amp;c.ChartCode=&amp;hAccount=&amp;hAccount2=&amp;DbCrd=Either&amp;AcTyp=Any&amp;RpTyp=Either" TargetMode="External"/><Relationship Id="rId940" Type="http://schemas.openxmlformats.org/officeDocument/2006/relationships/hyperlink" Target="file:///\\192.168.11.15\Elmdale-Root\Accounting\pages\CommonAccount.aspx%3fsJump=3303-2171&amp;c.ChartCode=&amp;hAccount=&amp;hAccount2=&amp;DbCrd=Either&amp;AcTyp=Any&amp;RpTyp=Either" TargetMode="External"/><Relationship Id="rId1016" Type="http://schemas.openxmlformats.org/officeDocument/2006/relationships/hyperlink" Target="file:///\\192.168.11.15\Elmdale-Root\Accounting\pages\CommonAccount.aspx%3fsJump=4500-0001&amp;c.ChartCode=&amp;hAccount=&amp;hAccount2=&amp;DbCrd=Either&amp;AcTyp=Any&amp;RpTyp=Either" TargetMode="External"/><Relationship Id="rId165" Type="http://schemas.openxmlformats.org/officeDocument/2006/relationships/hyperlink" Target="file:///\\192.168.11.15\Elmdale-Root\Accounting\pages\CommonAccount.aspx%3fsJump=1110-4981&amp;c.ChartCode=&amp;hAccount=&amp;hAccount2=&amp;DbCrd=Either&amp;AcTyp=Any&amp;RpTyp=Either" TargetMode="External"/><Relationship Id="rId372" Type="http://schemas.openxmlformats.org/officeDocument/2006/relationships/hyperlink" Target="file:///\\192.168.11.15\Elmdale-Root\Accounting\pages\CommonAccount.aspx%3fsJump=2150-0001&amp;c.ChartCode=&amp;hAccount=&amp;hAccount2=&amp;DbCrd=Either&amp;AcTyp=Any&amp;RpTyp=Either" TargetMode="External"/><Relationship Id="rId677" Type="http://schemas.openxmlformats.org/officeDocument/2006/relationships/hyperlink" Target="file:///\\192.168.11.15\Elmdale-Root\Accounting\pages\CommonAccount.aspx%3fsJump=3060-0000&amp;c.ChartCode=&amp;hAccount=&amp;hAccount2=&amp;DbCrd=Either&amp;AcTyp=Any&amp;RpTyp=Either" TargetMode="External"/><Relationship Id="rId800" Type="http://schemas.openxmlformats.org/officeDocument/2006/relationships/hyperlink" Target="file:///\\192.168.11.15\Elmdale-Root\Accounting\pages\CommonAccount.aspx%3fsJump=3303-2031&amp;c.ChartCode=&amp;hAccount=&amp;hAccount2=&amp;DbCrd=Either&amp;AcTyp=Any&amp;RpTyp=Either" TargetMode="External"/><Relationship Id="rId1223" Type="http://schemas.openxmlformats.org/officeDocument/2006/relationships/hyperlink" Target="file:///\\192.168.11.15\Elmdale-Root\Accounting\pages\CommonAccount.aspx%3fsJump=7000-0048&amp;c.ChartCode=&amp;hAccount=&amp;hAccount2=&amp;DbCrd=Either&amp;AcTyp=Any&amp;RpTyp=Either" TargetMode="External"/><Relationship Id="rId232" Type="http://schemas.openxmlformats.org/officeDocument/2006/relationships/hyperlink" Target="file:///\\192.168.11.15\Elmdale-Root\Accounting\pages\CommonAccount.aspx%3fsJump=1500-0009&amp;c.ChartCode=&amp;hAccount=&amp;hAccount2=&amp;DbCrd=Either&amp;AcTyp=Any&amp;RpTyp=Either" TargetMode="External"/><Relationship Id="rId884" Type="http://schemas.openxmlformats.org/officeDocument/2006/relationships/hyperlink" Target="file:///\\192.168.11.15\Elmdale-Root\Accounting\pages\CommonAccount.aspx%3fsJump=3303-2115&amp;c.ChartCode=&amp;hAccount=&amp;hAccount2=&amp;DbCrd=Either&amp;AcTyp=Any&amp;RpTyp=Either" TargetMode="External"/><Relationship Id="rId27" Type="http://schemas.openxmlformats.org/officeDocument/2006/relationships/hyperlink" Target="file:///\\192.168.11.15\Elmdale-Root\Accounting\pages\CommonAccount.aspx%3fsJump=1110-1435&amp;c.ChartCode=&amp;hAccount=&amp;hAccount2=&amp;DbCrd=Either&amp;AcTyp=Any&amp;RpTyp=Either" TargetMode="External"/><Relationship Id="rId537" Type="http://schemas.openxmlformats.org/officeDocument/2006/relationships/hyperlink" Target="file:///\\192.168.11.15\Elmdale-Root\Accounting\pages\CommonAccount.aspx%3fsJump=3003-6002&amp;c.ChartCode=&amp;hAccount=&amp;hAccount2=&amp;DbCrd=Either&amp;AcTyp=Any&amp;RpTyp=Either" TargetMode="External"/><Relationship Id="rId744" Type="http://schemas.openxmlformats.org/officeDocument/2006/relationships/hyperlink" Target="file:///\\192.168.11.15\Elmdale-Root\Accounting\pages\CommonAccount.aspx%3fsJump=3303-1511&amp;c.ChartCode=&amp;hAccount=&amp;hAccount2=&amp;DbCrd=Either&amp;AcTyp=Any&amp;RpTyp=Either" TargetMode="External"/><Relationship Id="rId951" Type="http://schemas.openxmlformats.org/officeDocument/2006/relationships/hyperlink" Target="file:///\\192.168.11.15\Elmdale-Root\Accounting\pages\CommonAccount.aspx%3fsJump=3303-2182&amp;c.ChartCode=&amp;hAccount=&amp;hAccount2=&amp;DbCrd=Either&amp;AcTyp=Any&amp;RpTyp=Either" TargetMode="External"/><Relationship Id="rId1167" Type="http://schemas.openxmlformats.org/officeDocument/2006/relationships/hyperlink" Target="file:///\\192.168.11.15\Elmdale-Root\Accounting\pages\CommonAccount.aspx%3fsJump=6200-0045&amp;c.ChartCode=&amp;hAccount=&amp;hAccount2=&amp;DbCrd=Either&amp;AcTyp=Any&amp;RpTyp=Either" TargetMode="External"/><Relationship Id="rId80" Type="http://schemas.openxmlformats.org/officeDocument/2006/relationships/hyperlink" Target="file:///\\192.168.11.15\Elmdale-Root\Accounting\pages\CommonAccount.aspx%3fsJump=1110-3311&amp;c.ChartCode=&amp;hAccount=&amp;hAccount2=&amp;DbCrd=Either&amp;AcTyp=Any&amp;RpTyp=Either" TargetMode="External"/><Relationship Id="rId176" Type="http://schemas.openxmlformats.org/officeDocument/2006/relationships/hyperlink" Target="file:///\\192.168.11.15\Elmdale-Root\Accounting\pages\CommonAccount.aspx%3fsJump=1121-0000&amp;c.ChartCode=&amp;hAccount=&amp;hAccount2=&amp;DbCrd=Either&amp;AcTyp=Any&amp;RpTyp=Either" TargetMode="External"/><Relationship Id="rId383" Type="http://schemas.openxmlformats.org/officeDocument/2006/relationships/hyperlink" Target="file:///\\192.168.11.15\Elmdale-Root\Accounting\pages\CommonAccount.aspx%3fsJump=2150-0012&amp;c.ChartCode=&amp;hAccount=&amp;hAccount2=&amp;DbCrd=Either&amp;AcTyp=Any&amp;RpTyp=Either" TargetMode="External"/><Relationship Id="rId590" Type="http://schemas.openxmlformats.org/officeDocument/2006/relationships/hyperlink" Target="file:///\\192.168.11.15\Elmdale-Root\Accounting\pages\CommonAccount.aspx%3fsJump=3006-1034&amp;c.ChartCode=&amp;hAccount=&amp;hAccount2=&amp;DbCrd=Either&amp;AcTyp=Any&amp;RpTyp=Either" TargetMode="External"/><Relationship Id="rId604" Type="http://schemas.openxmlformats.org/officeDocument/2006/relationships/hyperlink" Target="file:///\\192.168.11.15\Elmdale-Root\Accounting\pages\CommonAccount.aspx%3fsJump=3006-1048&amp;c.ChartCode=&amp;hAccount=&amp;hAccount2=&amp;DbCrd=Either&amp;AcTyp=Any&amp;RpTyp=Either" TargetMode="External"/><Relationship Id="rId811" Type="http://schemas.openxmlformats.org/officeDocument/2006/relationships/hyperlink" Target="file:///\\192.168.11.15\Elmdale-Root\Accounting\pages\CommonAccount.aspx%3fsJump=3303-2042&amp;c.ChartCode=&amp;hAccount=&amp;hAccount2=&amp;DbCrd=Either&amp;AcTyp=Any&amp;RpTyp=Either" TargetMode="External"/><Relationship Id="rId1027" Type="http://schemas.openxmlformats.org/officeDocument/2006/relationships/hyperlink" Target="file:///\\192.168.11.15\Elmdale-Root\Accounting\pages\CommonAccount.aspx%3fsJump=4710-0002&amp;c.ChartCode=&amp;hAccount=&amp;hAccount2=&amp;DbCrd=Either&amp;AcTyp=Any&amp;RpTyp=Either" TargetMode="External"/><Relationship Id="rId1234" Type="http://schemas.openxmlformats.org/officeDocument/2006/relationships/hyperlink" Target="file:///\\192.168.11.15\Elmdale-Root\Accounting\pages\CommonAccount.aspx%3fsJump=7200-0002&amp;c.ChartCode=&amp;hAccount=&amp;hAccount2=&amp;DbCrd=Either&amp;AcTyp=Any&amp;RpTyp=Either" TargetMode="External"/><Relationship Id="rId243" Type="http://schemas.openxmlformats.org/officeDocument/2006/relationships/hyperlink" Target="file:///\\192.168.11.15\Elmdale-Root\Accounting\pages\CommonAccount.aspx%3fsJump=1500-0040&amp;c.ChartCode=&amp;hAccount=&amp;hAccount2=&amp;DbCrd=Either&amp;AcTyp=Any&amp;RpTyp=Either" TargetMode="External"/><Relationship Id="rId450" Type="http://schemas.openxmlformats.org/officeDocument/2006/relationships/hyperlink" Target="file:///\\192.168.11.15\Elmdale-Root\Accounting\pages\CommonAccount.aspx%3fsJump=2431-0000&amp;c.ChartCode=&amp;hAccount=&amp;hAccount2=&amp;DbCrd=Either&amp;AcTyp=Any&amp;RpTyp=Either" TargetMode="External"/><Relationship Id="rId688" Type="http://schemas.openxmlformats.org/officeDocument/2006/relationships/hyperlink" Target="file:///\\192.168.11.15\Elmdale-Root\Accounting\pages\CommonAccount.aspx%3fsJump=3080-0000&amp;c.ChartCode=&amp;hAccount=&amp;hAccount2=&amp;DbCrd=Either&amp;AcTyp=Any&amp;RpTyp=Either" TargetMode="External"/><Relationship Id="rId895" Type="http://schemas.openxmlformats.org/officeDocument/2006/relationships/hyperlink" Target="file:///\\192.168.11.15\Elmdale-Root\Accounting\pages\CommonAccount.aspx%3fsJump=3303-2126&amp;c.ChartCode=&amp;hAccount=&amp;hAccount2=&amp;DbCrd=Either&amp;AcTyp=Any&amp;RpTyp=Either" TargetMode="External"/><Relationship Id="rId909" Type="http://schemas.openxmlformats.org/officeDocument/2006/relationships/hyperlink" Target="file:///\\192.168.11.15\Elmdale-Root\Accounting\pages\CommonAccount.aspx%3fsJump=3303-2140&amp;c.ChartCode=&amp;hAccount=&amp;hAccount2=&amp;DbCrd=Either&amp;AcTyp=Any&amp;RpTyp=Either" TargetMode="External"/><Relationship Id="rId1080" Type="http://schemas.openxmlformats.org/officeDocument/2006/relationships/hyperlink" Target="file:///\\192.168.11.15\Elmdale-Root\Accounting\pages\CommonAccount.aspx%3fsJump=5460-0000&amp;c.ChartCode=&amp;hAccount=&amp;hAccount2=&amp;DbCrd=Either&amp;AcTyp=Any&amp;RpTyp=Either" TargetMode="External"/><Relationship Id="rId1301" Type="http://schemas.openxmlformats.org/officeDocument/2006/relationships/hyperlink" Target="file:///\\192.168.11.15\Elmdale-Root\Accounting\pages\CommonAccount.aspx%3fsJump=8181-2000&amp;c.ChartCode=&amp;hAccount=&amp;hAccount2=&amp;DbCrd=Either&amp;AcTyp=Any&amp;RpTyp=Either" TargetMode="External"/><Relationship Id="rId38" Type="http://schemas.openxmlformats.org/officeDocument/2006/relationships/hyperlink" Target="file:///\\192.168.11.15\Elmdale-Root\Accounting\pages\CommonAccount.aspx%3fsJump=1110-1509&amp;c.ChartCode=&amp;hAccount=&amp;hAccount2=&amp;DbCrd=Either&amp;AcTyp=Any&amp;RpTyp=Either" TargetMode="External"/><Relationship Id="rId103" Type="http://schemas.openxmlformats.org/officeDocument/2006/relationships/hyperlink" Target="file:///\\192.168.11.15\Elmdale-Root\Accounting\pages\CommonAccount.aspx%3fsJump=1110-4909&amp;c.ChartCode=&amp;hAccount=&amp;hAccount2=&amp;DbCrd=Either&amp;AcTyp=Any&amp;RpTyp=Either" TargetMode="External"/><Relationship Id="rId310" Type="http://schemas.openxmlformats.org/officeDocument/2006/relationships/hyperlink" Target="file:///\\192.168.11.15\Elmdale-Root\Accounting\pages\CommonAccount.aspx%3fsJump=1600-1011&amp;c.ChartCode=&amp;hAccount=&amp;hAccount2=&amp;DbCrd=Either&amp;AcTyp=Any&amp;RpTyp=Either" TargetMode="External"/><Relationship Id="rId548" Type="http://schemas.openxmlformats.org/officeDocument/2006/relationships/hyperlink" Target="file:///\\192.168.11.15\Elmdale-Root\Accounting\pages\CommonAccount.aspx%3fsJump=3003-9001&amp;c.ChartCode=&amp;hAccount=&amp;hAccount2=&amp;DbCrd=Either&amp;AcTyp=Any&amp;RpTyp=Either" TargetMode="External"/><Relationship Id="rId755" Type="http://schemas.openxmlformats.org/officeDocument/2006/relationships/hyperlink" Target="file:///\\192.168.11.15\Elmdale-Root\Accounting\pages\CommonAccount.aspx%3fsJump=3303-1530&amp;c.ChartCode=&amp;hAccount=&amp;hAccount2=&amp;DbCrd=Either&amp;AcTyp=Any&amp;RpTyp=Either" TargetMode="External"/><Relationship Id="rId962" Type="http://schemas.openxmlformats.org/officeDocument/2006/relationships/hyperlink" Target="file:///\\192.168.11.15\Elmdale-Root\Accounting\pages\CommonAccount.aspx%3fsJump=3303-2193&amp;c.ChartCode=&amp;hAccount=&amp;hAccount2=&amp;DbCrd=Either&amp;AcTyp=Any&amp;RpTyp=Either" TargetMode="External"/><Relationship Id="rId1178" Type="http://schemas.openxmlformats.org/officeDocument/2006/relationships/hyperlink" Target="file:///\\192.168.11.15\Elmdale-Root\Accounting\pages\CommonAccount.aspx%3fsJump=6400-0000&amp;c.ChartCode=&amp;hAccount=&amp;hAccount2=&amp;DbCrd=Either&amp;AcTyp=Any&amp;RpTyp=Either" TargetMode="External"/><Relationship Id="rId91" Type="http://schemas.openxmlformats.org/officeDocument/2006/relationships/hyperlink" Target="file:///\\192.168.11.15\Elmdale-Root\Accounting\pages\CommonAccount.aspx%3fsJump=1110-4897&amp;c.ChartCode=&amp;hAccount=&amp;hAccount2=&amp;DbCrd=Either&amp;AcTyp=Any&amp;RpTyp=Either" TargetMode="External"/><Relationship Id="rId187" Type="http://schemas.openxmlformats.org/officeDocument/2006/relationships/hyperlink" Target="file:///\\192.168.11.15\Elmdale-Root\Accounting\pages\CommonAccount.aspx%3fsJump=1180-0000&amp;c.ChartCode=&amp;hAccount=&amp;hAccount2=&amp;DbCrd=Either&amp;AcTyp=Any&amp;RpTyp=Either" TargetMode="External"/><Relationship Id="rId394" Type="http://schemas.openxmlformats.org/officeDocument/2006/relationships/hyperlink" Target="file:///\\192.168.11.15\Elmdale-Root\Accounting\pages\CommonAccount.aspx%3fsJump=2150-0023&amp;c.ChartCode=&amp;hAccount=&amp;hAccount2=&amp;DbCrd=Either&amp;AcTyp=Any&amp;RpTyp=Either" TargetMode="External"/><Relationship Id="rId408" Type="http://schemas.openxmlformats.org/officeDocument/2006/relationships/hyperlink" Target="file:///\\192.168.11.15\Elmdale-Root\Accounting\pages\CommonAccount.aspx%3fsJump=2256-0000&amp;c.ChartCode=&amp;hAccount=&amp;hAccount2=&amp;DbCrd=Either&amp;AcTyp=Any&amp;RpTyp=Either" TargetMode="External"/><Relationship Id="rId615" Type="http://schemas.openxmlformats.org/officeDocument/2006/relationships/hyperlink" Target="file:///\\192.168.11.15\Elmdale-Root\Accounting\pages\CommonAccount.aspx%3fsJump=3006-1059&amp;c.ChartCode=&amp;hAccount=&amp;hAccount2=&amp;DbCrd=Either&amp;AcTyp=Any&amp;RpTyp=Either" TargetMode="External"/><Relationship Id="rId822" Type="http://schemas.openxmlformats.org/officeDocument/2006/relationships/hyperlink" Target="file:///\\192.168.11.15\Elmdale-Root\Accounting\pages\CommonAccount.aspx%3fsJump=3303-2053&amp;c.ChartCode=&amp;hAccount=&amp;hAccount2=&amp;DbCrd=Either&amp;AcTyp=Any&amp;RpTyp=Either" TargetMode="External"/><Relationship Id="rId1038" Type="http://schemas.openxmlformats.org/officeDocument/2006/relationships/hyperlink" Target="file:///\\192.168.11.15\Elmdale-Root\Accounting\pages\CommonAccount.aspx%3fsJump=4820-0000&amp;c.ChartCode=&amp;hAccount=&amp;hAccount2=&amp;DbCrd=Either&amp;AcTyp=Any&amp;RpTyp=Either" TargetMode="External"/><Relationship Id="rId1245" Type="http://schemas.openxmlformats.org/officeDocument/2006/relationships/hyperlink" Target="file:///\\192.168.11.15\Elmdale-Root\Accounting\pages\CommonAccount.aspx%3fsJump=7340-0000&amp;c.ChartCode=&amp;hAccount=&amp;hAccount2=&amp;DbCrd=Either&amp;AcTyp=Any&amp;RpTyp=Either" TargetMode="External"/><Relationship Id="rId254" Type="http://schemas.openxmlformats.org/officeDocument/2006/relationships/hyperlink" Target="file:///\\192.168.11.15\Elmdale-Root\Accounting\pages\CommonAccount.aspx%3fsJump=1500-0075&amp;c.ChartCode=&amp;hAccount=&amp;hAccount2=&amp;DbCrd=Either&amp;AcTyp=Any&amp;RpTyp=Either" TargetMode="External"/><Relationship Id="rId699" Type="http://schemas.openxmlformats.org/officeDocument/2006/relationships/hyperlink" Target="file:///\\192.168.11.15\Elmdale-Root\Accounting\pages\CommonAccount.aspx%3fsJump=3207-1000&amp;c.ChartCode=&amp;hAccount=&amp;hAccount2=&amp;DbCrd=Either&amp;AcTyp=Any&amp;RpTyp=Either" TargetMode="External"/><Relationship Id="rId1091" Type="http://schemas.openxmlformats.org/officeDocument/2006/relationships/hyperlink" Target="file:///\\192.168.11.15\Elmdale-Root\Accounting\pages\CommonAccount.aspx%3fsJump=5550-0000&amp;c.ChartCode=&amp;hAccount=&amp;hAccount2=&amp;DbCrd=Either&amp;AcTyp=Any&amp;RpTyp=Either" TargetMode="External"/><Relationship Id="rId1105" Type="http://schemas.openxmlformats.org/officeDocument/2006/relationships/hyperlink" Target="file:///\\192.168.11.15\Elmdale-Root\Accounting\pages\CommonAccount.aspx%3fsJump=5740-0000&amp;c.ChartCode=&amp;hAccount=&amp;hAccount2=&amp;DbCrd=Either&amp;AcTyp=Any&amp;RpTyp=Either" TargetMode="External"/><Relationship Id="rId1312" Type="http://schemas.openxmlformats.org/officeDocument/2006/relationships/hyperlink" Target="file:///\\192.168.11.15\Elmdale-Root\Accounting\pages\CommonAccount.aspx%3fsJump=8590-0002&amp;c.ChartCode=&amp;hAccount=&amp;hAccount2=&amp;DbCrd=Either&amp;AcTyp=Any&amp;RpTyp=Either" TargetMode="External"/><Relationship Id="rId49" Type="http://schemas.openxmlformats.org/officeDocument/2006/relationships/hyperlink" Target="file:///\\192.168.11.15\Elmdale-Root\Accounting\pages\CommonAccount.aspx%3fsJump=1110-1520&amp;c.ChartCode=&amp;hAccount=&amp;hAccount2=&amp;DbCrd=Either&amp;AcTyp=Any&amp;RpTyp=Either" TargetMode="External"/><Relationship Id="rId114" Type="http://schemas.openxmlformats.org/officeDocument/2006/relationships/hyperlink" Target="file:///\\192.168.11.15\Elmdale-Root\Accounting\pages\CommonAccount.aspx%3fsJump=1110-4920&amp;c.ChartCode=&amp;hAccount=&amp;hAccount2=&amp;DbCrd=Either&amp;AcTyp=Any&amp;RpTyp=Either" TargetMode="External"/><Relationship Id="rId461" Type="http://schemas.openxmlformats.org/officeDocument/2006/relationships/hyperlink" Target="file:///\\192.168.11.15\Elmdale-Root\Accounting\pages\CommonAccount.aspx%3fsJump=2630-0000&amp;c.ChartCode=&amp;hAccount=&amp;hAccount2=&amp;DbCrd=Either&amp;AcTyp=Any&amp;RpTyp=Either" TargetMode="External"/><Relationship Id="rId559" Type="http://schemas.openxmlformats.org/officeDocument/2006/relationships/hyperlink" Target="file:///\\192.168.11.15\Elmdale-Root\Accounting\pages\CommonAccount.aspx%3fsJump=3006-1003&amp;c.ChartCode=&amp;hAccount=&amp;hAccount2=&amp;DbCrd=Either&amp;AcTyp=Any&amp;RpTyp=Either" TargetMode="External"/><Relationship Id="rId766" Type="http://schemas.openxmlformats.org/officeDocument/2006/relationships/hyperlink" Target="file:///\\192.168.11.15\Elmdale-Root\Accounting\pages\CommonAccount.aspx%3fsJump=3303-1553&amp;c.ChartCode=&amp;hAccount=&amp;hAccount2=&amp;DbCrd=Either&amp;AcTyp=Any&amp;RpTyp=Either" TargetMode="External"/><Relationship Id="rId1189" Type="http://schemas.openxmlformats.org/officeDocument/2006/relationships/hyperlink" Target="file:///\\192.168.11.15\Elmdale-Root\Accounting\pages\CommonAccount.aspx%3fsJump=6425-0000&amp;c.ChartCode=&amp;hAccount=&amp;hAccount2=&amp;DbCrd=Either&amp;AcTyp=Any&amp;RpTyp=Either" TargetMode="External"/><Relationship Id="rId198" Type="http://schemas.openxmlformats.org/officeDocument/2006/relationships/hyperlink" Target="file:///\\192.168.11.15\Elmdale-Root\Accounting\pages\CommonAccount.aspx%3fsJump=1200-0008&amp;c.ChartCode=&amp;hAccount=&amp;hAccount2=&amp;DbCrd=Either&amp;AcTyp=Any&amp;RpTyp=Either" TargetMode="External"/><Relationship Id="rId321" Type="http://schemas.openxmlformats.org/officeDocument/2006/relationships/hyperlink" Target="file:///\\192.168.11.15\Elmdale-Root\Accounting\pages\CommonAccount.aspx%3fsJump=1700-6333&amp;c.ChartCode=&amp;hAccount=&amp;hAccount2=&amp;DbCrd=Either&amp;AcTyp=Any&amp;RpTyp=Either" TargetMode="External"/><Relationship Id="rId419" Type="http://schemas.openxmlformats.org/officeDocument/2006/relationships/hyperlink" Target="file:///\\192.168.11.15\Elmdale-Root\Accounting\pages\CommonAccount.aspx%3fsJump=2305-0451&amp;c.ChartCode=&amp;hAccount=&amp;hAccount2=&amp;DbCrd=Either&amp;AcTyp=Any&amp;RpTyp=Either" TargetMode="External"/><Relationship Id="rId626" Type="http://schemas.openxmlformats.org/officeDocument/2006/relationships/hyperlink" Target="file:///\\192.168.11.15\Elmdale-Root\Accounting\pages\CommonAccount.aspx%3fsJump=3006-1070&amp;c.ChartCode=&amp;hAccount=&amp;hAccount2=&amp;DbCrd=Either&amp;AcTyp=Any&amp;RpTyp=Either" TargetMode="External"/><Relationship Id="rId973" Type="http://schemas.openxmlformats.org/officeDocument/2006/relationships/hyperlink" Target="file:///\\192.168.11.15\Elmdale-Root\Accounting\pages\CommonAccount.aspx%3fsJump=3303-2204&amp;c.ChartCode=&amp;hAccount=&amp;hAccount2=&amp;DbCrd=Either&amp;AcTyp=Any&amp;RpTyp=Either" TargetMode="External"/><Relationship Id="rId1049" Type="http://schemas.openxmlformats.org/officeDocument/2006/relationships/hyperlink" Target="file:///\\192.168.11.15\Elmdale-Root\Accounting\pages\CommonAccount.aspx%3fsJump=5110-0000&amp;c.ChartCode=&amp;hAccount=&amp;hAccount2=&amp;DbCrd=Either&amp;AcTyp=Any&amp;RpTyp=Either" TargetMode="External"/><Relationship Id="rId1256" Type="http://schemas.openxmlformats.org/officeDocument/2006/relationships/hyperlink" Target="file:///\\192.168.11.15\Elmdale-Root\Accounting\pages\CommonAccount.aspx%3fsJump=8000-0001&amp;c.ChartCode=&amp;hAccount=&amp;hAccount2=&amp;DbCrd=Either&amp;AcTyp=Any&amp;RpTyp=Either" TargetMode="External"/><Relationship Id="rId833" Type="http://schemas.openxmlformats.org/officeDocument/2006/relationships/hyperlink" Target="file:///\\192.168.11.15\Elmdale-Root\Accounting\pages\CommonAccount.aspx%3fsJump=3303-2064&amp;c.ChartCode=&amp;hAccount=&amp;hAccount2=&amp;DbCrd=Either&amp;AcTyp=Any&amp;RpTyp=Either" TargetMode="External"/><Relationship Id="rId1116" Type="http://schemas.openxmlformats.org/officeDocument/2006/relationships/hyperlink" Target="file:///\\192.168.11.15\Elmdale-Root\Accounting\pages\CommonAccount.aspx%3fsJump=6002-0000&amp;c.ChartCode=&amp;hAccount=&amp;hAccount2=&amp;DbCrd=Either&amp;AcTyp=Any&amp;RpTyp=Either" TargetMode="External"/><Relationship Id="rId265" Type="http://schemas.openxmlformats.org/officeDocument/2006/relationships/hyperlink" Target="file:///\\192.168.11.15\Elmdale-Root\Accounting\pages\CommonAccount.aspx%3fsJump=1600-0005&amp;c.ChartCode=&amp;hAccount=&amp;hAccount2=&amp;DbCrd=Either&amp;AcTyp=Any&amp;RpTyp=Either" TargetMode="External"/><Relationship Id="rId472" Type="http://schemas.openxmlformats.org/officeDocument/2006/relationships/hyperlink" Target="file:///\\192.168.11.15\Elmdale-Root\Accounting\pages\CommonAccount.aspx%3fsJump=3003-0000&amp;c.ChartCode=&amp;hAccount=&amp;hAccount2=&amp;DbCrd=Either&amp;AcTyp=Any&amp;RpTyp=Either" TargetMode="External"/><Relationship Id="rId900" Type="http://schemas.openxmlformats.org/officeDocument/2006/relationships/hyperlink" Target="file:///\\192.168.11.15\Elmdale-Root\Accounting\pages\CommonAccount.aspx%3fsJump=3303-2131&amp;c.ChartCode=&amp;hAccount=&amp;hAccount2=&amp;DbCrd=Either&amp;AcTyp=Any&amp;RpTyp=Either" TargetMode="External"/><Relationship Id="rId1323" Type="http://schemas.openxmlformats.org/officeDocument/2006/relationships/hyperlink" Target="file:///\\192.168.11.15\Elmdale-Root\Accounting\pages\CommonAccount.aspx%3fsJump=9000-1003&amp;c.ChartCode=&amp;hAccount=&amp;hAccount2=&amp;DbCrd=Either&amp;AcTyp=Any&amp;RpTyp=Either" TargetMode="External"/><Relationship Id="rId125" Type="http://schemas.openxmlformats.org/officeDocument/2006/relationships/hyperlink" Target="file:///\\192.168.11.15\Elmdale-Root\Accounting\pages\CommonAccount.aspx%3fsJump=1110-4940&amp;c.ChartCode=&amp;hAccount=&amp;hAccount2=&amp;DbCrd=Either&amp;AcTyp=Any&amp;RpTyp=Either" TargetMode="External"/><Relationship Id="rId332" Type="http://schemas.openxmlformats.org/officeDocument/2006/relationships/hyperlink" Target="file:///\\192.168.11.15\Elmdale-Root\Accounting\pages\CommonAccount.aspx%3fsJump=1900-0000&amp;c.ChartCode=&amp;hAccount=&amp;hAccount2=&amp;DbCrd=Either&amp;AcTyp=Any&amp;RpTyp=Either" TargetMode="External"/><Relationship Id="rId777" Type="http://schemas.openxmlformats.org/officeDocument/2006/relationships/hyperlink" Target="file:///\\192.168.11.15\Elmdale-Root\Accounting\pages\CommonAccount.aspx%3fsJump=3303-2007&amp;c.ChartCode=&amp;hAccount=&amp;hAccount2=&amp;DbCrd=Either&amp;AcTyp=Any&amp;RpTyp=Either" TargetMode="External"/><Relationship Id="rId984" Type="http://schemas.openxmlformats.org/officeDocument/2006/relationships/hyperlink" Target="file:///\\192.168.11.15\Elmdale-Root\Accounting\pages\CommonAccount.aspx%3fsJump=3303-2215&amp;c.ChartCode=&amp;hAccount=&amp;hAccount2=&amp;DbCrd=Either&amp;AcTyp=Any&amp;RpTyp=Either" TargetMode="External"/><Relationship Id="rId637" Type="http://schemas.openxmlformats.org/officeDocument/2006/relationships/hyperlink" Target="file:///\\192.168.11.15\Elmdale-Root\Accounting\pages\CommonAccount.aspx%3fsJump=3010-1001&amp;c.ChartCode=&amp;hAccount=&amp;hAccount2=&amp;DbCrd=Either&amp;AcTyp=Any&amp;RpTyp=Either" TargetMode="External"/><Relationship Id="rId844" Type="http://schemas.openxmlformats.org/officeDocument/2006/relationships/hyperlink" Target="file:///\\192.168.11.15\Elmdale-Root\Accounting\pages\CommonAccount.aspx%3fsJump=3303-2075&amp;c.ChartCode=&amp;hAccount=&amp;hAccount2=&amp;DbCrd=Either&amp;AcTyp=Any&amp;RpTyp=Either" TargetMode="External"/><Relationship Id="rId1267" Type="http://schemas.openxmlformats.org/officeDocument/2006/relationships/hyperlink" Target="file:///\\192.168.11.15\Elmdale-Root\Accounting\pages\CommonAccount.aspx%3fsJump=8170-0000&amp;c.ChartCode=&amp;hAccount=&amp;hAccount2=&amp;DbCrd=Either&amp;AcTyp=Any&amp;RpTyp=Either" TargetMode="External"/><Relationship Id="rId276" Type="http://schemas.openxmlformats.org/officeDocument/2006/relationships/hyperlink" Target="file:///\\192.168.11.15\Elmdale-Root\Accounting\pages\CommonAccount.aspx%3fsJump=1600-0017&amp;c.ChartCode=&amp;hAccount=&amp;hAccount2=&amp;DbCrd=Either&amp;AcTyp=Any&amp;RpTyp=Either" TargetMode="External"/><Relationship Id="rId483" Type="http://schemas.openxmlformats.org/officeDocument/2006/relationships/hyperlink" Target="file:///\\192.168.11.15\Elmdale-Root\Accounting\pages\CommonAccount.aspx%3fsJump=3003-1002&amp;c.ChartCode=&amp;hAccount=&amp;hAccount2=&amp;DbCrd=Either&amp;AcTyp=Any&amp;RpTyp=Either" TargetMode="External"/><Relationship Id="rId690" Type="http://schemas.openxmlformats.org/officeDocument/2006/relationships/hyperlink" Target="file:///\\192.168.11.15\Elmdale-Root\Accounting\pages\CommonAccount.aspx%3fsJump=3086-0000&amp;c.ChartCode=&amp;hAccount=&amp;hAccount2=&amp;DbCrd=Either&amp;AcTyp=Any&amp;RpTyp=Either" TargetMode="External"/><Relationship Id="rId704" Type="http://schemas.openxmlformats.org/officeDocument/2006/relationships/hyperlink" Target="file:///\\192.168.11.15\Elmdale-Root\Accounting\pages\CommonAccount.aspx%3fsJump=3303-1411&amp;c.ChartCode=&amp;hAccount=&amp;hAccount2=&amp;DbCrd=Either&amp;AcTyp=Any&amp;RpTyp=Either" TargetMode="External"/><Relationship Id="rId911" Type="http://schemas.openxmlformats.org/officeDocument/2006/relationships/hyperlink" Target="file:///\\192.168.11.15\Elmdale-Root\Accounting\pages\CommonAccount.aspx%3fsJump=3303-2142&amp;c.ChartCode=&amp;hAccount=&amp;hAccount2=&amp;DbCrd=Either&amp;AcTyp=Any&amp;RpTyp=Either" TargetMode="External"/><Relationship Id="rId1127" Type="http://schemas.openxmlformats.org/officeDocument/2006/relationships/hyperlink" Target="file:///\\192.168.11.15\Elmdale-Root\Accounting\pages\CommonAccount.aspx%3fsJump=6100-0000&amp;c.ChartCode=&amp;hAccount=&amp;hAccount2=&amp;DbCrd=Either&amp;AcTyp=Any&amp;RpTyp=Either" TargetMode="External"/><Relationship Id="rId40" Type="http://schemas.openxmlformats.org/officeDocument/2006/relationships/hyperlink" Target="file:///\\192.168.11.15\Elmdale-Root\Accounting\pages\CommonAccount.aspx%3fsJump=1110-1511&amp;c.ChartCode=&amp;hAccount=&amp;hAccount2=&amp;DbCrd=Either&amp;AcTyp=Any&amp;RpTyp=Either" TargetMode="External"/><Relationship Id="rId136" Type="http://schemas.openxmlformats.org/officeDocument/2006/relationships/hyperlink" Target="file:///\\192.168.11.15\Elmdale-Root\Accounting\pages\CommonAccount.aspx%3fsJump=1110-4951&amp;c.ChartCode=&amp;hAccount=&amp;hAccount2=&amp;DbCrd=Either&amp;AcTyp=Any&amp;RpTyp=Either" TargetMode="External"/><Relationship Id="rId343" Type="http://schemas.openxmlformats.org/officeDocument/2006/relationships/hyperlink" Target="file:///\\192.168.11.15\Elmdale-Root\Accounting\pages\CommonAccount.aspx%3fsJump=1900-1009&amp;c.ChartCode=&amp;hAccount=&amp;hAccount2=&amp;DbCrd=Either&amp;AcTyp=Any&amp;RpTyp=Either" TargetMode="External"/><Relationship Id="rId550" Type="http://schemas.openxmlformats.org/officeDocument/2006/relationships/hyperlink" Target="file:///\\192.168.11.15\Elmdale-Root\Accounting\pages\CommonAccount.aspx%3fsJump=3003-9003&amp;c.ChartCode=&amp;hAccount=&amp;hAccount2=&amp;DbCrd=Either&amp;AcTyp=Any&amp;RpTyp=Either" TargetMode="External"/><Relationship Id="rId788" Type="http://schemas.openxmlformats.org/officeDocument/2006/relationships/hyperlink" Target="file:///\\192.168.11.15\Elmdale-Root\Accounting\pages\CommonAccount.aspx%3fsJump=3303-2019&amp;c.ChartCode=&amp;hAccount=&amp;hAccount2=&amp;DbCrd=Either&amp;AcTyp=Any&amp;RpTyp=Either" TargetMode="External"/><Relationship Id="rId995" Type="http://schemas.openxmlformats.org/officeDocument/2006/relationships/hyperlink" Target="file:///\\192.168.11.15\Elmdale-Root\Accounting\pages\CommonAccount.aspx%3fsJump=3303-2226&amp;c.ChartCode=&amp;hAccount=&amp;hAccount2=&amp;DbCrd=Either&amp;AcTyp=Any&amp;RpTyp=Either" TargetMode="External"/><Relationship Id="rId1180" Type="http://schemas.openxmlformats.org/officeDocument/2006/relationships/hyperlink" Target="file:///\\192.168.11.15\Elmdale-Root\Accounting\pages\CommonAccount.aspx%3fsJump=6400-0015&amp;c.ChartCode=&amp;hAccount=&amp;hAccount2=&amp;DbCrd=Either&amp;AcTyp=Any&amp;RpTyp=Either" TargetMode="External"/><Relationship Id="rId203" Type="http://schemas.openxmlformats.org/officeDocument/2006/relationships/hyperlink" Target="file:///\\192.168.11.15\Elmdale-Root\Accounting\pages\CommonAccount.aspx%3fsJump=1350-0001&amp;c.ChartCode=&amp;hAccount=&amp;hAccount2=&amp;DbCrd=Either&amp;AcTyp=Any&amp;RpTyp=Either" TargetMode="External"/><Relationship Id="rId648" Type="http://schemas.openxmlformats.org/officeDocument/2006/relationships/hyperlink" Target="file:///\\192.168.11.15\Elmdale-Root\Accounting\pages\CommonAccount.aspx%3fsJump=3019-0000&amp;c.ChartCode=&amp;hAccount=&amp;hAccount2=&amp;DbCrd=Either&amp;AcTyp=Any&amp;RpTyp=Either" TargetMode="External"/><Relationship Id="rId855" Type="http://schemas.openxmlformats.org/officeDocument/2006/relationships/hyperlink" Target="file:///\\192.168.11.15\Elmdale-Root\Accounting\pages\CommonAccount.aspx%3fsJump=3303-2086&amp;c.ChartCode=&amp;hAccount=&amp;hAccount2=&amp;DbCrd=Either&amp;AcTyp=Any&amp;RpTyp=Either" TargetMode="External"/><Relationship Id="rId1040" Type="http://schemas.openxmlformats.org/officeDocument/2006/relationships/hyperlink" Target="file:///\\192.168.11.15\Elmdale-Root\Accounting\pages\CommonAccount.aspx%3fsJump=5000-0000&amp;c.ChartCode=&amp;hAccount=&amp;hAccount2=&amp;DbCrd=Either&amp;AcTyp=Any&amp;RpTyp=Either" TargetMode="External"/><Relationship Id="rId1278" Type="http://schemas.openxmlformats.org/officeDocument/2006/relationships/hyperlink" Target="file:///\\192.168.11.15\Elmdale-Root\Accounting\pages\CommonAccount.aspx%3fsJump=8180-0012&amp;c.ChartCode=&amp;hAccount=&amp;hAccount2=&amp;DbCrd=Either&amp;AcTyp=Any&amp;RpTyp=Either" TargetMode="External"/><Relationship Id="rId287" Type="http://schemas.openxmlformats.org/officeDocument/2006/relationships/hyperlink" Target="file:///\\192.168.11.15\Elmdale-Root\Accounting\pages\CommonAccount.aspx%3fsJump=1600-0038&amp;c.ChartCode=&amp;hAccount=&amp;hAccount2=&amp;DbCrd=Either&amp;AcTyp=Any&amp;RpTyp=Either" TargetMode="External"/><Relationship Id="rId410" Type="http://schemas.openxmlformats.org/officeDocument/2006/relationships/hyperlink" Target="file:///\\192.168.11.15\Elmdale-Root\Accounting\pages\CommonAccount.aspx%3fsJump=2260-0000&amp;c.ChartCode=&amp;hAccount=&amp;hAccount2=&amp;DbCrd=Either&amp;AcTyp=Any&amp;RpTyp=Either" TargetMode="External"/><Relationship Id="rId494" Type="http://schemas.openxmlformats.org/officeDocument/2006/relationships/hyperlink" Target="file:///\\192.168.11.15\Elmdale-Root\Accounting\pages\CommonAccount.aspx%3fsJump=3003-1301&amp;c.ChartCode=&amp;hAccount=&amp;hAccount2=&amp;DbCrd=Either&amp;AcTyp=Any&amp;RpTyp=Either" TargetMode="External"/><Relationship Id="rId508" Type="http://schemas.openxmlformats.org/officeDocument/2006/relationships/hyperlink" Target="file:///\\192.168.11.15\Elmdale-Root\Accounting\pages\CommonAccount.aspx%3fsJump=3003-1603&amp;c.ChartCode=&amp;hAccount=&amp;hAccount2=&amp;DbCrd=Either&amp;AcTyp=Any&amp;RpTyp=Either" TargetMode="External"/><Relationship Id="rId715" Type="http://schemas.openxmlformats.org/officeDocument/2006/relationships/hyperlink" Target="file:///\\192.168.11.15\Elmdale-Root\Accounting\pages\CommonAccount.aspx%3fsJump=3303-1440&amp;c.ChartCode=&amp;hAccount=&amp;hAccount2=&amp;DbCrd=Either&amp;AcTyp=Any&amp;RpTyp=Either" TargetMode="External"/><Relationship Id="rId922" Type="http://schemas.openxmlformats.org/officeDocument/2006/relationships/hyperlink" Target="file:///\\192.168.11.15\Elmdale-Root\Accounting\pages\CommonAccount.aspx%3fsJump=3303-2153&amp;c.ChartCode=&amp;hAccount=&amp;hAccount2=&amp;DbCrd=Either&amp;AcTyp=Any&amp;RpTyp=Either" TargetMode="External"/><Relationship Id="rId1138" Type="http://schemas.openxmlformats.org/officeDocument/2006/relationships/hyperlink" Target="file:///\\192.168.11.15\Elmdale-Root\Accounting\pages\CommonAccount.aspx%3fsJump=6110-0040&amp;c.ChartCode=&amp;hAccount=&amp;hAccount2=&amp;DbCrd=Either&amp;AcTyp=Any&amp;RpTyp=Either" TargetMode="External"/><Relationship Id="rId147" Type="http://schemas.openxmlformats.org/officeDocument/2006/relationships/hyperlink" Target="file:///\\192.168.11.15\Elmdale-Root\Accounting\pages\CommonAccount.aspx%3fsJump=1110-4963&amp;c.ChartCode=&amp;hAccount=&amp;hAccount2=&amp;DbCrd=Either&amp;AcTyp=Any&amp;RpTyp=Either" TargetMode="External"/><Relationship Id="rId354" Type="http://schemas.openxmlformats.org/officeDocument/2006/relationships/hyperlink" Target="file:///\\192.168.11.15\Elmdale-Root\Accounting\pages\CommonAccount.aspx%3fsJump=1990-0000&amp;c.ChartCode=&amp;hAccount=&amp;hAccount2=&amp;DbCrd=Either&amp;AcTyp=Any&amp;RpTyp=Either" TargetMode="External"/><Relationship Id="rId799" Type="http://schemas.openxmlformats.org/officeDocument/2006/relationships/hyperlink" Target="file:///\\192.168.11.15\Elmdale-Root\Accounting\pages\CommonAccount.aspx%3fsJump=3303-2030&amp;c.ChartCode=&amp;hAccount=&amp;hAccount2=&amp;DbCrd=Either&amp;AcTyp=Any&amp;RpTyp=Either" TargetMode="External"/><Relationship Id="rId1191" Type="http://schemas.openxmlformats.org/officeDocument/2006/relationships/hyperlink" Target="file:///\\192.168.11.15\Elmdale-Root\Accounting\pages\CommonAccount.aspx%3fsJump=6450-0010&amp;c.ChartCode=&amp;hAccount=&amp;hAccount2=&amp;DbCrd=Either&amp;AcTyp=Any&amp;RpTyp=Either" TargetMode="External"/><Relationship Id="rId1205" Type="http://schemas.openxmlformats.org/officeDocument/2006/relationships/hyperlink" Target="file:///\\192.168.11.15\Elmdale-Root\Accounting\pages\CommonAccount.aspx%3fsJump=6461-1002&amp;c.ChartCode=&amp;hAccount=&amp;hAccount2=&amp;DbCrd=Either&amp;AcTyp=Any&amp;RpTyp=Either" TargetMode="External"/><Relationship Id="rId51" Type="http://schemas.openxmlformats.org/officeDocument/2006/relationships/hyperlink" Target="file:///\\192.168.11.15\Elmdale-Root\Accounting\pages\CommonAccount.aspx%3fsJump=1110-1522&amp;c.ChartCode=&amp;hAccount=&amp;hAccount2=&amp;DbCrd=Either&amp;AcTyp=Any&amp;RpTyp=Either" TargetMode="External"/><Relationship Id="rId561" Type="http://schemas.openxmlformats.org/officeDocument/2006/relationships/hyperlink" Target="file:///\\192.168.11.15\Elmdale-Root\Accounting\pages\CommonAccount.aspx%3fsJump=3006-1005&amp;c.ChartCode=&amp;hAccount=&amp;hAccount2=&amp;DbCrd=Either&amp;AcTyp=Any&amp;RpTyp=Either" TargetMode="External"/><Relationship Id="rId659" Type="http://schemas.openxmlformats.org/officeDocument/2006/relationships/hyperlink" Target="file:///\\192.168.11.15\Elmdale-Root\Accounting\pages\CommonAccount.aspx%3fsJump=3036-0000&amp;c.ChartCode=&amp;hAccount=&amp;hAccount2=&amp;DbCrd=Either&amp;AcTyp=Any&amp;RpTyp=Either" TargetMode="External"/><Relationship Id="rId866" Type="http://schemas.openxmlformats.org/officeDocument/2006/relationships/hyperlink" Target="file:///\\192.168.11.15\Elmdale-Root\Accounting\pages\CommonAccount.aspx%3fsJump=3303-2097&amp;c.ChartCode=&amp;hAccount=&amp;hAccount2=&amp;DbCrd=Either&amp;AcTyp=Any&amp;RpTyp=Either" TargetMode="External"/><Relationship Id="rId1289" Type="http://schemas.openxmlformats.org/officeDocument/2006/relationships/hyperlink" Target="file:///\\192.168.11.15\Elmdale-Root\Accounting\pages\CommonAccount.aspx%3fsJump=8181-0100&amp;c.ChartCode=&amp;hAccount=&amp;hAccount2=&amp;DbCrd=Either&amp;AcTyp=Any&amp;RpTyp=Either" TargetMode="External"/><Relationship Id="rId214" Type="http://schemas.openxmlformats.org/officeDocument/2006/relationships/hyperlink" Target="file:///\\192.168.11.15\Elmdale-Root\Accounting\pages\CommonAccount.aspx%3fsJump=1401-1000&amp;c.ChartCode=&amp;hAccount=&amp;hAccount2=&amp;DbCrd=Either&amp;AcTyp=Any&amp;RpTyp=Either" TargetMode="External"/><Relationship Id="rId298" Type="http://schemas.openxmlformats.org/officeDocument/2006/relationships/hyperlink" Target="file:///\\192.168.11.15\Elmdale-Root\Accounting\pages\CommonAccount.aspx%3fsJump=1600-0050&amp;c.ChartCode=&amp;hAccount=&amp;hAccount2=&amp;DbCrd=Either&amp;AcTyp=Any&amp;RpTyp=Either" TargetMode="External"/><Relationship Id="rId421" Type="http://schemas.openxmlformats.org/officeDocument/2006/relationships/hyperlink" Target="file:///\\192.168.11.15\Elmdale-Root\Accounting\pages\CommonAccount.aspx%3fsJump=2305-0930&amp;c.ChartCode=&amp;hAccount=&amp;hAccount2=&amp;DbCrd=Either&amp;AcTyp=Any&amp;RpTyp=Either" TargetMode="External"/><Relationship Id="rId519" Type="http://schemas.openxmlformats.org/officeDocument/2006/relationships/hyperlink" Target="file:///\\192.168.11.15\Elmdale-Root\Accounting\pages\CommonAccount.aspx%3fsJump=3003-2002&amp;c.ChartCode=&amp;hAccount=&amp;hAccount2=&amp;DbCrd=Either&amp;AcTyp=Any&amp;RpTyp=Either" TargetMode="External"/><Relationship Id="rId1051" Type="http://schemas.openxmlformats.org/officeDocument/2006/relationships/hyperlink" Target="file:///\\192.168.11.15\Elmdale-Root\Accounting\pages\CommonAccount.aspx%3fsJump=5210-0000&amp;c.ChartCode=&amp;hAccount=&amp;hAccount2=&amp;DbCrd=Either&amp;AcTyp=Any&amp;RpTyp=Either" TargetMode="External"/><Relationship Id="rId1149" Type="http://schemas.openxmlformats.org/officeDocument/2006/relationships/hyperlink" Target="file:///\\192.168.11.15\Elmdale-Root\Accounting\pages\CommonAccount.aspx%3fsJump=6110-1066&amp;c.ChartCode=&amp;hAccount=&amp;hAccount2=&amp;DbCrd=Either&amp;AcTyp=Any&amp;RpTyp=Either" TargetMode="External"/><Relationship Id="rId158" Type="http://schemas.openxmlformats.org/officeDocument/2006/relationships/hyperlink" Target="file:///\\192.168.11.15\Elmdale-Root\Accounting\pages\CommonAccount.aspx%3fsJump=1110-4974&amp;c.ChartCode=&amp;hAccount=&amp;hAccount2=&amp;DbCrd=Either&amp;AcTyp=Any&amp;RpTyp=Either" TargetMode="External"/><Relationship Id="rId726" Type="http://schemas.openxmlformats.org/officeDocument/2006/relationships/hyperlink" Target="file:///\\192.168.11.15\Elmdale-Root\Accounting\pages\CommonAccount.aspx%3fsJump=3303-1463&amp;c.ChartCode=&amp;hAccount=&amp;hAccount2=&amp;DbCrd=Either&amp;AcTyp=Any&amp;RpTyp=Either" TargetMode="External"/><Relationship Id="rId933" Type="http://schemas.openxmlformats.org/officeDocument/2006/relationships/hyperlink" Target="file:///\\192.168.11.15\Elmdale-Root\Accounting\pages\CommonAccount.aspx%3fsJump=3303-2164&amp;c.ChartCode=&amp;hAccount=&amp;hAccount2=&amp;DbCrd=Either&amp;AcTyp=Any&amp;RpTyp=Either" TargetMode="External"/><Relationship Id="rId1009" Type="http://schemas.openxmlformats.org/officeDocument/2006/relationships/hyperlink" Target="file:///\\192.168.11.15\Elmdale-Root\Accounting\pages\CommonAccount.aspx%3fsJump=4000-0000&amp;c.ChartCode=&amp;hAccount=&amp;hAccount2=&amp;DbCrd=Either&amp;AcTyp=Any&amp;RpTyp=Either" TargetMode="External"/><Relationship Id="rId62" Type="http://schemas.openxmlformats.org/officeDocument/2006/relationships/hyperlink" Target="file:///\\192.168.11.15\Elmdale-Root\Accounting\pages\CommonAccount.aspx%3fsJump=1110-1534&amp;c.ChartCode=&amp;hAccount=&amp;hAccount2=&amp;DbCrd=Either&amp;AcTyp=Any&amp;RpTyp=Either" TargetMode="External"/><Relationship Id="rId365" Type="http://schemas.openxmlformats.org/officeDocument/2006/relationships/hyperlink" Target="file:///\\192.168.11.15\Elmdale-Root\Accounting\pages\CommonAccount.aspx%3fsJump=2120-0000&amp;c.ChartCode=&amp;hAccount=&amp;hAccount2=&amp;DbCrd=Either&amp;AcTyp=Any&amp;RpTyp=Either" TargetMode="External"/><Relationship Id="rId572" Type="http://schemas.openxmlformats.org/officeDocument/2006/relationships/hyperlink" Target="file:///\\192.168.11.15\Elmdale-Root\Accounting\pages\CommonAccount.aspx%3fsJump=3006-1016&amp;c.ChartCode=&amp;hAccount=&amp;hAccount2=&amp;DbCrd=Either&amp;AcTyp=Any&amp;RpTyp=Either" TargetMode="External"/><Relationship Id="rId1216" Type="http://schemas.openxmlformats.org/officeDocument/2006/relationships/hyperlink" Target="file:///\\192.168.11.15\Elmdale-Root\Accounting\pages\CommonAccount.aspx%3fsJump=7000-0020&amp;c.ChartCode=&amp;hAccount=&amp;hAccount2=&amp;DbCrd=Either&amp;AcTyp=Any&amp;RpTyp=Either" TargetMode="External"/><Relationship Id="rId225" Type="http://schemas.openxmlformats.org/officeDocument/2006/relationships/hyperlink" Target="file:///\\192.168.11.15\Elmdale-Root\Accounting\pages\CommonAccount.aspx%3fsJump=1417-0000&amp;c.ChartCode=&amp;hAccount=&amp;hAccount2=&amp;DbCrd=Either&amp;AcTyp=Any&amp;RpTyp=Either" TargetMode="External"/><Relationship Id="rId432" Type="http://schemas.openxmlformats.org/officeDocument/2006/relationships/hyperlink" Target="file:///\\192.168.11.15\Elmdale-Root\Accounting\pages\CommonAccount.aspx%3fsJump=2305-5408&amp;c.ChartCode=&amp;hAccount=&amp;hAccount2=&amp;DbCrd=Either&amp;AcTyp=Any&amp;RpTyp=Either" TargetMode="External"/><Relationship Id="rId877" Type="http://schemas.openxmlformats.org/officeDocument/2006/relationships/hyperlink" Target="file:///\\192.168.11.15\Elmdale-Root\Accounting\pages\CommonAccount.aspx%3fsJump=3303-2108&amp;c.ChartCode=&amp;hAccount=&amp;hAccount2=&amp;DbCrd=Either&amp;AcTyp=Any&amp;RpTyp=Either" TargetMode="External"/><Relationship Id="rId1062" Type="http://schemas.openxmlformats.org/officeDocument/2006/relationships/hyperlink" Target="file:///\\192.168.11.15\Elmdale-Root\Accounting\pages\CommonAccount.aspx%3fsJump=5270-0000&amp;c.ChartCode=&amp;hAccount=&amp;hAccount2=&amp;DbCrd=Either&amp;AcTyp=Any&amp;RpTyp=Either" TargetMode="External"/><Relationship Id="rId737" Type="http://schemas.openxmlformats.org/officeDocument/2006/relationships/hyperlink" Target="file:///\\192.168.11.15\Elmdale-Root\Accounting\pages\CommonAccount.aspx%3fsJump=3303-1492&amp;c.ChartCode=&amp;hAccount=&amp;hAccount2=&amp;DbCrd=Either&amp;AcTyp=Any&amp;RpTyp=Either" TargetMode="External"/><Relationship Id="rId944" Type="http://schemas.openxmlformats.org/officeDocument/2006/relationships/hyperlink" Target="file:///\\192.168.11.15\Elmdale-Root\Accounting\pages\CommonAccount.aspx%3fsJump=3303-2175&amp;c.ChartCode=&amp;hAccount=&amp;hAccount2=&amp;DbCrd=Either&amp;AcTyp=Any&amp;RpTyp=Either" TargetMode="External"/><Relationship Id="rId73" Type="http://schemas.openxmlformats.org/officeDocument/2006/relationships/hyperlink" Target="file:///\\192.168.11.15\Elmdale-Root\Accounting\pages\CommonAccount.aspx%3fsJump=1110-3004&amp;c.ChartCode=&amp;hAccount=&amp;hAccount2=&amp;DbCrd=Either&amp;AcTyp=Any&amp;RpTyp=Either" TargetMode="External"/><Relationship Id="rId169" Type="http://schemas.openxmlformats.org/officeDocument/2006/relationships/hyperlink" Target="file:///\\192.168.11.15\Elmdale-Root\Accounting\pages\CommonAccount.aspx%3fsJump=1110-5000&amp;c.ChartCode=&amp;hAccount=&amp;hAccount2=&amp;DbCrd=Either&amp;AcTyp=Any&amp;RpTyp=Either" TargetMode="External"/><Relationship Id="rId376" Type="http://schemas.openxmlformats.org/officeDocument/2006/relationships/hyperlink" Target="file:///\\192.168.11.15\Elmdale-Root\Accounting\pages\CommonAccount.aspx%3fsJump=2150-0005&amp;c.ChartCode=&amp;hAccount=&amp;hAccount2=&amp;DbCrd=Either&amp;AcTyp=Any&amp;RpTyp=Either" TargetMode="External"/><Relationship Id="rId583" Type="http://schemas.openxmlformats.org/officeDocument/2006/relationships/hyperlink" Target="file:///\\192.168.11.15\Elmdale-Root\Accounting\pages\CommonAccount.aspx%3fsJump=3006-1027&amp;c.ChartCode=&amp;hAccount=&amp;hAccount2=&amp;DbCrd=Either&amp;AcTyp=Any&amp;RpTyp=Either" TargetMode="External"/><Relationship Id="rId790" Type="http://schemas.openxmlformats.org/officeDocument/2006/relationships/hyperlink" Target="file:///\\192.168.11.15\Elmdale-Root\Accounting\pages\CommonAccount.aspx%3fsJump=3303-2021&amp;c.ChartCode=&amp;hAccount=&amp;hAccount2=&amp;DbCrd=Either&amp;AcTyp=Any&amp;RpTyp=Either" TargetMode="External"/><Relationship Id="rId804" Type="http://schemas.openxmlformats.org/officeDocument/2006/relationships/hyperlink" Target="file:///\\192.168.11.15\Elmdale-Root\Accounting\pages\CommonAccount.aspx%3fsJump=3303-2035&amp;c.ChartCode=&amp;hAccount=&amp;hAccount2=&amp;DbCrd=Either&amp;AcTyp=Any&amp;RpTyp=Either" TargetMode="External"/><Relationship Id="rId1227" Type="http://schemas.openxmlformats.org/officeDocument/2006/relationships/hyperlink" Target="file:///\\192.168.11.15\Elmdale-Root\Accounting\pages\CommonAccount.aspx%3fsJump=7000-0065&amp;c.ChartCode=&amp;hAccount=&amp;hAccount2=&amp;DbCrd=Either&amp;AcTyp=Any&amp;RpTyp=Either" TargetMode="External"/><Relationship Id="rId4" Type="http://schemas.openxmlformats.org/officeDocument/2006/relationships/hyperlink" Target="file:///\\192.168.11.15\Elmdale-Root\Accounting\pages\CommonAccount.aspx%3fsJump=1100-0500&amp;c.ChartCode=&amp;hAccount=&amp;hAccount2=&amp;DbCrd=Either&amp;AcTyp=Any&amp;RpTyp=Either" TargetMode="External"/><Relationship Id="rId236" Type="http://schemas.openxmlformats.org/officeDocument/2006/relationships/hyperlink" Target="file:///\\192.168.11.15\Elmdale-Root\Accounting\pages\CommonAccount.aspx%3fsJump=1500-0018&amp;c.ChartCode=&amp;hAccount=&amp;hAccount2=&amp;DbCrd=Either&amp;AcTyp=Any&amp;RpTyp=Either" TargetMode="External"/><Relationship Id="rId443" Type="http://schemas.openxmlformats.org/officeDocument/2006/relationships/hyperlink" Target="file:///\\192.168.11.15\Elmdale-Root\Accounting\pages\CommonAccount.aspx%3fsJump=2305-9621&amp;c.ChartCode=&amp;hAccount=&amp;hAccount2=&amp;DbCrd=Either&amp;AcTyp=Any&amp;RpTyp=Either" TargetMode="External"/><Relationship Id="rId650" Type="http://schemas.openxmlformats.org/officeDocument/2006/relationships/hyperlink" Target="file:///\\192.168.11.15\Elmdale-Root\Accounting\pages\CommonAccount.aspx%3fsJump=3021-0000&amp;c.ChartCode=&amp;hAccount=&amp;hAccount2=&amp;DbCrd=Either&amp;AcTyp=Any&amp;RpTyp=Either" TargetMode="External"/><Relationship Id="rId888" Type="http://schemas.openxmlformats.org/officeDocument/2006/relationships/hyperlink" Target="file:///\\192.168.11.15\Elmdale-Root\Accounting\pages\CommonAccount.aspx%3fsJump=3303-2119&amp;c.ChartCode=&amp;hAccount=&amp;hAccount2=&amp;DbCrd=Either&amp;AcTyp=Any&amp;RpTyp=Either" TargetMode="External"/><Relationship Id="rId1073" Type="http://schemas.openxmlformats.org/officeDocument/2006/relationships/hyperlink" Target="file:///\\192.168.11.15\Elmdale-Root\Accounting\pages\CommonAccount.aspx%3fsJump=5415-0000&amp;c.ChartCode=&amp;hAccount=&amp;hAccount2=&amp;DbCrd=Either&amp;AcTyp=Any&amp;RpTyp=Either" TargetMode="External"/><Relationship Id="rId1280" Type="http://schemas.openxmlformats.org/officeDocument/2006/relationships/hyperlink" Target="file:///\\192.168.11.15\Elmdale-Root\Accounting\pages\CommonAccount.aspx%3fsJump=8180-0014&amp;c.ChartCode=&amp;hAccount=&amp;hAccount2=&amp;DbCrd=Either&amp;AcTyp=Any&amp;RpTyp=Either" TargetMode="External"/><Relationship Id="rId303" Type="http://schemas.openxmlformats.org/officeDocument/2006/relationships/hyperlink" Target="file:///\\192.168.11.15\Elmdale-Root\Accounting\pages\CommonAccount.aspx%3fsJump=1600-1004&amp;c.ChartCode=&amp;hAccount=&amp;hAccount2=&amp;DbCrd=Either&amp;AcTyp=Any&amp;RpTyp=Either" TargetMode="External"/><Relationship Id="rId748" Type="http://schemas.openxmlformats.org/officeDocument/2006/relationships/hyperlink" Target="file:///\\192.168.11.15\Elmdale-Root\Accounting\pages\CommonAccount.aspx%3fsJump=3303-1516&amp;c.ChartCode=&amp;hAccount=&amp;hAccount2=&amp;DbCrd=Either&amp;AcTyp=Any&amp;RpTyp=Either" TargetMode="External"/><Relationship Id="rId955" Type="http://schemas.openxmlformats.org/officeDocument/2006/relationships/hyperlink" Target="file:///\\192.168.11.15\Elmdale-Root\Accounting\pages\CommonAccount.aspx%3fsJump=3303-2186&amp;c.ChartCode=&amp;hAccount=&amp;hAccount2=&amp;DbCrd=Either&amp;AcTyp=Any&amp;RpTyp=Either" TargetMode="External"/><Relationship Id="rId1140" Type="http://schemas.openxmlformats.org/officeDocument/2006/relationships/hyperlink" Target="file:///\\192.168.11.15\Elmdale-Root\Accounting\pages\CommonAccount.aspx%3fsJump=6110-0050&amp;c.ChartCode=&amp;hAccount=&amp;hAccount2=&amp;DbCrd=Either&amp;AcTyp=Any&amp;RpTyp=Either" TargetMode="External"/><Relationship Id="rId84" Type="http://schemas.openxmlformats.org/officeDocument/2006/relationships/hyperlink" Target="file:///\\192.168.11.15\Elmdale-Root\Accounting\pages\CommonAccount.aspx%3fsJump=1110-3500&amp;c.ChartCode=&amp;hAccount=&amp;hAccount2=&amp;DbCrd=Either&amp;AcTyp=Any&amp;RpTyp=Either" TargetMode="External"/><Relationship Id="rId387" Type="http://schemas.openxmlformats.org/officeDocument/2006/relationships/hyperlink" Target="file:///\\192.168.11.15\Elmdale-Root\Accounting\pages\CommonAccount.aspx%3fsJump=2150-0016&amp;c.ChartCode=&amp;hAccount=&amp;hAccount2=&amp;DbCrd=Either&amp;AcTyp=Any&amp;RpTyp=Either" TargetMode="External"/><Relationship Id="rId510" Type="http://schemas.openxmlformats.org/officeDocument/2006/relationships/hyperlink" Target="file:///\\192.168.11.15\Elmdale-Root\Accounting\pages\CommonAccount.aspx%3fsJump=3003-1701&amp;c.ChartCode=&amp;hAccount=&amp;hAccount2=&amp;DbCrd=Either&amp;AcTyp=Any&amp;RpTyp=Either" TargetMode="External"/><Relationship Id="rId594" Type="http://schemas.openxmlformats.org/officeDocument/2006/relationships/hyperlink" Target="file:///\\192.168.11.15\Elmdale-Root\Accounting\pages\CommonAccount.aspx%3fsJump=3006-1038&amp;c.ChartCode=&amp;hAccount=&amp;hAccount2=&amp;DbCrd=Either&amp;AcTyp=Any&amp;RpTyp=Either" TargetMode="External"/><Relationship Id="rId608" Type="http://schemas.openxmlformats.org/officeDocument/2006/relationships/hyperlink" Target="file:///\\192.168.11.15\Elmdale-Root\Accounting\pages\CommonAccount.aspx%3fsJump=3006-1052&amp;c.ChartCode=&amp;hAccount=&amp;hAccount2=&amp;DbCrd=Either&amp;AcTyp=Any&amp;RpTyp=Either" TargetMode="External"/><Relationship Id="rId815" Type="http://schemas.openxmlformats.org/officeDocument/2006/relationships/hyperlink" Target="file:///\\192.168.11.15\Elmdale-Root\Accounting\pages\CommonAccount.aspx%3fsJump=3303-2046&amp;c.ChartCode=&amp;hAccount=&amp;hAccount2=&amp;DbCrd=Either&amp;AcTyp=Any&amp;RpTyp=Either" TargetMode="External"/><Relationship Id="rId1238" Type="http://schemas.openxmlformats.org/officeDocument/2006/relationships/hyperlink" Target="file:///\\192.168.11.15\Elmdale-Root\Accounting\pages\CommonAccount.aspx%3fsJump=7300-0000&amp;c.ChartCode=&amp;hAccount=&amp;hAccount2=&amp;DbCrd=Either&amp;AcTyp=Any&amp;RpTyp=Either" TargetMode="External"/><Relationship Id="rId247" Type="http://schemas.openxmlformats.org/officeDocument/2006/relationships/hyperlink" Target="file:///\\192.168.11.15\Elmdale-Root\Accounting\pages\CommonAccount.aspx%3fsJump=1500-0051&amp;c.ChartCode=&amp;hAccount=&amp;hAccount2=&amp;DbCrd=Either&amp;AcTyp=Any&amp;RpTyp=Either" TargetMode="External"/><Relationship Id="rId899" Type="http://schemas.openxmlformats.org/officeDocument/2006/relationships/hyperlink" Target="file:///\\192.168.11.15\Elmdale-Root\Accounting\pages\CommonAccount.aspx%3fsJump=3303-2130&amp;c.ChartCode=&amp;hAccount=&amp;hAccount2=&amp;DbCrd=Either&amp;AcTyp=Any&amp;RpTyp=Either" TargetMode="External"/><Relationship Id="rId1000" Type="http://schemas.openxmlformats.org/officeDocument/2006/relationships/hyperlink" Target="file:///\\192.168.11.15\Elmdale-Root\Accounting\pages\CommonAccount.aspx%3fsJump=3500-3000&amp;c.ChartCode=&amp;hAccount=&amp;hAccount2=&amp;DbCrd=Either&amp;AcTyp=Any&amp;RpTyp=Either" TargetMode="External"/><Relationship Id="rId1084" Type="http://schemas.openxmlformats.org/officeDocument/2006/relationships/hyperlink" Target="file:///\\192.168.11.15\Elmdale-Root\Accounting\pages\CommonAccount.aspx%3fsJump=5470-0002&amp;c.ChartCode=&amp;hAccount=&amp;hAccount2=&amp;DbCrd=Either&amp;AcTyp=Any&amp;RpTyp=Either" TargetMode="External"/><Relationship Id="rId1305" Type="http://schemas.openxmlformats.org/officeDocument/2006/relationships/hyperlink" Target="file:///\\192.168.11.15\Elmdale-Root\Accounting\pages\CommonAccount.aspx%3fsJump=8500-0000&amp;c.ChartCode=&amp;hAccount=&amp;hAccount2=&amp;DbCrd=Either&amp;AcTyp=Any&amp;RpTyp=Either" TargetMode="External"/><Relationship Id="rId107" Type="http://schemas.openxmlformats.org/officeDocument/2006/relationships/hyperlink" Target="file:///\\192.168.11.15\Elmdale-Root\Accounting\pages\CommonAccount.aspx%3fsJump=1110-4913&amp;c.ChartCode=&amp;hAccount=&amp;hAccount2=&amp;DbCrd=Either&amp;AcTyp=Any&amp;RpTyp=Either" TargetMode="External"/><Relationship Id="rId454" Type="http://schemas.openxmlformats.org/officeDocument/2006/relationships/hyperlink" Target="file:///\\192.168.11.15\Elmdale-Root\Accounting\pages\CommonAccount.aspx%3fsJump=2470-0000&amp;c.ChartCode=&amp;hAccount=&amp;hAccount2=&amp;DbCrd=Either&amp;AcTyp=Any&amp;RpTyp=Either" TargetMode="External"/><Relationship Id="rId661" Type="http://schemas.openxmlformats.org/officeDocument/2006/relationships/hyperlink" Target="file:///\\192.168.11.15\Elmdale-Root\Accounting\pages\CommonAccount.aspx%3fsJump=3038-0000&amp;c.ChartCode=&amp;hAccount=&amp;hAccount2=&amp;DbCrd=Either&amp;AcTyp=Any&amp;RpTyp=Either" TargetMode="External"/><Relationship Id="rId759" Type="http://schemas.openxmlformats.org/officeDocument/2006/relationships/hyperlink" Target="file:///\\192.168.11.15\Elmdale-Root\Accounting\pages\CommonAccount.aspx%3fsJump=3303-1540&amp;c.ChartCode=&amp;hAccount=&amp;hAccount2=&amp;DbCrd=Either&amp;AcTyp=Any&amp;RpTyp=Either" TargetMode="External"/><Relationship Id="rId966" Type="http://schemas.openxmlformats.org/officeDocument/2006/relationships/hyperlink" Target="file:///\\192.168.11.15\Elmdale-Root\Accounting\pages\CommonAccount.aspx%3fsJump=3303-2197&amp;c.ChartCode=&amp;hAccount=&amp;hAccount2=&amp;DbCrd=Either&amp;AcTyp=Any&amp;RpTyp=Either" TargetMode="External"/><Relationship Id="rId1291" Type="http://schemas.openxmlformats.org/officeDocument/2006/relationships/hyperlink" Target="file:///\\192.168.11.15\Elmdale-Root\Accounting\pages\CommonAccount.aspx%3fsJump=8181-0102&amp;c.ChartCode=&amp;hAccount=&amp;hAccount2=&amp;DbCrd=Either&amp;AcTyp=Any&amp;RpTyp=Either" TargetMode="External"/><Relationship Id="rId11" Type="http://schemas.openxmlformats.org/officeDocument/2006/relationships/hyperlink" Target="file:///\\192.168.11.15\Elmdale-Root\Accounting\pages\CommonAccount.aspx%3fsJump=1110-0006&amp;c.ChartCode=&amp;hAccount=&amp;hAccount2=&amp;DbCrd=Either&amp;AcTyp=Any&amp;RpTyp=Either" TargetMode="External"/><Relationship Id="rId314" Type="http://schemas.openxmlformats.org/officeDocument/2006/relationships/hyperlink" Target="file:///\\192.168.11.15\Elmdale-Root\Accounting\pages\CommonAccount.aspx%3fsJump=1600-1015&amp;c.ChartCode=&amp;hAccount=&amp;hAccount2=&amp;DbCrd=Either&amp;AcTyp=Any&amp;RpTyp=Either" TargetMode="External"/><Relationship Id="rId398" Type="http://schemas.openxmlformats.org/officeDocument/2006/relationships/hyperlink" Target="file:///\\192.168.11.15\Elmdale-Root\Accounting\pages\CommonAccount.aspx%3fsJump=2209-0000&amp;c.ChartCode=&amp;hAccount=&amp;hAccount2=&amp;DbCrd=Either&amp;AcTyp=Any&amp;RpTyp=Either" TargetMode="External"/><Relationship Id="rId521" Type="http://schemas.openxmlformats.org/officeDocument/2006/relationships/hyperlink" Target="file:///\\192.168.11.15\Elmdale-Root\Accounting\pages\CommonAccount.aspx%3fsJump=3003-2010&amp;c.ChartCode=&amp;hAccount=&amp;hAccount2=&amp;DbCrd=Either&amp;AcTyp=Any&amp;RpTyp=Either" TargetMode="External"/><Relationship Id="rId619" Type="http://schemas.openxmlformats.org/officeDocument/2006/relationships/hyperlink" Target="file:///\\192.168.11.15\Elmdale-Root\Accounting\pages\CommonAccount.aspx%3fsJump=3006-1063&amp;c.ChartCode=&amp;hAccount=&amp;hAccount2=&amp;DbCrd=Either&amp;AcTyp=Any&amp;RpTyp=Either" TargetMode="External"/><Relationship Id="rId1151" Type="http://schemas.openxmlformats.org/officeDocument/2006/relationships/hyperlink" Target="file:///\\192.168.11.15\Elmdale-Root\Accounting\pages\CommonAccount.aspx%3fsJump=6110-1070&amp;c.ChartCode=&amp;hAccount=&amp;hAccount2=&amp;DbCrd=Either&amp;AcTyp=Any&amp;RpTyp=Either" TargetMode="External"/><Relationship Id="rId1249" Type="http://schemas.openxmlformats.org/officeDocument/2006/relationships/hyperlink" Target="file:///\\192.168.11.15\Elmdale-Root\Accounting\pages\CommonAccount.aspx%3fsJump=7400-0003&amp;c.ChartCode=&amp;hAccount=&amp;hAccount2=&amp;DbCrd=Either&amp;AcTyp=Any&amp;RpTyp=Either" TargetMode="External"/><Relationship Id="rId95" Type="http://schemas.openxmlformats.org/officeDocument/2006/relationships/hyperlink" Target="file:///\\192.168.11.15\Elmdale-Root\Accounting\pages\CommonAccount.aspx%3fsJump=1110-4901&amp;c.ChartCode=&amp;hAccount=&amp;hAccount2=&amp;DbCrd=Either&amp;AcTyp=Any&amp;RpTyp=Either" TargetMode="External"/><Relationship Id="rId160" Type="http://schemas.openxmlformats.org/officeDocument/2006/relationships/hyperlink" Target="file:///\\192.168.11.15\Elmdale-Root\Accounting\pages\CommonAccount.aspx%3fsJump=1110-4976&amp;c.ChartCode=&amp;hAccount=&amp;hAccount2=&amp;DbCrd=Either&amp;AcTyp=Any&amp;RpTyp=Either" TargetMode="External"/><Relationship Id="rId826" Type="http://schemas.openxmlformats.org/officeDocument/2006/relationships/hyperlink" Target="file:///\\192.168.11.15\Elmdale-Root\Accounting\pages\CommonAccount.aspx%3fsJump=3303-2057&amp;c.ChartCode=&amp;hAccount=&amp;hAccount2=&amp;DbCrd=Either&amp;AcTyp=Any&amp;RpTyp=Either" TargetMode="External"/><Relationship Id="rId1011" Type="http://schemas.openxmlformats.org/officeDocument/2006/relationships/hyperlink" Target="file:///\\192.168.11.15\Elmdale-Root\Accounting\pages\CommonAccount.aspx%3fsJump=4300-0000&amp;c.ChartCode=&amp;hAccount=&amp;hAccount2=&amp;DbCrd=Either&amp;AcTyp=Any&amp;RpTyp=Either" TargetMode="External"/><Relationship Id="rId1109" Type="http://schemas.openxmlformats.org/officeDocument/2006/relationships/hyperlink" Target="file:///\\192.168.11.15\Elmdale-Root\Accounting\pages\CommonAccount.aspx%3fsJump=5805-0000&amp;c.ChartCode=&amp;hAccount=&amp;hAccount2=&amp;DbCrd=Either&amp;AcTyp=Any&amp;RpTyp=Either" TargetMode="External"/><Relationship Id="rId258" Type="http://schemas.openxmlformats.org/officeDocument/2006/relationships/hyperlink" Target="file:///\\192.168.11.15\Elmdale-Root\Accounting\pages\CommonAccount.aspx%3fsJump=1500-0091&amp;c.ChartCode=&amp;hAccount=&amp;hAccount2=&amp;DbCrd=Either&amp;AcTyp=Any&amp;RpTyp=Either" TargetMode="External"/><Relationship Id="rId465" Type="http://schemas.openxmlformats.org/officeDocument/2006/relationships/hyperlink" Target="file:///\\192.168.11.15\Elmdale-Root\Accounting\pages\CommonAccount.aspx%3fsJump=2641-0000&amp;c.ChartCode=&amp;hAccount=&amp;hAccount2=&amp;DbCrd=Either&amp;AcTyp=Any&amp;RpTyp=Either" TargetMode="External"/><Relationship Id="rId672" Type="http://schemas.openxmlformats.org/officeDocument/2006/relationships/hyperlink" Target="file:///\\192.168.11.15\Elmdale-Root\Accounting\pages\CommonAccount.aspx%3fsJump=3052-0000&amp;c.ChartCode=&amp;hAccount=&amp;hAccount2=&amp;DbCrd=Either&amp;AcTyp=Any&amp;RpTyp=Either" TargetMode="External"/><Relationship Id="rId1095" Type="http://schemas.openxmlformats.org/officeDocument/2006/relationships/hyperlink" Target="file:///\\192.168.11.15\Elmdale-Root\Accounting\pages\CommonAccount.aspx%3fsJump=5620-0000&amp;c.ChartCode=&amp;hAccount=&amp;hAccount2=&amp;DbCrd=Either&amp;AcTyp=Any&amp;RpTyp=Either" TargetMode="External"/><Relationship Id="rId1316" Type="http://schemas.openxmlformats.org/officeDocument/2006/relationships/hyperlink" Target="file:///\\192.168.11.15\Elmdale-Root\Accounting\pages\CommonAccount.aspx%3fsJump=8590-0006&amp;c.ChartCode=&amp;hAccount=&amp;hAccount2=&amp;DbCrd=Either&amp;AcTyp=Any&amp;RpTyp=Either" TargetMode="External"/><Relationship Id="rId22" Type="http://schemas.openxmlformats.org/officeDocument/2006/relationships/hyperlink" Target="file:///\\192.168.11.15\Elmdale-Root\Accounting\pages\CommonAccount.aspx%3fsJump=1110-1001&amp;c.ChartCode=&amp;hAccount=&amp;hAccount2=&amp;DbCrd=Either&amp;AcTyp=Any&amp;RpTyp=Either" TargetMode="External"/><Relationship Id="rId118" Type="http://schemas.openxmlformats.org/officeDocument/2006/relationships/hyperlink" Target="file:///\\192.168.11.15\Elmdale-Root\Accounting\pages\CommonAccount.aspx%3fsJump=1110-4924&amp;c.ChartCode=&amp;hAccount=&amp;hAccount2=&amp;DbCrd=Either&amp;AcTyp=Any&amp;RpTyp=Either" TargetMode="External"/><Relationship Id="rId325" Type="http://schemas.openxmlformats.org/officeDocument/2006/relationships/hyperlink" Target="file:///\\192.168.11.15\Elmdale-Root\Accounting\pages\CommonAccount.aspx%3fsJump=1740-1000&amp;c.ChartCode=&amp;hAccount=&amp;hAccount2=&amp;DbCrd=Either&amp;AcTyp=Any&amp;RpTyp=Either" TargetMode="External"/><Relationship Id="rId532" Type="http://schemas.openxmlformats.org/officeDocument/2006/relationships/hyperlink" Target="file:///\\192.168.11.15\Elmdale-Root\Accounting\pages\CommonAccount.aspx%3fsJump=3003-5001&amp;c.ChartCode=&amp;hAccount=&amp;hAccount2=&amp;DbCrd=Either&amp;AcTyp=Any&amp;RpTyp=Either" TargetMode="External"/><Relationship Id="rId977" Type="http://schemas.openxmlformats.org/officeDocument/2006/relationships/hyperlink" Target="file:///\\192.168.11.15\Elmdale-Root\Accounting\pages\CommonAccount.aspx%3fsJump=3303-2208&amp;c.ChartCode=&amp;hAccount=&amp;hAccount2=&amp;DbCrd=Either&amp;AcTyp=Any&amp;RpTyp=Either" TargetMode="External"/><Relationship Id="rId1162" Type="http://schemas.openxmlformats.org/officeDocument/2006/relationships/hyperlink" Target="file:///\\192.168.11.15\Elmdale-Root\Accounting\pages\CommonAccount.aspx%3fsJump=6200-0010&amp;c.ChartCode=&amp;hAccount=&amp;hAccount2=&amp;DbCrd=Either&amp;AcTyp=Any&amp;RpTyp=Either" TargetMode="External"/><Relationship Id="rId171" Type="http://schemas.openxmlformats.org/officeDocument/2006/relationships/hyperlink" Target="file:///\\192.168.11.15\Elmdale-Root\Accounting\pages\CommonAccount.aspx%3fsJump=1110-5050&amp;c.ChartCode=&amp;hAccount=&amp;hAccount2=&amp;DbCrd=Either&amp;AcTyp=Any&amp;RpTyp=Either" TargetMode="External"/><Relationship Id="rId837" Type="http://schemas.openxmlformats.org/officeDocument/2006/relationships/hyperlink" Target="file:///\\192.168.11.15\Elmdale-Root\Accounting\pages\CommonAccount.aspx%3fsJump=3303-2068&amp;c.ChartCode=&amp;hAccount=&amp;hAccount2=&amp;DbCrd=Either&amp;AcTyp=Any&amp;RpTyp=Either" TargetMode="External"/><Relationship Id="rId1022" Type="http://schemas.openxmlformats.org/officeDocument/2006/relationships/hyperlink" Target="file:///\\192.168.11.15\Elmdale-Root\Accounting\pages\CommonAccount.aspx%3fsJump=4501-0000&amp;c.ChartCode=&amp;hAccount=&amp;hAccount2=&amp;DbCrd=Either&amp;AcTyp=Any&amp;RpTyp=Either" TargetMode="External"/><Relationship Id="rId269" Type="http://schemas.openxmlformats.org/officeDocument/2006/relationships/hyperlink" Target="file:///\\192.168.11.15\Elmdale-Root\Accounting\pages\CommonAccount.aspx%3fsJump=1600-0009&amp;c.ChartCode=&amp;hAccount=&amp;hAccount2=&amp;DbCrd=Either&amp;AcTyp=Any&amp;RpTyp=Either" TargetMode="External"/><Relationship Id="rId476" Type="http://schemas.openxmlformats.org/officeDocument/2006/relationships/hyperlink" Target="file:///\\192.168.11.15\Elmdale-Root\Accounting\pages\CommonAccount.aspx%3fsJump=3003-0113&amp;c.ChartCode=&amp;hAccount=&amp;hAccount2=&amp;DbCrd=Either&amp;AcTyp=Any&amp;RpTyp=Either" TargetMode="External"/><Relationship Id="rId683" Type="http://schemas.openxmlformats.org/officeDocument/2006/relationships/hyperlink" Target="file:///\\192.168.11.15\Elmdale-Root\Accounting\pages\CommonAccount.aspx%3fsJump=3069-0000&amp;c.ChartCode=&amp;hAccount=&amp;hAccount2=&amp;DbCrd=Either&amp;AcTyp=Any&amp;RpTyp=Either" TargetMode="External"/><Relationship Id="rId890" Type="http://schemas.openxmlformats.org/officeDocument/2006/relationships/hyperlink" Target="file:///\\192.168.11.15\Elmdale-Root\Accounting\pages\CommonAccount.aspx%3fsJump=3303-2121&amp;c.ChartCode=&amp;hAccount=&amp;hAccount2=&amp;DbCrd=Either&amp;AcTyp=Any&amp;RpTyp=Either" TargetMode="External"/><Relationship Id="rId904" Type="http://schemas.openxmlformats.org/officeDocument/2006/relationships/hyperlink" Target="file:///\\192.168.11.15\Elmdale-Root\Accounting\pages\CommonAccount.aspx%3fsJump=3303-2135&amp;c.ChartCode=&amp;hAccount=&amp;hAccount2=&amp;DbCrd=Either&amp;AcTyp=Any&amp;RpTyp=Either" TargetMode="External"/><Relationship Id="rId1327" Type="http://schemas.openxmlformats.org/officeDocument/2006/relationships/hyperlink" Target="file:///\\192.168.11.15\Elmdale-Root\Accounting\pages\CommonAccount.aspx%3fsJump=9990-0000&amp;c.ChartCode=&amp;hAccount=&amp;hAccount2=&amp;DbCrd=Either&amp;AcTyp=Any&amp;RpTyp=Either" TargetMode="External"/><Relationship Id="rId33" Type="http://schemas.openxmlformats.org/officeDocument/2006/relationships/hyperlink" Target="file:///\\192.168.11.15\Elmdale-Root\Accounting\pages\CommonAccount.aspx%3fsJump=1110-1504&amp;c.ChartCode=&amp;hAccount=&amp;hAccount2=&amp;DbCrd=Either&amp;AcTyp=Any&amp;RpTyp=Either" TargetMode="External"/><Relationship Id="rId129" Type="http://schemas.openxmlformats.org/officeDocument/2006/relationships/hyperlink" Target="file:///\\192.168.11.15\Elmdale-Root\Accounting\pages\CommonAccount.aspx%3fsJump=1110-4944&amp;c.ChartCode=&amp;hAccount=&amp;hAccount2=&amp;DbCrd=Either&amp;AcTyp=Any&amp;RpTyp=Either" TargetMode="External"/><Relationship Id="rId336" Type="http://schemas.openxmlformats.org/officeDocument/2006/relationships/hyperlink" Target="file:///\\192.168.11.15\Elmdale-Root\Accounting\pages\CommonAccount.aspx%3fsJump=1900-1002&amp;c.ChartCode=&amp;hAccount=&amp;hAccount2=&amp;DbCrd=Either&amp;AcTyp=Any&amp;RpTyp=Either" TargetMode="External"/><Relationship Id="rId543" Type="http://schemas.openxmlformats.org/officeDocument/2006/relationships/hyperlink" Target="file:///\\192.168.11.15\Elmdale-Root\Accounting\pages\CommonAccount.aspx%3fsJump=3003-8000&amp;c.ChartCode=&amp;hAccount=&amp;hAccount2=&amp;DbCrd=Either&amp;AcTyp=Any&amp;RpTyp=Either" TargetMode="External"/><Relationship Id="rId988" Type="http://schemas.openxmlformats.org/officeDocument/2006/relationships/hyperlink" Target="file:///\\192.168.11.15\Elmdale-Root\Accounting\pages\CommonAccount.aspx%3fsJump=3303-2219&amp;c.ChartCode=&amp;hAccount=&amp;hAccount2=&amp;DbCrd=Either&amp;AcTyp=Any&amp;RpTyp=Either" TargetMode="External"/><Relationship Id="rId1173" Type="http://schemas.openxmlformats.org/officeDocument/2006/relationships/hyperlink" Target="file:///\\192.168.11.15\Elmdale-Root\Accounting\pages\CommonAccount.aspx%3fsJump=6310-0000&amp;c.ChartCode=&amp;hAccount=&amp;hAccount2=&amp;DbCrd=Either&amp;AcTyp=Any&amp;RpTyp=Either" TargetMode="External"/><Relationship Id="rId182" Type="http://schemas.openxmlformats.org/officeDocument/2006/relationships/hyperlink" Target="file:///\\192.168.11.15\Elmdale-Root\Accounting\pages\CommonAccount.aspx%3fsJump=1140-0000&amp;c.ChartCode=&amp;hAccount=&amp;hAccount2=&amp;DbCrd=Either&amp;AcTyp=Any&amp;RpTyp=Either" TargetMode="External"/><Relationship Id="rId403" Type="http://schemas.openxmlformats.org/officeDocument/2006/relationships/hyperlink" Target="file:///\\192.168.11.15\Elmdale-Root\Accounting\pages\CommonAccount.aspx%3fsJump=2240-0000&amp;c.ChartCode=&amp;hAccount=&amp;hAccount2=&amp;DbCrd=Either&amp;AcTyp=Any&amp;RpTyp=Either" TargetMode="External"/><Relationship Id="rId750" Type="http://schemas.openxmlformats.org/officeDocument/2006/relationships/hyperlink" Target="file:///\\192.168.11.15\Elmdale-Root\Accounting\pages\CommonAccount.aspx%3fsJump=3303-1518&amp;c.ChartCode=&amp;hAccount=&amp;hAccount2=&amp;DbCrd=Either&amp;AcTyp=Any&amp;RpTyp=Either" TargetMode="External"/><Relationship Id="rId848" Type="http://schemas.openxmlformats.org/officeDocument/2006/relationships/hyperlink" Target="file:///\\192.168.11.15\Elmdale-Root\Accounting\pages\CommonAccount.aspx%3fsJump=3303-2079&amp;c.ChartCode=&amp;hAccount=&amp;hAccount2=&amp;DbCrd=Either&amp;AcTyp=Any&amp;RpTyp=Either" TargetMode="External"/><Relationship Id="rId1033" Type="http://schemas.openxmlformats.org/officeDocument/2006/relationships/hyperlink" Target="file:///\\192.168.11.15\Elmdale-Root\Accounting\pages\CommonAccount.aspx%3fsJump=4710-1001&amp;c.ChartCode=&amp;hAccount=&amp;hAccount2=&amp;DbCrd=Either&amp;AcTyp=Any&amp;RpTyp=Either" TargetMode="External"/><Relationship Id="rId487" Type="http://schemas.openxmlformats.org/officeDocument/2006/relationships/hyperlink" Target="file:///\\192.168.11.15\Elmdale-Root\Accounting\pages\CommonAccount.aspx%3fsJump=3003-1102&amp;c.ChartCode=&amp;hAccount=&amp;hAccount2=&amp;DbCrd=Either&amp;AcTyp=Any&amp;RpTyp=Either" TargetMode="External"/><Relationship Id="rId610" Type="http://schemas.openxmlformats.org/officeDocument/2006/relationships/hyperlink" Target="file:///\\192.168.11.15\Elmdale-Root\Accounting\pages\CommonAccount.aspx%3fsJump=3006-1054&amp;c.ChartCode=&amp;hAccount=&amp;hAccount2=&amp;DbCrd=Either&amp;AcTyp=Any&amp;RpTyp=Either" TargetMode="External"/><Relationship Id="rId694" Type="http://schemas.openxmlformats.org/officeDocument/2006/relationships/hyperlink" Target="file:///\\192.168.11.15\Elmdale-Root\Accounting\pages\CommonAccount.aspx%3fsJump=3100-0000&amp;c.ChartCode=&amp;hAccount=&amp;hAccount2=&amp;DbCrd=Either&amp;AcTyp=Any&amp;RpTyp=Either" TargetMode="External"/><Relationship Id="rId708" Type="http://schemas.openxmlformats.org/officeDocument/2006/relationships/hyperlink" Target="file:///\\192.168.11.15\Elmdale-Root\Accounting\pages\CommonAccount.aspx%3fsJump=3303-1421&amp;c.ChartCode=&amp;hAccount=&amp;hAccount2=&amp;DbCrd=Either&amp;AcTyp=Any&amp;RpTyp=Either" TargetMode="External"/><Relationship Id="rId915" Type="http://schemas.openxmlformats.org/officeDocument/2006/relationships/hyperlink" Target="file:///\\192.168.11.15\Elmdale-Root\Accounting\pages\CommonAccount.aspx%3fsJump=3303-2146&amp;c.ChartCode=&amp;hAccount=&amp;hAccount2=&amp;DbCrd=Either&amp;AcTyp=Any&amp;RpTyp=Either" TargetMode="External"/><Relationship Id="rId1240" Type="http://schemas.openxmlformats.org/officeDocument/2006/relationships/hyperlink" Target="file:///\\192.168.11.15\Elmdale-Root\Accounting\pages\CommonAccount.aspx%3fsJump=7310-0005&amp;c.ChartCode=&amp;hAccount=&amp;hAccount2=&amp;DbCrd=Either&amp;AcTyp=Any&amp;RpTyp=Either" TargetMode="External"/><Relationship Id="rId347" Type="http://schemas.openxmlformats.org/officeDocument/2006/relationships/hyperlink" Target="file:///\\192.168.11.15\Elmdale-Root\Accounting\pages\CommonAccount.aspx%3fsJump=1900-1013&amp;c.ChartCode=&amp;hAccount=&amp;hAccount2=&amp;DbCrd=Either&amp;AcTyp=Any&amp;RpTyp=Either" TargetMode="External"/><Relationship Id="rId999" Type="http://schemas.openxmlformats.org/officeDocument/2006/relationships/hyperlink" Target="file:///\\192.168.11.15\Elmdale-Root\Accounting\pages\CommonAccount.aspx%3fsJump=3500-2000&amp;c.ChartCode=&amp;hAccount=&amp;hAccount2=&amp;DbCrd=Either&amp;AcTyp=Any&amp;RpTyp=Either" TargetMode="External"/><Relationship Id="rId1100" Type="http://schemas.openxmlformats.org/officeDocument/2006/relationships/hyperlink" Target="file:///\\192.168.11.15\Elmdale-Root\Accounting\pages\CommonAccount.aspx%3fsJump=5700-0001&amp;c.ChartCode=&amp;hAccount=&amp;hAccount2=&amp;DbCrd=Either&amp;AcTyp=Any&amp;RpTyp=Either" TargetMode="External"/><Relationship Id="rId1184" Type="http://schemas.openxmlformats.org/officeDocument/2006/relationships/hyperlink" Target="file:///\\192.168.11.15\Elmdale-Root\Accounting\pages\CommonAccount.aspx%3fsJump=6400-0035&amp;c.ChartCode=&amp;hAccount=&amp;hAccount2=&amp;DbCrd=Either&amp;AcTyp=Any&amp;RpTyp=Either" TargetMode="External"/><Relationship Id="rId44" Type="http://schemas.openxmlformats.org/officeDocument/2006/relationships/hyperlink" Target="file:///\\192.168.11.15\Elmdale-Root\Accounting\pages\CommonAccount.aspx%3fsJump=1110-1515&amp;c.ChartCode=&amp;hAccount=&amp;hAccount2=&amp;DbCrd=Either&amp;AcTyp=Any&amp;RpTyp=Either" TargetMode="External"/><Relationship Id="rId554" Type="http://schemas.openxmlformats.org/officeDocument/2006/relationships/hyperlink" Target="file:///\\192.168.11.15\Elmdale-Root\Accounting\pages\CommonAccount.aspx%3fsJump=3005-1002&amp;c.ChartCode=&amp;hAccount=&amp;hAccount2=&amp;DbCrd=Either&amp;AcTyp=Any&amp;RpTyp=Either" TargetMode="External"/><Relationship Id="rId761" Type="http://schemas.openxmlformats.org/officeDocument/2006/relationships/hyperlink" Target="file:///\\192.168.11.15\Elmdale-Root\Accounting\pages\CommonAccount.aspx%3fsJump=3303-1542&amp;c.ChartCode=&amp;hAccount=&amp;hAccount2=&amp;DbCrd=Either&amp;AcTyp=Any&amp;RpTyp=Either" TargetMode="External"/><Relationship Id="rId859" Type="http://schemas.openxmlformats.org/officeDocument/2006/relationships/hyperlink" Target="file:///\\192.168.11.15\Elmdale-Root\Accounting\pages\CommonAccount.aspx%3fsJump=3303-2090&amp;c.ChartCode=&amp;hAccount=&amp;hAccount2=&amp;DbCrd=Either&amp;AcTyp=Any&amp;RpTyp=Either" TargetMode="External"/><Relationship Id="rId193" Type="http://schemas.openxmlformats.org/officeDocument/2006/relationships/hyperlink" Target="file:///\\192.168.11.15\Elmdale-Root\Accounting\pages\CommonAccount.aspx%3fsJump=1200-0003&amp;c.ChartCode=&amp;hAccount=&amp;hAccount2=&amp;DbCrd=Either&amp;AcTyp=Any&amp;RpTyp=Either" TargetMode="External"/><Relationship Id="rId207" Type="http://schemas.openxmlformats.org/officeDocument/2006/relationships/hyperlink" Target="file:///\\192.168.11.15\Elmdale-Root\Accounting\pages\CommonAccount.aspx%3fsJump=1400-0000&amp;c.ChartCode=&amp;hAccount=&amp;hAccount2=&amp;DbCrd=Either&amp;AcTyp=Any&amp;RpTyp=Either" TargetMode="External"/><Relationship Id="rId414" Type="http://schemas.openxmlformats.org/officeDocument/2006/relationships/hyperlink" Target="file:///\\192.168.11.15\Elmdale-Root\Accounting\pages\CommonAccount.aspx%3fsJump=2290-0000&amp;c.ChartCode=&amp;hAccount=&amp;hAccount2=&amp;DbCrd=Either&amp;AcTyp=Any&amp;RpTyp=Either" TargetMode="External"/><Relationship Id="rId498" Type="http://schemas.openxmlformats.org/officeDocument/2006/relationships/hyperlink" Target="file:///\\192.168.11.15\Elmdale-Root\Accounting\pages\CommonAccount.aspx%3fsJump=3003-1401&amp;c.ChartCode=&amp;hAccount=&amp;hAccount2=&amp;DbCrd=Either&amp;AcTyp=Any&amp;RpTyp=Either" TargetMode="External"/><Relationship Id="rId621" Type="http://schemas.openxmlformats.org/officeDocument/2006/relationships/hyperlink" Target="file:///\\192.168.11.15\Elmdale-Root\Accounting\pages\CommonAccount.aspx%3fsJump=3006-1065&amp;c.ChartCode=&amp;hAccount=&amp;hAccount2=&amp;DbCrd=Either&amp;AcTyp=Any&amp;RpTyp=Either" TargetMode="External"/><Relationship Id="rId1044" Type="http://schemas.openxmlformats.org/officeDocument/2006/relationships/hyperlink" Target="file:///\\192.168.11.15\Elmdale-Root\Accounting\pages\CommonAccount.aspx%3fsJump=5000-0010&amp;c.ChartCode=&amp;hAccount=&amp;hAccount2=&amp;DbCrd=Either&amp;AcTyp=Any&amp;RpTyp=Either" TargetMode="External"/><Relationship Id="rId1251" Type="http://schemas.openxmlformats.org/officeDocument/2006/relationships/hyperlink" Target="file:///\\192.168.11.15\Elmdale-Root\Accounting\pages\CommonAccount.aspx%3fsJump=7400-0050&amp;c.ChartCode=&amp;hAccount=&amp;hAccount2=&amp;DbCrd=Either&amp;AcTyp=Any&amp;RpTyp=Either" TargetMode="External"/><Relationship Id="rId260" Type="http://schemas.openxmlformats.org/officeDocument/2006/relationships/hyperlink" Target="file:///\\192.168.11.15\Elmdale-Root\Accounting\pages\CommonAccount.aspx%3fsJump=1600-0000&amp;c.ChartCode=&amp;hAccount=&amp;hAccount2=&amp;DbCrd=Either&amp;AcTyp=Any&amp;RpTyp=Either" TargetMode="External"/><Relationship Id="rId719" Type="http://schemas.openxmlformats.org/officeDocument/2006/relationships/hyperlink" Target="file:///\\192.168.11.15\Elmdale-Root\Accounting\pages\CommonAccount.aspx%3fsJump=3303-1450&amp;c.ChartCode=&amp;hAccount=&amp;hAccount2=&amp;DbCrd=Either&amp;AcTyp=Any&amp;RpTyp=Either" TargetMode="External"/><Relationship Id="rId926" Type="http://schemas.openxmlformats.org/officeDocument/2006/relationships/hyperlink" Target="file:///\\192.168.11.15\Elmdale-Root\Accounting\pages\CommonAccount.aspx%3fsJump=3303-2157&amp;c.ChartCode=&amp;hAccount=&amp;hAccount2=&amp;DbCrd=Either&amp;AcTyp=Any&amp;RpTyp=Either" TargetMode="External"/><Relationship Id="rId1111" Type="http://schemas.openxmlformats.org/officeDocument/2006/relationships/hyperlink" Target="file:///\\192.168.11.15\Elmdale-Root\Accounting\pages\CommonAccount.aspx%3fsJump=5815-0000&amp;c.ChartCode=&amp;hAccount=&amp;hAccount2=&amp;DbCrd=Either&amp;AcTyp=Any&amp;RpTyp=Either" TargetMode="External"/><Relationship Id="rId55" Type="http://schemas.openxmlformats.org/officeDocument/2006/relationships/hyperlink" Target="file:///\\192.168.11.15\Elmdale-Root\Accounting\pages\CommonAccount.aspx%3fsJump=1110-1526&amp;c.ChartCode=&amp;hAccount=&amp;hAccount2=&amp;DbCrd=Either&amp;AcTyp=Any&amp;RpTyp=Either" TargetMode="External"/><Relationship Id="rId120" Type="http://schemas.openxmlformats.org/officeDocument/2006/relationships/hyperlink" Target="file:///\\192.168.11.15\Elmdale-Root\Accounting\pages\CommonAccount.aspx%3fsJump=1110-4926&amp;c.ChartCode=&amp;hAccount=&amp;hAccount2=&amp;DbCrd=Either&amp;AcTyp=Any&amp;RpTyp=Either" TargetMode="External"/><Relationship Id="rId358" Type="http://schemas.openxmlformats.org/officeDocument/2006/relationships/hyperlink" Target="file:///\\192.168.11.15\Elmdale-Root\Accounting\pages\CommonAccount.aspx%3fsJump=2100-1001&amp;c.ChartCode=&amp;hAccount=&amp;hAccount2=&amp;DbCrd=Either&amp;AcTyp=Any&amp;RpTyp=Either" TargetMode="External"/><Relationship Id="rId565" Type="http://schemas.openxmlformats.org/officeDocument/2006/relationships/hyperlink" Target="file:///\\192.168.11.15\Elmdale-Root\Accounting\pages\CommonAccount.aspx%3fsJump=3006-1009&amp;c.ChartCode=&amp;hAccount=&amp;hAccount2=&amp;DbCrd=Either&amp;AcTyp=Any&amp;RpTyp=Either" TargetMode="External"/><Relationship Id="rId772" Type="http://schemas.openxmlformats.org/officeDocument/2006/relationships/hyperlink" Target="file:///\\192.168.11.15\Elmdale-Root\Accounting\pages\CommonAccount.aspx%3fsJump=3303-2002&amp;c.ChartCode=&amp;hAccount=&amp;hAccount2=&amp;DbCrd=Either&amp;AcTyp=Any&amp;RpTyp=Either" TargetMode="External"/><Relationship Id="rId1195" Type="http://schemas.openxmlformats.org/officeDocument/2006/relationships/hyperlink" Target="file:///\\192.168.11.15\Elmdale-Root\Accounting\pages\CommonAccount.aspx%3fsJump=6450-0070&amp;c.ChartCode=&amp;hAccount=&amp;hAccount2=&amp;DbCrd=Either&amp;AcTyp=Any&amp;RpTyp=Either" TargetMode="External"/><Relationship Id="rId1209" Type="http://schemas.openxmlformats.org/officeDocument/2006/relationships/hyperlink" Target="file:///\\192.168.11.15\Elmdale-Root\Accounting\pages\CommonAccount.aspx%3fsJump=7000-0008&amp;c.ChartCode=&amp;hAccount=&amp;hAccount2=&amp;DbCrd=Either&amp;AcTyp=Any&amp;RpTyp=Either" TargetMode="External"/><Relationship Id="rId218" Type="http://schemas.openxmlformats.org/officeDocument/2006/relationships/hyperlink" Target="file:///\\192.168.11.15\Elmdale-Root\Accounting\pages\CommonAccount.aspx%3fsJump=1411-0000&amp;c.ChartCode=&amp;hAccount=&amp;hAccount2=&amp;DbCrd=Either&amp;AcTyp=Any&amp;RpTyp=Either" TargetMode="External"/><Relationship Id="rId425" Type="http://schemas.openxmlformats.org/officeDocument/2006/relationships/hyperlink" Target="file:///\\192.168.11.15\Elmdale-Root\Accounting\pages\CommonAccount.aspx%3fsJump=2305-1602&amp;c.ChartCode=&amp;hAccount=&amp;hAccount2=&amp;DbCrd=Either&amp;AcTyp=Any&amp;RpTyp=Either" TargetMode="External"/><Relationship Id="rId632" Type="http://schemas.openxmlformats.org/officeDocument/2006/relationships/hyperlink" Target="file:///\\192.168.11.15\Elmdale-Root\Accounting\pages\CommonAccount.aspx%3fsJump=3006-1076&amp;c.ChartCode=&amp;hAccount=&amp;hAccount2=&amp;DbCrd=Either&amp;AcTyp=Any&amp;RpTyp=Either" TargetMode="External"/><Relationship Id="rId1055" Type="http://schemas.openxmlformats.org/officeDocument/2006/relationships/hyperlink" Target="file:///\\192.168.11.15\Elmdale-Root\Accounting\pages\CommonAccount.aspx%3fsJump=5218-0000&amp;c.ChartCode=&amp;hAccount=&amp;hAccount2=&amp;DbCrd=Either&amp;AcTyp=Any&amp;RpTyp=Either" TargetMode="External"/><Relationship Id="rId1262" Type="http://schemas.openxmlformats.org/officeDocument/2006/relationships/hyperlink" Target="file:///\\192.168.11.15\Elmdale-Root\Accounting\pages\CommonAccount.aspx%3fsJump=8100-1003&amp;c.ChartCode=&amp;hAccount=&amp;hAccount2=&amp;DbCrd=Either&amp;AcTyp=Any&amp;RpTyp=Either" TargetMode="External"/><Relationship Id="rId271" Type="http://schemas.openxmlformats.org/officeDocument/2006/relationships/hyperlink" Target="file:///\\192.168.11.15\Elmdale-Root\Accounting\pages\CommonAccount.aspx%3fsJump=1600-0011&amp;c.ChartCode=&amp;hAccount=&amp;hAccount2=&amp;DbCrd=Either&amp;AcTyp=Any&amp;RpTyp=Either" TargetMode="External"/><Relationship Id="rId937" Type="http://schemas.openxmlformats.org/officeDocument/2006/relationships/hyperlink" Target="file:///\\192.168.11.15\Elmdale-Root\Accounting\pages\CommonAccount.aspx%3fsJump=3303-2168&amp;c.ChartCode=&amp;hAccount=&amp;hAccount2=&amp;DbCrd=Either&amp;AcTyp=Any&amp;RpTyp=Either" TargetMode="External"/><Relationship Id="rId1122" Type="http://schemas.openxmlformats.org/officeDocument/2006/relationships/hyperlink" Target="file:///\\192.168.11.15\Elmdale-Root\Accounting\pages\CommonAccount.aspx%3fsJump=6050-0026&amp;c.ChartCode=&amp;hAccount=&amp;hAccount2=&amp;DbCrd=Either&amp;AcTyp=Any&amp;RpTyp=Either" TargetMode="External"/><Relationship Id="rId66" Type="http://schemas.openxmlformats.org/officeDocument/2006/relationships/hyperlink" Target="file:///\\192.168.11.15\Elmdale-Root\Accounting\pages\CommonAccount.aspx%3fsJump=1110-1669&amp;c.ChartCode=&amp;hAccount=&amp;hAccount2=&amp;DbCrd=Either&amp;AcTyp=Any&amp;RpTyp=Either" TargetMode="External"/><Relationship Id="rId131" Type="http://schemas.openxmlformats.org/officeDocument/2006/relationships/hyperlink" Target="file:///\\192.168.11.15\Elmdale-Root\Accounting\pages\CommonAccount.aspx%3fsJump=1110-4946&amp;c.ChartCode=&amp;hAccount=&amp;hAccount2=&amp;DbCrd=Either&amp;AcTyp=Any&amp;RpTyp=Either" TargetMode="External"/><Relationship Id="rId369" Type="http://schemas.openxmlformats.org/officeDocument/2006/relationships/hyperlink" Target="file:///\\192.168.11.15\Elmdale-Root\Accounting\pages\CommonAccount.aspx%3fsJump=2140-0000&amp;c.ChartCode=&amp;hAccount=&amp;hAccount2=&amp;DbCrd=Either&amp;AcTyp=Any&amp;RpTyp=Either" TargetMode="External"/><Relationship Id="rId576" Type="http://schemas.openxmlformats.org/officeDocument/2006/relationships/hyperlink" Target="file:///\\192.168.11.15\Elmdale-Root\Accounting\pages\CommonAccount.aspx%3fsJump=3006-1020&amp;c.ChartCode=&amp;hAccount=&amp;hAccount2=&amp;DbCrd=Either&amp;AcTyp=Any&amp;RpTyp=Either" TargetMode="External"/><Relationship Id="rId783" Type="http://schemas.openxmlformats.org/officeDocument/2006/relationships/hyperlink" Target="file:///\\192.168.11.15\Elmdale-Root\Accounting\pages\CommonAccount.aspx%3fsJump=3303-2013&amp;c.ChartCode=&amp;hAccount=&amp;hAccount2=&amp;DbCrd=Either&amp;AcTyp=Any&amp;RpTyp=Either" TargetMode="External"/><Relationship Id="rId990" Type="http://schemas.openxmlformats.org/officeDocument/2006/relationships/hyperlink" Target="file:///\\192.168.11.15\Elmdale-Root\Accounting\pages\CommonAccount.aspx%3fsJump=3303-2221&amp;c.ChartCode=&amp;hAccount=&amp;hAccount2=&amp;DbCrd=Either&amp;AcTyp=Any&amp;RpTyp=Either" TargetMode="External"/><Relationship Id="rId229" Type="http://schemas.openxmlformats.org/officeDocument/2006/relationships/hyperlink" Target="file:///\\192.168.11.15\Elmdale-Root\Accounting\pages\CommonAccount.aspx%3fsJump=1500-0000&amp;c.ChartCode=&amp;hAccount=&amp;hAccount2=&amp;DbCrd=Either&amp;AcTyp=Any&amp;RpTyp=Either" TargetMode="External"/><Relationship Id="rId436" Type="http://schemas.openxmlformats.org/officeDocument/2006/relationships/hyperlink" Target="file:///\\192.168.11.15\Elmdale-Root\Accounting\pages\CommonAccount.aspx%3fsJump=2305-6333&amp;c.ChartCode=&amp;hAccount=&amp;hAccount2=&amp;DbCrd=Either&amp;AcTyp=Any&amp;RpTyp=Either" TargetMode="External"/><Relationship Id="rId643" Type="http://schemas.openxmlformats.org/officeDocument/2006/relationships/hyperlink" Target="file:///\\192.168.11.15\Elmdale-Root\Accounting\pages\CommonAccount.aspx%3fsJump=3013-1003&amp;c.ChartCode=&amp;hAccount=&amp;hAccount2=&amp;DbCrd=Either&amp;AcTyp=Any&amp;RpTyp=Either" TargetMode="External"/><Relationship Id="rId1066" Type="http://schemas.openxmlformats.org/officeDocument/2006/relationships/hyperlink" Target="file:///\\192.168.11.15\Elmdale-Root\Accounting\pages\CommonAccount.aspx%3fsJump=5320-0000&amp;c.ChartCode=&amp;hAccount=&amp;hAccount2=&amp;DbCrd=Either&amp;AcTyp=Any&amp;RpTyp=Either" TargetMode="External"/><Relationship Id="rId1273" Type="http://schemas.openxmlformats.org/officeDocument/2006/relationships/hyperlink" Target="file:///\\192.168.11.15\Elmdale-Root\Accounting\pages\CommonAccount.aspx%3fsJump=8180-0004&amp;c.ChartCode=&amp;hAccount=&amp;hAccount2=&amp;DbCrd=Either&amp;AcTyp=Any&amp;RpTyp=Either" TargetMode="External"/><Relationship Id="rId850" Type="http://schemas.openxmlformats.org/officeDocument/2006/relationships/hyperlink" Target="file:///\\192.168.11.15\Elmdale-Root\Accounting\pages\CommonAccount.aspx%3fsJump=3303-2081&amp;c.ChartCode=&amp;hAccount=&amp;hAccount2=&amp;DbCrd=Either&amp;AcTyp=Any&amp;RpTyp=Either" TargetMode="External"/><Relationship Id="rId948" Type="http://schemas.openxmlformats.org/officeDocument/2006/relationships/hyperlink" Target="file:///\\192.168.11.15\Elmdale-Root\Accounting\pages\CommonAccount.aspx%3fsJump=3303-2179&amp;c.ChartCode=&amp;hAccount=&amp;hAccount2=&amp;DbCrd=Either&amp;AcTyp=Any&amp;RpTyp=Either" TargetMode="External"/><Relationship Id="rId1133" Type="http://schemas.openxmlformats.org/officeDocument/2006/relationships/hyperlink" Target="file:///\\192.168.11.15\Elmdale-Root\Accounting\pages\CommonAccount.aspx%3fsJump=6110-0020&amp;c.ChartCode=&amp;hAccount=&amp;hAccount2=&amp;DbCrd=Either&amp;AcTyp=Any&amp;RpTyp=Either" TargetMode="External"/><Relationship Id="rId77" Type="http://schemas.openxmlformats.org/officeDocument/2006/relationships/hyperlink" Target="file:///\\192.168.11.15\Elmdale-Root\Accounting\pages\CommonAccount.aspx%3fsJump=1110-3113&amp;c.ChartCode=&amp;hAccount=&amp;hAccount2=&amp;DbCrd=Either&amp;AcTyp=Any&amp;RpTyp=Either" TargetMode="External"/><Relationship Id="rId282" Type="http://schemas.openxmlformats.org/officeDocument/2006/relationships/hyperlink" Target="file:///\\192.168.11.15\Elmdale-Root\Accounting\pages\CommonAccount.aspx%3fsJump=1600-0028&amp;c.ChartCode=&amp;hAccount=&amp;hAccount2=&amp;DbCrd=Either&amp;AcTyp=Any&amp;RpTyp=Either" TargetMode="External"/><Relationship Id="rId503" Type="http://schemas.openxmlformats.org/officeDocument/2006/relationships/hyperlink" Target="file:///\\192.168.11.15\Elmdale-Root\Accounting\pages\CommonAccount.aspx%3fsJump=3003-1502&amp;c.ChartCode=&amp;hAccount=&amp;hAccount2=&amp;DbCrd=Either&amp;AcTyp=Any&amp;RpTyp=Either" TargetMode="External"/><Relationship Id="rId587" Type="http://schemas.openxmlformats.org/officeDocument/2006/relationships/hyperlink" Target="file:///\\192.168.11.15\Elmdale-Root\Accounting\pages\CommonAccount.aspx%3fsJump=3006-1031&amp;c.ChartCode=&amp;hAccount=&amp;hAccount2=&amp;DbCrd=Either&amp;AcTyp=Any&amp;RpTyp=Either" TargetMode="External"/><Relationship Id="rId710" Type="http://schemas.openxmlformats.org/officeDocument/2006/relationships/hyperlink" Target="file:///\\192.168.11.15\Elmdale-Root\Accounting\pages\CommonAccount.aspx%3fsJump=3303-1423&amp;c.ChartCode=&amp;hAccount=&amp;hAccount2=&amp;DbCrd=Either&amp;AcTyp=Any&amp;RpTyp=Either" TargetMode="External"/><Relationship Id="rId808" Type="http://schemas.openxmlformats.org/officeDocument/2006/relationships/hyperlink" Target="file:///\\192.168.11.15\Elmdale-Root\Accounting\pages\CommonAccount.aspx%3fsJump=3303-2039&amp;c.ChartCode=&amp;hAccount=&amp;hAccount2=&amp;DbCrd=Either&amp;AcTyp=Any&amp;RpTyp=Either" TargetMode="External"/><Relationship Id="rId8" Type="http://schemas.openxmlformats.org/officeDocument/2006/relationships/hyperlink" Target="file:///\\192.168.11.15\Elmdale-Root\Accounting\pages\CommonAccount.aspx%3fsJump=1110-0003&amp;c.ChartCode=&amp;hAccount=&amp;hAccount2=&amp;DbCrd=Either&amp;AcTyp=Any&amp;RpTyp=Either" TargetMode="External"/><Relationship Id="rId142" Type="http://schemas.openxmlformats.org/officeDocument/2006/relationships/hyperlink" Target="file:///\\192.168.11.15\Elmdale-Root\Accounting\pages\CommonAccount.aspx%3fsJump=1110-4958&amp;c.ChartCode=&amp;hAccount=&amp;hAccount2=&amp;DbCrd=Either&amp;AcTyp=Any&amp;RpTyp=Either" TargetMode="External"/><Relationship Id="rId447" Type="http://schemas.openxmlformats.org/officeDocument/2006/relationships/hyperlink" Target="file:///\\192.168.11.15\Elmdale-Root\Accounting\pages\CommonAccount.aspx%3fsJump=2410-0000&amp;c.ChartCode=&amp;hAccount=&amp;hAccount2=&amp;DbCrd=Either&amp;AcTyp=Any&amp;RpTyp=Either" TargetMode="External"/><Relationship Id="rId794" Type="http://schemas.openxmlformats.org/officeDocument/2006/relationships/hyperlink" Target="file:///\\192.168.11.15\Elmdale-Root\Accounting\pages\CommonAccount.aspx%3fsJump=3303-2025&amp;c.ChartCode=&amp;hAccount=&amp;hAccount2=&amp;DbCrd=Either&amp;AcTyp=Any&amp;RpTyp=Either" TargetMode="External"/><Relationship Id="rId1077" Type="http://schemas.openxmlformats.org/officeDocument/2006/relationships/hyperlink" Target="file:///\\192.168.11.15\Elmdale-Root\Accounting\pages\CommonAccount.aspx%3fsJump=5434-0000&amp;c.ChartCode=&amp;hAccount=&amp;hAccount2=&amp;DbCrd=Either&amp;AcTyp=Any&amp;RpTyp=Either" TargetMode="External"/><Relationship Id="rId1200" Type="http://schemas.openxmlformats.org/officeDocument/2006/relationships/hyperlink" Target="file:///\\192.168.11.15\Elmdale-Root\Accounting\pages\CommonAccount.aspx%3fsJump=6461-0002&amp;c.ChartCode=&amp;hAccount=&amp;hAccount2=&amp;DbCrd=Either&amp;AcTyp=Any&amp;RpTyp=Either" TargetMode="External"/><Relationship Id="rId654" Type="http://schemas.openxmlformats.org/officeDocument/2006/relationships/hyperlink" Target="file:///\\192.168.11.15\Elmdale-Root\Accounting\pages\CommonAccount.aspx%3fsJump=3030-1001&amp;c.ChartCode=&amp;hAccount=&amp;hAccount2=&amp;DbCrd=Either&amp;AcTyp=Any&amp;RpTyp=Either" TargetMode="External"/><Relationship Id="rId861" Type="http://schemas.openxmlformats.org/officeDocument/2006/relationships/hyperlink" Target="file:///\\192.168.11.15\Elmdale-Root\Accounting\pages\CommonAccount.aspx%3fsJump=3303-2092&amp;c.ChartCode=&amp;hAccount=&amp;hAccount2=&amp;DbCrd=Either&amp;AcTyp=Any&amp;RpTyp=Either" TargetMode="External"/><Relationship Id="rId959" Type="http://schemas.openxmlformats.org/officeDocument/2006/relationships/hyperlink" Target="file:///\\192.168.11.15\Elmdale-Root\Accounting\pages\CommonAccount.aspx%3fsJump=3303-2190&amp;c.ChartCode=&amp;hAccount=&amp;hAccount2=&amp;DbCrd=Either&amp;AcTyp=Any&amp;RpTyp=Either" TargetMode="External"/><Relationship Id="rId1284" Type="http://schemas.openxmlformats.org/officeDocument/2006/relationships/hyperlink" Target="file:///\\192.168.11.15\Elmdale-Root\Accounting\pages\CommonAccount.aspx%3fsJump=8180-0105&amp;c.ChartCode=&amp;hAccount=&amp;hAccount2=&amp;DbCrd=Either&amp;AcTyp=Any&amp;RpTyp=Either" TargetMode="External"/><Relationship Id="rId293" Type="http://schemas.openxmlformats.org/officeDocument/2006/relationships/hyperlink" Target="file:///\\192.168.11.15\Elmdale-Root\Accounting\pages\CommonAccount.aspx%3fsJump=1600-0045&amp;c.ChartCode=&amp;hAccount=&amp;hAccount2=&amp;DbCrd=Either&amp;AcTyp=Any&amp;RpTyp=Either" TargetMode="External"/><Relationship Id="rId307" Type="http://schemas.openxmlformats.org/officeDocument/2006/relationships/hyperlink" Target="file:///\\192.168.11.15\Elmdale-Root\Accounting\pages\CommonAccount.aspx%3fsJump=1600-1008&amp;c.ChartCode=&amp;hAccount=&amp;hAccount2=&amp;DbCrd=Either&amp;AcTyp=Any&amp;RpTyp=Either" TargetMode="External"/><Relationship Id="rId514" Type="http://schemas.openxmlformats.org/officeDocument/2006/relationships/hyperlink" Target="file:///\\192.168.11.15\Elmdale-Root\Accounting\pages\CommonAccount.aspx%3fsJump=3003-1801&amp;c.ChartCode=&amp;hAccount=&amp;hAccount2=&amp;DbCrd=Either&amp;AcTyp=Any&amp;RpTyp=Either" TargetMode="External"/><Relationship Id="rId721" Type="http://schemas.openxmlformats.org/officeDocument/2006/relationships/hyperlink" Target="file:///\\192.168.11.15\Elmdale-Root\Accounting\pages\CommonAccount.aspx%3fsJump=3303-1452&amp;c.ChartCode=&amp;hAccount=&amp;hAccount2=&amp;DbCrd=Either&amp;AcTyp=Any&amp;RpTyp=Either" TargetMode="External"/><Relationship Id="rId1144" Type="http://schemas.openxmlformats.org/officeDocument/2006/relationships/hyperlink" Target="file:///\\192.168.11.15\Elmdale-Root\Accounting\pages\CommonAccount.aspx%3fsJump=6110-1050&amp;c.ChartCode=&amp;hAccount=&amp;hAccount2=&amp;DbCrd=Either&amp;AcTyp=Any&amp;RpTyp=Either" TargetMode="External"/><Relationship Id="rId88" Type="http://schemas.openxmlformats.org/officeDocument/2006/relationships/hyperlink" Target="file:///\\192.168.11.15\Elmdale-Root\Accounting\pages\CommonAccount.aspx%3fsJump=1110-4700&amp;c.ChartCode=&amp;hAccount=&amp;hAccount2=&amp;DbCrd=Either&amp;AcTyp=Any&amp;RpTyp=Either" TargetMode="External"/><Relationship Id="rId153" Type="http://schemas.openxmlformats.org/officeDocument/2006/relationships/hyperlink" Target="file:///\\192.168.11.15\Elmdale-Root\Accounting\pages\CommonAccount.aspx%3fsJump=1110-4969&amp;c.ChartCode=&amp;hAccount=&amp;hAccount2=&amp;DbCrd=Either&amp;AcTyp=Any&amp;RpTyp=Either" TargetMode="External"/><Relationship Id="rId360" Type="http://schemas.openxmlformats.org/officeDocument/2006/relationships/hyperlink" Target="file:///\\192.168.11.15\Elmdale-Root\Accounting\pages\CommonAccount.aspx%3fsJump=2100-1003&amp;c.ChartCode=&amp;hAccount=&amp;hAccount2=&amp;DbCrd=Either&amp;AcTyp=Any&amp;RpTyp=Either" TargetMode="External"/><Relationship Id="rId598" Type="http://schemas.openxmlformats.org/officeDocument/2006/relationships/hyperlink" Target="file:///\\192.168.11.15\Elmdale-Root\Accounting\pages\CommonAccount.aspx%3fsJump=3006-1042&amp;c.ChartCode=&amp;hAccount=&amp;hAccount2=&amp;DbCrd=Either&amp;AcTyp=Any&amp;RpTyp=Either" TargetMode="External"/><Relationship Id="rId819" Type="http://schemas.openxmlformats.org/officeDocument/2006/relationships/hyperlink" Target="file:///\\192.168.11.15\Elmdale-Root\Accounting\pages\CommonAccount.aspx%3fsJump=3303-2050&amp;c.ChartCode=&amp;hAccount=&amp;hAccount2=&amp;DbCrd=Either&amp;AcTyp=Any&amp;RpTyp=Either" TargetMode="External"/><Relationship Id="rId1004" Type="http://schemas.openxmlformats.org/officeDocument/2006/relationships/hyperlink" Target="file:///\\192.168.11.15\Elmdale-Root\Accounting\pages\CommonAccount.aspx%3fsJump=3810-0000&amp;c.ChartCode=&amp;hAccount=&amp;hAccount2=&amp;DbCrd=Either&amp;AcTyp=Any&amp;RpTyp=Either" TargetMode="External"/><Relationship Id="rId1211" Type="http://schemas.openxmlformats.org/officeDocument/2006/relationships/hyperlink" Target="file:///\\192.168.11.15\Elmdale-Root\Accounting\pages\CommonAccount.aspx%3fsJump=7000-0010&amp;c.ChartCode=&amp;hAccount=&amp;hAccount2=&amp;DbCrd=Either&amp;AcTyp=Any&amp;RpTyp=Either" TargetMode="External"/><Relationship Id="rId220" Type="http://schemas.openxmlformats.org/officeDocument/2006/relationships/hyperlink" Target="file:///\\192.168.11.15\Elmdale-Root\Accounting\pages\CommonAccount.aspx%3fsJump=1412-1000&amp;c.ChartCode=&amp;hAccount=&amp;hAccount2=&amp;DbCrd=Either&amp;AcTyp=Any&amp;RpTyp=Either" TargetMode="External"/><Relationship Id="rId458" Type="http://schemas.openxmlformats.org/officeDocument/2006/relationships/hyperlink" Target="file:///\\192.168.11.15\Elmdale-Root\Accounting\pages\CommonAccount.aspx%3fsJump=2609-0002&amp;c.ChartCode=&amp;hAccount=&amp;hAccount2=&amp;DbCrd=Either&amp;AcTyp=Any&amp;RpTyp=Either" TargetMode="External"/><Relationship Id="rId665" Type="http://schemas.openxmlformats.org/officeDocument/2006/relationships/hyperlink" Target="file:///\\192.168.11.15\Elmdale-Root\Accounting\pages\CommonAccount.aspx%3fsJump=3042-0000&amp;c.ChartCode=&amp;hAccount=&amp;hAccount2=&amp;DbCrd=Either&amp;AcTyp=Any&amp;RpTyp=Either" TargetMode="External"/><Relationship Id="rId872" Type="http://schemas.openxmlformats.org/officeDocument/2006/relationships/hyperlink" Target="file:///\\192.168.11.15\Elmdale-Root\Accounting\pages\CommonAccount.aspx%3fsJump=3303-2103&amp;c.ChartCode=&amp;hAccount=&amp;hAccount2=&amp;DbCrd=Either&amp;AcTyp=Any&amp;RpTyp=Either" TargetMode="External"/><Relationship Id="rId1088" Type="http://schemas.openxmlformats.org/officeDocument/2006/relationships/hyperlink" Target="file:///\\192.168.11.15\Elmdale-Root\Accounting\pages\CommonAccount.aspx%3fsJump=5500-0000&amp;c.ChartCode=&amp;hAccount=&amp;hAccount2=&amp;DbCrd=Either&amp;AcTyp=Any&amp;RpTyp=Either" TargetMode="External"/><Relationship Id="rId1295" Type="http://schemas.openxmlformats.org/officeDocument/2006/relationships/hyperlink" Target="file:///\\192.168.11.15\Elmdale-Root\Accounting\pages\CommonAccount.aspx%3fsJump=8181-0110&amp;c.ChartCode=&amp;hAccount=&amp;hAccount2=&amp;DbCrd=Either&amp;AcTyp=Any&amp;RpTyp=Either" TargetMode="External"/><Relationship Id="rId1309" Type="http://schemas.openxmlformats.org/officeDocument/2006/relationships/hyperlink" Target="file:///\\192.168.11.15\Elmdale-Root\Accounting\pages\CommonAccount.aspx%3fsJump=8540-0000&amp;c.ChartCode=&amp;hAccount=&amp;hAccount2=&amp;DbCrd=Either&amp;AcTyp=Any&amp;RpTyp=Either" TargetMode="External"/><Relationship Id="rId15" Type="http://schemas.openxmlformats.org/officeDocument/2006/relationships/hyperlink" Target="file:///\\192.168.11.15\Elmdale-Root\Accounting\pages\CommonAccount.aspx%3fsJump=1110-0040&amp;c.ChartCode=&amp;hAccount=&amp;hAccount2=&amp;DbCrd=Either&amp;AcTyp=Any&amp;RpTyp=Either" TargetMode="External"/><Relationship Id="rId318" Type="http://schemas.openxmlformats.org/officeDocument/2006/relationships/hyperlink" Target="file:///\\192.168.11.15\Elmdale-Root\Accounting\pages\CommonAccount.aspx%3fsJump=1700-0001&amp;c.ChartCode=&amp;hAccount=&amp;hAccount2=&amp;DbCrd=Either&amp;AcTyp=Any&amp;RpTyp=Either" TargetMode="External"/><Relationship Id="rId525" Type="http://schemas.openxmlformats.org/officeDocument/2006/relationships/hyperlink" Target="file:///\\192.168.11.15\Elmdale-Root\Accounting\pages\CommonAccount.aspx%3fsJump=3003-3002&amp;c.ChartCode=&amp;hAccount=&amp;hAccount2=&amp;DbCrd=Either&amp;AcTyp=Any&amp;RpTyp=Either" TargetMode="External"/><Relationship Id="rId732" Type="http://schemas.openxmlformats.org/officeDocument/2006/relationships/hyperlink" Target="file:///\\192.168.11.15\Elmdale-Root\Accounting\pages\CommonAccount.aspx%3fsJump=3303-1481&amp;c.ChartCode=&amp;hAccount=&amp;hAccount2=&amp;DbCrd=Either&amp;AcTyp=Any&amp;RpTyp=Either" TargetMode="External"/><Relationship Id="rId1155" Type="http://schemas.openxmlformats.org/officeDocument/2006/relationships/hyperlink" Target="file:///\\192.168.11.15\Elmdale-Root\Accounting\pages\CommonAccount.aspx%3fsJump=6110-1150&amp;c.ChartCode=&amp;hAccount=&amp;hAccount2=&amp;DbCrd=Either&amp;AcTyp=Any&amp;RpTyp=Either" TargetMode="External"/><Relationship Id="rId99" Type="http://schemas.openxmlformats.org/officeDocument/2006/relationships/hyperlink" Target="file:///\\192.168.11.15\Elmdale-Root\Accounting\pages\CommonAccount.aspx%3fsJump=1110-4905&amp;c.ChartCode=&amp;hAccount=&amp;hAccount2=&amp;DbCrd=Either&amp;AcTyp=Any&amp;RpTyp=Either" TargetMode="External"/><Relationship Id="rId164" Type="http://schemas.openxmlformats.org/officeDocument/2006/relationships/hyperlink" Target="file:///\\192.168.11.15\Elmdale-Root\Accounting\pages\CommonAccount.aspx%3fsJump=1110-4980&amp;c.ChartCode=&amp;hAccount=&amp;hAccount2=&amp;DbCrd=Either&amp;AcTyp=Any&amp;RpTyp=Either" TargetMode="External"/><Relationship Id="rId371" Type="http://schemas.openxmlformats.org/officeDocument/2006/relationships/hyperlink" Target="file:///\\192.168.11.15\Elmdale-Root\Accounting\pages\CommonAccount.aspx%3fsJump=2150-0000&amp;c.ChartCode=&amp;hAccount=&amp;hAccount2=&amp;DbCrd=Either&amp;AcTyp=Any&amp;RpTyp=Either" TargetMode="External"/><Relationship Id="rId1015" Type="http://schemas.openxmlformats.org/officeDocument/2006/relationships/hyperlink" Target="file:///\\192.168.11.15\Elmdale-Root\Accounting\pages\CommonAccount.aspx%3fsJump=4500-0000&amp;c.ChartCode=&amp;hAccount=&amp;hAccount2=&amp;DbCrd=Either&amp;AcTyp=Any&amp;RpTyp=Either" TargetMode="External"/><Relationship Id="rId1222" Type="http://schemas.openxmlformats.org/officeDocument/2006/relationships/hyperlink" Target="file:///\\192.168.11.15\Elmdale-Root\Accounting\pages\CommonAccount.aspx%3fsJump=7000-0047&amp;c.ChartCode=&amp;hAccount=&amp;hAccount2=&amp;DbCrd=Either&amp;AcTyp=Any&amp;RpTyp=Either" TargetMode="External"/><Relationship Id="rId469" Type="http://schemas.openxmlformats.org/officeDocument/2006/relationships/hyperlink" Target="file:///\\192.168.11.15\Elmdale-Root\Accounting\pages\CommonAccount.aspx%3fsJump=3000-1000&amp;c.ChartCode=&amp;hAccount=&amp;hAccount2=&amp;DbCrd=Either&amp;AcTyp=Any&amp;RpTyp=Either" TargetMode="External"/><Relationship Id="rId676" Type="http://schemas.openxmlformats.org/officeDocument/2006/relationships/hyperlink" Target="file:///\\192.168.11.15\Elmdale-Root\Accounting\pages\CommonAccount.aspx%3fsJump=3057-0000&amp;c.ChartCode=&amp;hAccount=&amp;hAccount2=&amp;DbCrd=Either&amp;AcTyp=Any&amp;RpTyp=Either" TargetMode="External"/><Relationship Id="rId883" Type="http://schemas.openxmlformats.org/officeDocument/2006/relationships/hyperlink" Target="file:///\\192.168.11.15\Elmdale-Root\Accounting\pages\CommonAccount.aspx%3fsJump=3303-2114&amp;c.ChartCode=&amp;hAccount=&amp;hAccount2=&amp;DbCrd=Either&amp;AcTyp=Any&amp;RpTyp=Either" TargetMode="External"/><Relationship Id="rId1099" Type="http://schemas.openxmlformats.org/officeDocument/2006/relationships/hyperlink" Target="file:///\\192.168.11.15\Elmdale-Root\Accounting\pages\CommonAccount.aspx%3fsJump=5700-0000&amp;c.ChartCode=&amp;hAccount=&amp;hAccount2=&amp;DbCrd=Either&amp;AcTyp=Any&amp;RpTyp=Either" TargetMode="External"/><Relationship Id="rId26" Type="http://schemas.openxmlformats.org/officeDocument/2006/relationships/hyperlink" Target="file:///\\192.168.11.15\Elmdale-Root\Accounting\pages\CommonAccount.aspx%3fsJump=1110-1200&amp;c.ChartCode=&amp;hAccount=&amp;hAccount2=&amp;DbCrd=Either&amp;AcTyp=Any&amp;RpTyp=Either" TargetMode="External"/><Relationship Id="rId231" Type="http://schemas.openxmlformats.org/officeDocument/2006/relationships/hyperlink" Target="file:///\\192.168.11.15\Elmdale-Root\Accounting\pages\CommonAccount.aspx%3fsJump=1500-0005&amp;c.ChartCode=&amp;hAccount=&amp;hAccount2=&amp;DbCrd=Either&amp;AcTyp=Any&amp;RpTyp=Either" TargetMode="External"/><Relationship Id="rId329" Type="http://schemas.openxmlformats.org/officeDocument/2006/relationships/hyperlink" Target="file:///\\192.168.11.15\Elmdale-Root\Accounting\pages\CommonAccount.aspx%3fsJump=1780-0000&amp;c.ChartCode=&amp;hAccount=&amp;hAccount2=&amp;DbCrd=Either&amp;AcTyp=Any&amp;RpTyp=Either" TargetMode="External"/><Relationship Id="rId536" Type="http://schemas.openxmlformats.org/officeDocument/2006/relationships/hyperlink" Target="file:///\\192.168.11.15\Elmdale-Root\Accounting\pages\CommonAccount.aspx%3fsJump=3003-6001&amp;c.ChartCode=&amp;hAccount=&amp;hAccount2=&amp;DbCrd=Either&amp;AcTyp=Any&amp;RpTyp=Either" TargetMode="External"/><Relationship Id="rId1166" Type="http://schemas.openxmlformats.org/officeDocument/2006/relationships/hyperlink" Target="file:///\\192.168.11.15\Elmdale-Root\Accounting\pages\CommonAccount.aspx%3fsJump=6200-0040&amp;c.ChartCode=&amp;hAccount=&amp;hAccount2=&amp;DbCrd=Either&amp;AcTyp=Any&amp;RpTyp=Either" TargetMode="External"/><Relationship Id="rId175" Type="http://schemas.openxmlformats.org/officeDocument/2006/relationships/hyperlink" Target="file:///\\192.168.11.15\Elmdale-Root\Accounting\pages\CommonAccount.aspx%3fsJump=1120-1000&amp;c.ChartCode=&amp;hAccount=&amp;hAccount2=&amp;DbCrd=Either&amp;AcTyp=Any&amp;RpTyp=Either" TargetMode="External"/><Relationship Id="rId743" Type="http://schemas.openxmlformats.org/officeDocument/2006/relationships/hyperlink" Target="file:///\\192.168.11.15\Elmdale-Root\Accounting\pages\CommonAccount.aspx%3fsJump=3303-1510&amp;c.ChartCode=&amp;hAccount=&amp;hAccount2=&amp;DbCrd=Either&amp;AcTyp=Any&amp;RpTyp=Either" TargetMode="External"/><Relationship Id="rId950" Type="http://schemas.openxmlformats.org/officeDocument/2006/relationships/hyperlink" Target="file:///\\192.168.11.15\Elmdale-Root\Accounting\pages\CommonAccount.aspx%3fsJump=3303-2181&amp;c.ChartCode=&amp;hAccount=&amp;hAccount2=&amp;DbCrd=Either&amp;AcTyp=Any&amp;RpTyp=Either" TargetMode="External"/><Relationship Id="rId1026" Type="http://schemas.openxmlformats.org/officeDocument/2006/relationships/hyperlink" Target="file:///\\192.168.11.15\Elmdale-Root\Accounting\pages\CommonAccount.aspx%3fsJump=4710-0001&amp;c.ChartCode=&amp;hAccount=&amp;hAccount2=&amp;DbCrd=Either&amp;AcTyp=Any&amp;RpTyp=Either" TargetMode="External"/><Relationship Id="rId382" Type="http://schemas.openxmlformats.org/officeDocument/2006/relationships/hyperlink" Target="file:///\\192.168.11.15\Elmdale-Root\Accounting\pages\CommonAccount.aspx%3fsJump=2150-0011&amp;c.ChartCode=&amp;hAccount=&amp;hAccount2=&amp;DbCrd=Either&amp;AcTyp=Any&amp;RpTyp=Either" TargetMode="External"/><Relationship Id="rId603" Type="http://schemas.openxmlformats.org/officeDocument/2006/relationships/hyperlink" Target="file:///\\192.168.11.15\Elmdale-Root\Accounting\pages\CommonAccount.aspx%3fsJump=3006-1047&amp;c.ChartCode=&amp;hAccount=&amp;hAccount2=&amp;DbCrd=Either&amp;AcTyp=Any&amp;RpTyp=Either" TargetMode="External"/><Relationship Id="rId687" Type="http://schemas.openxmlformats.org/officeDocument/2006/relationships/hyperlink" Target="file:///\\192.168.11.15\Elmdale-Root\Accounting\pages\CommonAccount.aspx%3fsJump=3077-0000&amp;c.ChartCode=&amp;hAccount=&amp;hAccount2=&amp;DbCrd=Either&amp;AcTyp=Any&amp;RpTyp=Either" TargetMode="External"/><Relationship Id="rId810" Type="http://schemas.openxmlformats.org/officeDocument/2006/relationships/hyperlink" Target="file:///\\192.168.11.15\Elmdale-Root\Accounting\pages\CommonAccount.aspx%3fsJump=3303-2041&amp;c.ChartCode=&amp;hAccount=&amp;hAccount2=&amp;DbCrd=Either&amp;AcTyp=Any&amp;RpTyp=Either" TargetMode="External"/><Relationship Id="rId908" Type="http://schemas.openxmlformats.org/officeDocument/2006/relationships/hyperlink" Target="file:///\\192.168.11.15\Elmdale-Root\Accounting\pages\CommonAccount.aspx%3fsJump=3303-2139&amp;c.ChartCode=&amp;hAccount=&amp;hAccount2=&amp;DbCrd=Either&amp;AcTyp=Any&amp;RpTyp=Either" TargetMode="External"/><Relationship Id="rId1233" Type="http://schemas.openxmlformats.org/officeDocument/2006/relationships/hyperlink" Target="file:///\\192.168.11.15\Elmdale-Root\Accounting\pages\CommonAccount.aspx%3fsJump=7200-0001&amp;c.ChartCode=&amp;hAccount=&amp;hAccount2=&amp;DbCrd=Either&amp;AcTyp=Any&amp;RpTyp=Either" TargetMode="External"/><Relationship Id="rId242" Type="http://schemas.openxmlformats.org/officeDocument/2006/relationships/hyperlink" Target="file:///\\192.168.11.15\Elmdale-Root\Accounting\pages\CommonAccount.aspx%3fsJump=1500-0037&amp;c.ChartCode=&amp;hAccount=&amp;hAccount2=&amp;DbCrd=Either&amp;AcTyp=Any&amp;RpTyp=Either" TargetMode="External"/><Relationship Id="rId894" Type="http://schemas.openxmlformats.org/officeDocument/2006/relationships/hyperlink" Target="file:///\\192.168.11.15\Elmdale-Root\Accounting\pages\CommonAccount.aspx%3fsJump=3303-2125&amp;c.ChartCode=&amp;hAccount=&amp;hAccount2=&amp;DbCrd=Either&amp;AcTyp=Any&amp;RpTyp=Either" TargetMode="External"/><Relationship Id="rId1177" Type="http://schemas.openxmlformats.org/officeDocument/2006/relationships/hyperlink" Target="file:///\\192.168.11.15\Elmdale-Root\Accounting\pages\CommonAccount.aspx%3fsJump=6375-0000&amp;c.ChartCode=&amp;hAccount=&amp;hAccount2=&amp;DbCrd=Either&amp;AcTyp=Any&amp;RpTyp=Either" TargetMode="External"/><Relationship Id="rId1300" Type="http://schemas.openxmlformats.org/officeDocument/2006/relationships/hyperlink" Target="file:///\\192.168.11.15\Elmdale-Root\Accounting\pages\CommonAccount.aspx%3fsJump=8181-1500&amp;c.ChartCode=&amp;hAccount=&amp;hAccount2=&amp;DbCrd=Either&amp;AcTyp=Any&amp;RpTyp=Either" TargetMode="External"/><Relationship Id="rId37" Type="http://schemas.openxmlformats.org/officeDocument/2006/relationships/hyperlink" Target="file:///\\192.168.11.15\Elmdale-Root\Accounting\pages\CommonAccount.aspx%3fsJump=1110-1508&amp;c.ChartCode=&amp;hAccount=&amp;hAccount2=&amp;DbCrd=Either&amp;AcTyp=Any&amp;RpTyp=Either" TargetMode="External"/><Relationship Id="rId102" Type="http://schemas.openxmlformats.org/officeDocument/2006/relationships/hyperlink" Target="file:///\\192.168.11.15\Elmdale-Root\Accounting\pages\CommonAccount.aspx%3fsJump=1110-4908&amp;c.ChartCode=&amp;hAccount=&amp;hAccount2=&amp;DbCrd=Either&amp;AcTyp=Any&amp;RpTyp=Either" TargetMode="External"/><Relationship Id="rId547" Type="http://schemas.openxmlformats.org/officeDocument/2006/relationships/hyperlink" Target="file:///\\192.168.11.15\Elmdale-Root\Accounting\pages\CommonAccount.aspx%3fsJump=3003-9000&amp;c.ChartCode=&amp;hAccount=&amp;hAccount2=&amp;DbCrd=Either&amp;AcTyp=Any&amp;RpTyp=Either" TargetMode="External"/><Relationship Id="rId754" Type="http://schemas.openxmlformats.org/officeDocument/2006/relationships/hyperlink" Target="file:///\\192.168.11.15\Elmdale-Root\Accounting\pages\CommonAccount.aspx%3fsJump=3303-1523&amp;c.ChartCode=&amp;hAccount=&amp;hAccount2=&amp;DbCrd=Either&amp;AcTyp=Any&amp;RpTyp=Either" TargetMode="External"/><Relationship Id="rId961" Type="http://schemas.openxmlformats.org/officeDocument/2006/relationships/hyperlink" Target="file:///\\192.168.11.15\Elmdale-Root\Accounting\pages\CommonAccount.aspx%3fsJump=3303-2192&amp;c.ChartCode=&amp;hAccount=&amp;hAccount2=&amp;DbCrd=Either&amp;AcTyp=Any&amp;RpTyp=Either" TargetMode="External"/><Relationship Id="rId90" Type="http://schemas.openxmlformats.org/officeDocument/2006/relationships/hyperlink" Target="file:///\\192.168.11.15\Elmdale-Root\Accounting\pages\CommonAccount.aspx%3fsJump=1110-4762&amp;c.ChartCode=&amp;hAccount=&amp;hAccount2=&amp;DbCrd=Either&amp;AcTyp=Any&amp;RpTyp=Either" TargetMode="External"/><Relationship Id="rId186" Type="http://schemas.openxmlformats.org/officeDocument/2006/relationships/hyperlink" Target="file:///\\192.168.11.15\Elmdale-Root\Accounting\pages\CommonAccount.aspx%3fsJump=1170-0000&amp;c.ChartCode=&amp;hAccount=&amp;hAccount2=&amp;DbCrd=Either&amp;AcTyp=Any&amp;RpTyp=Either" TargetMode="External"/><Relationship Id="rId393" Type="http://schemas.openxmlformats.org/officeDocument/2006/relationships/hyperlink" Target="file:///\\192.168.11.15\Elmdale-Root\Accounting\pages\CommonAccount.aspx%3fsJump=2150-0022&amp;c.ChartCode=&amp;hAccount=&amp;hAccount2=&amp;DbCrd=Either&amp;AcTyp=Any&amp;RpTyp=Either" TargetMode="External"/><Relationship Id="rId407" Type="http://schemas.openxmlformats.org/officeDocument/2006/relationships/hyperlink" Target="file:///\\192.168.11.15\Elmdale-Root\Accounting\pages\CommonAccount.aspx%3fsJump=2255-0000&amp;c.ChartCode=&amp;hAccount=&amp;hAccount2=&amp;DbCrd=Either&amp;AcTyp=Any&amp;RpTyp=Either" TargetMode="External"/><Relationship Id="rId614" Type="http://schemas.openxmlformats.org/officeDocument/2006/relationships/hyperlink" Target="file:///\\192.168.11.15\Elmdale-Root\Accounting\pages\CommonAccount.aspx%3fsJump=3006-1058&amp;c.ChartCode=&amp;hAccount=&amp;hAccount2=&amp;DbCrd=Either&amp;AcTyp=Any&amp;RpTyp=Either" TargetMode="External"/><Relationship Id="rId821" Type="http://schemas.openxmlformats.org/officeDocument/2006/relationships/hyperlink" Target="file:///\\192.168.11.15\Elmdale-Root\Accounting\pages\CommonAccount.aspx%3fsJump=3303-2052&amp;c.ChartCode=&amp;hAccount=&amp;hAccount2=&amp;DbCrd=Either&amp;AcTyp=Any&amp;RpTyp=Either" TargetMode="External"/><Relationship Id="rId1037" Type="http://schemas.openxmlformats.org/officeDocument/2006/relationships/hyperlink" Target="file:///\\192.168.11.15\Elmdale-Root\Accounting\pages\CommonAccount.aspx%3fsJump=4810-0000&amp;c.ChartCode=&amp;hAccount=&amp;hAccount2=&amp;DbCrd=Either&amp;AcTyp=Any&amp;RpTyp=Either" TargetMode="External"/><Relationship Id="rId1244" Type="http://schemas.openxmlformats.org/officeDocument/2006/relationships/hyperlink" Target="file:///\\192.168.11.15\Elmdale-Root\Accounting\pages\CommonAccount.aspx%3fsJump=7330-0000&amp;c.ChartCode=&amp;hAccount=&amp;hAccount2=&amp;DbCrd=Either&amp;AcTyp=Any&amp;RpTyp=Either" TargetMode="External"/><Relationship Id="rId253" Type="http://schemas.openxmlformats.org/officeDocument/2006/relationships/hyperlink" Target="file:///\\192.168.11.15\Elmdale-Root\Accounting\pages\CommonAccount.aspx%3fsJump=1500-0070&amp;c.ChartCode=&amp;hAccount=&amp;hAccount2=&amp;DbCrd=Either&amp;AcTyp=Any&amp;RpTyp=Either" TargetMode="External"/><Relationship Id="rId460" Type="http://schemas.openxmlformats.org/officeDocument/2006/relationships/hyperlink" Target="file:///\\192.168.11.15\Elmdale-Root\Accounting\pages\CommonAccount.aspx%3fsJump=2620-0000&amp;c.ChartCode=&amp;hAccount=&amp;hAccount2=&amp;DbCrd=Either&amp;AcTyp=Any&amp;RpTyp=Either" TargetMode="External"/><Relationship Id="rId698" Type="http://schemas.openxmlformats.org/officeDocument/2006/relationships/hyperlink" Target="file:///\\192.168.11.15\Elmdale-Root\Accounting\pages\CommonAccount.aspx%3fsJump=3207-0000&amp;c.ChartCode=&amp;hAccount=&amp;hAccount2=&amp;DbCrd=Either&amp;AcTyp=Any&amp;RpTyp=Either" TargetMode="External"/><Relationship Id="rId919" Type="http://schemas.openxmlformats.org/officeDocument/2006/relationships/hyperlink" Target="file:///\\192.168.11.15\Elmdale-Root\Accounting\pages\CommonAccount.aspx%3fsJump=3303-2150&amp;c.ChartCode=&amp;hAccount=&amp;hAccount2=&amp;DbCrd=Either&amp;AcTyp=Any&amp;RpTyp=Either" TargetMode="External"/><Relationship Id="rId1090" Type="http://schemas.openxmlformats.org/officeDocument/2006/relationships/hyperlink" Target="file:///\\192.168.11.15\Elmdale-Root\Accounting\pages\CommonAccount.aspx%3fsJump=5520-0000&amp;c.ChartCode=&amp;hAccount=&amp;hAccount2=&amp;DbCrd=Either&amp;AcTyp=Any&amp;RpTyp=Either" TargetMode="External"/><Relationship Id="rId1104" Type="http://schemas.openxmlformats.org/officeDocument/2006/relationships/hyperlink" Target="file:///\\192.168.11.15\Elmdale-Root\Accounting\pages\CommonAccount.aspx%3fsJump=5739-0000&amp;c.ChartCode=&amp;hAccount=&amp;hAccount2=&amp;DbCrd=Either&amp;AcTyp=Any&amp;RpTyp=Either" TargetMode="External"/><Relationship Id="rId1311" Type="http://schemas.openxmlformats.org/officeDocument/2006/relationships/hyperlink" Target="file:///\\192.168.11.15\Elmdale-Root\Accounting\pages\CommonAccount.aspx%3fsJump=8590-0001&amp;c.ChartCode=&amp;hAccount=&amp;hAccount2=&amp;DbCrd=Either&amp;AcTyp=Any&amp;RpTyp=Either" TargetMode="External"/><Relationship Id="rId48" Type="http://schemas.openxmlformats.org/officeDocument/2006/relationships/hyperlink" Target="file:///\\192.168.11.15\Elmdale-Root\Accounting\pages\CommonAccount.aspx%3fsJump=1110-1519&amp;c.ChartCode=&amp;hAccount=&amp;hAccount2=&amp;DbCrd=Either&amp;AcTyp=Any&amp;RpTyp=Either" TargetMode="External"/><Relationship Id="rId113" Type="http://schemas.openxmlformats.org/officeDocument/2006/relationships/hyperlink" Target="file:///\\192.168.11.15\Elmdale-Root\Accounting\pages\CommonAccount.aspx%3fsJump=1110-4919&amp;c.ChartCode=&amp;hAccount=&amp;hAccount2=&amp;DbCrd=Either&amp;AcTyp=Any&amp;RpTyp=Either" TargetMode="External"/><Relationship Id="rId320" Type="http://schemas.openxmlformats.org/officeDocument/2006/relationships/hyperlink" Target="file:///\\192.168.11.15\Elmdale-Root\Accounting\pages\CommonAccount.aspx%3fsJump=1700-5100&amp;c.ChartCode=&amp;hAccount=&amp;hAccount2=&amp;DbCrd=Either&amp;AcTyp=Any&amp;RpTyp=Either" TargetMode="External"/><Relationship Id="rId558" Type="http://schemas.openxmlformats.org/officeDocument/2006/relationships/hyperlink" Target="file:///\\192.168.11.15\Elmdale-Root\Accounting\pages\CommonAccount.aspx%3fsJump=3006-1002&amp;c.ChartCode=&amp;hAccount=&amp;hAccount2=&amp;DbCrd=Either&amp;AcTyp=Any&amp;RpTyp=Either" TargetMode="External"/><Relationship Id="rId765" Type="http://schemas.openxmlformats.org/officeDocument/2006/relationships/hyperlink" Target="file:///\\192.168.11.15\Elmdale-Root\Accounting\pages\CommonAccount.aspx%3fsJump=3303-1552&amp;c.ChartCode=&amp;hAccount=&amp;hAccount2=&amp;DbCrd=Either&amp;AcTyp=Any&amp;RpTyp=Either" TargetMode="External"/><Relationship Id="rId972" Type="http://schemas.openxmlformats.org/officeDocument/2006/relationships/hyperlink" Target="file:///\\192.168.11.15\Elmdale-Root\Accounting\pages\CommonAccount.aspx%3fsJump=3303-2203&amp;c.ChartCode=&amp;hAccount=&amp;hAccount2=&amp;DbCrd=Either&amp;AcTyp=Any&amp;RpTyp=Either" TargetMode="External"/><Relationship Id="rId1188" Type="http://schemas.openxmlformats.org/officeDocument/2006/relationships/hyperlink" Target="file:///\\192.168.11.15\Elmdale-Root\Accounting\pages\CommonAccount.aspx%3fsJump=6400-0047&amp;c.ChartCode=&amp;hAccount=&amp;hAccount2=&amp;DbCrd=Either&amp;AcTyp=Any&amp;RpTyp=Either" TargetMode="External"/><Relationship Id="rId197" Type="http://schemas.openxmlformats.org/officeDocument/2006/relationships/hyperlink" Target="file:///\\192.168.11.15\Elmdale-Root\Accounting\pages\CommonAccount.aspx%3fsJump=1200-0007&amp;c.ChartCode=&amp;hAccount=&amp;hAccount2=&amp;DbCrd=Either&amp;AcTyp=Any&amp;RpTyp=Either" TargetMode="External"/><Relationship Id="rId418" Type="http://schemas.openxmlformats.org/officeDocument/2006/relationships/hyperlink" Target="file:///\\192.168.11.15\Elmdale-Root\Accounting\pages\CommonAccount.aspx%3fsJump=2305-0435&amp;c.ChartCode=&amp;hAccount=&amp;hAccount2=&amp;DbCrd=Either&amp;AcTyp=Any&amp;RpTyp=Either" TargetMode="External"/><Relationship Id="rId625" Type="http://schemas.openxmlformats.org/officeDocument/2006/relationships/hyperlink" Target="file:///\\192.168.11.15\Elmdale-Root\Accounting\pages\CommonAccount.aspx%3fsJump=3006-1069&amp;c.ChartCode=&amp;hAccount=&amp;hAccount2=&amp;DbCrd=Either&amp;AcTyp=Any&amp;RpTyp=Either" TargetMode="External"/><Relationship Id="rId832" Type="http://schemas.openxmlformats.org/officeDocument/2006/relationships/hyperlink" Target="file:///\\192.168.11.15\Elmdale-Root\Accounting\pages\CommonAccount.aspx%3fsJump=3303-2063&amp;c.ChartCode=&amp;hAccount=&amp;hAccount2=&amp;DbCrd=Either&amp;AcTyp=Any&amp;RpTyp=Either" TargetMode="External"/><Relationship Id="rId1048" Type="http://schemas.openxmlformats.org/officeDocument/2006/relationships/hyperlink" Target="file:///\\192.168.11.15\Elmdale-Root\Accounting\pages\CommonAccount.aspx%3fsJump=5100-0000&amp;c.ChartCode=&amp;hAccount=&amp;hAccount2=&amp;DbCrd=Either&amp;AcTyp=Any&amp;RpTyp=Either" TargetMode="External"/><Relationship Id="rId1255" Type="http://schemas.openxmlformats.org/officeDocument/2006/relationships/hyperlink" Target="file:///\\192.168.11.15\Elmdale-Root\Accounting\pages\CommonAccount.aspx%3fsJump=8000-0000&amp;c.ChartCode=&amp;hAccount=&amp;hAccount2=&amp;DbCrd=Either&amp;AcTyp=Any&amp;RpTyp=Either" TargetMode="External"/><Relationship Id="rId264" Type="http://schemas.openxmlformats.org/officeDocument/2006/relationships/hyperlink" Target="file:///\\192.168.11.15\Elmdale-Root\Accounting\pages\CommonAccount.aspx%3fsJump=1600-0004&amp;c.ChartCode=&amp;hAccount=&amp;hAccount2=&amp;DbCrd=Either&amp;AcTyp=Any&amp;RpTyp=Either" TargetMode="External"/><Relationship Id="rId471" Type="http://schemas.openxmlformats.org/officeDocument/2006/relationships/hyperlink" Target="file:///\\192.168.11.15\Elmdale-Root\Accounting\pages\CommonAccount.aspx%3fsJump=3002-0000&amp;c.ChartCode=&amp;hAccount=&amp;hAccount2=&amp;DbCrd=Either&amp;AcTyp=Any&amp;RpTyp=Either" TargetMode="External"/><Relationship Id="rId1115" Type="http://schemas.openxmlformats.org/officeDocument/2006/relationships/hyperlink" Target="file:///\\192.168.11.15\Elmdale-Root\Accounting\pages\CommonAccount.aspx%3fsJump=6001-0000&amp;c.ChartCode=&amp;hAccount=&amp;hAccount2=&amp;DbCrd=Either&amp;AcTyp=Any&amp;RpTyp=Either" TargetMode="External"/><Relationship Id="rId1322" Type="http://schemas.openxmlformats.org/officeDocument/2006/relationships/hyperlink" Target="file:///\\192.168.11.15\Elmdale-Root\Accounting\pages\CommonAccount.aspx%3fsJump=9000-1002&amp;c.ChartCode=&amp;hAccount=&amp;hAccount2=&amp;DbCrd=Either&amp;AcTyp=Any&amp;RpTyp=Either" TargetMode="External"/><Relationship Id="rId59" Type="http://schemas.openxmlformats.org/officeDocument/2006/relationships/hyperlink" Target="file:///\\192.168.11.15\Elmdale-Root\Accounting\pages\CommonAccount.aspx%3fsJump=1110-1530&amp;c.ChartCode=&amp;hAccount=&amp;hAccount2=&amp;DbCrd=Either&amp;AcTyp=Any&amp;RpTyp=Either" TargetMode="External"/><Relationship Id="rId124" Type="http://schemas.openxmlformats.org/officeDocument/2006/relationships/hyperlink" Target="file:///\\192.168.11.15\Elmdale-Root\Accounting\pages\CommonAccount.aspx%3fsJump=1110-4939&amp;c.ChartCode=&amp;hAccount=&amp;hAccount2=&amp;DbCrd=Either&amp;AcTyp=Any&amp;RpTyp=Either" TargetMode="External"/><Relationship Id="rId569" Type="http://schemas.openxmlformats.org/officeDocument/2006/relationships/hyperlink" Target="file:///\\192.168.11.15\Elmdale-Root\Accounting\pages\CommonAccount.aspx%3fsJump=3006-1013&amp;c.ChartCode=&amp;hAccount=&amp;hAccount2=&amp;DbCrd=Either&amp;AcTyp=Any&amp;RpTyp=Either" TargetMode="External"/><Relationship Id="rId776" Type="http://schemas.openxmlformats.org/officeDocument/2006/relationships/hyperlink" Target="file:///\\192.168.11.15\Elmdale-Root\Accounting\pages\CommonAccount.aspx%3fsJump=3303-2006&amp;c.ChartCode=&amp;hAccount=&amp;hAccount2=&amp;DbCrd=Either&amp;AcTyp=Any&amp;RpTyp=Either" TargetMode="External"/><Relationship Id="rId983" Type="http://schemas.openxmlformats.org/officeDocument/2006/relationships/hyperlink" Target="file:///\\192.168.11.15\Elmdale-Root\Accounting\pages\CommonAccount.aspx%3fsJump=3303-2214&amp;c.ChartCode=&amp;hAccount=&amp;hAccount2=&amp;DbCrd=Either&amp;AcTyp=Any&amp;RpTyp=Either" TargetMode="External"/><Relationship Id="rId1199" Type="http://schemas.openxmlformats.org/officeDocument/2006/relationships/hyperlink" Target="file:///\\192.168.11.15\Elmdale-Root\Accounting\pages\CommonAccount.aspx%3fsJump=6461-0001&amp;c.ChartCode=&amp;hAccount=&amp;hAccount2=&amp;DbCrd=Either&amp;AcTyp=Any&amp;RpTyp=Either" TargetMode="External"/><Relationship Id="rId331" Type="http://schemas.openxmlformats.org/officeDocument/2006/relationships/hyperlink" Target="file:///\\192.168.11.15\Elmdale-Root\Accounting\pages\CommonAccount.aspx%3fsJump=1890-0000&amp;c.ChartCode=&amp;hAccount=&amp;hAccount2=&amp;DbCrd=Either&amp;AcTyp=Any&amp;RpTyp=Either" TargetMode="External"/><Relationship Id="rId429" Type="http://schemas.openxmlformats.org/officeDocument/2006/relationships/hyperlink" Target="file:///\\192.168.11.15\Elmdale-Root\Accounting\pages\CommonAccount.aspx%3fsJump=2305-5025&amp;c.ChartCode=&amp;hAccount=&amp;hAccount2=&amp;DbCrd=Either&amp;AcTyp=Any&amp;RpTyp=Either" TargetMode="External"/><Relationship Id="rId636" Type="http://schemas.openxmlformats.org/officeDocument/2006/relationships/hyperlink" Target="file:///\\192.168.11.15\Elmdale-Root\Accounting\pages\CommonAccount.aspx%3fsJump=3010-1000&amp;c.ChartCode=&amp;hAccount=&amp;hAccount2=&amp;DbCrd=Either&amp;AcTyp=Any&amp;RpTyp=Either" TargetMode="External"/><Relationship Id="rId1059" Type="http://schemas.openxmlformats.org/officeDocument/2006/relationships/hyperlink" Target="file:///\\192.168.11.15\Elmdale-Root\Accounting\pages\CommonAccount.aspx%3fsJump=5241-0000&amp;c.ChartCode=&amp;hAccount=&amp;hAccount2=&amp;DbCrd=Either&amp;AcTyp=Any&amp;RpTyp=Either" TargetMode="External"/><Relationship Id="rId1266" Type="http://schemas.openxmlformats.org/officeDocument/2006/relationships/hyperlink" Target="file:///\\192.168.11.15\Elmdale-Root\Accounting\pages\CommonAccount.aspx%3fsJump=8161-0000&amp;c.ChartCode=&amp;hAccount=&amp;hAccount2=&amp;DbCrd=Either&amp;AcTyp=Any&amp;RpTyp=Either" TargetMode="External"/><Relationship Id="rId843" Type="http://schemas.openxmlformats.org/officeDocument/2006/relationships/hyperlink" Target="file:///\\192.168.11.15\Elmdale-Root\Accounting\pages\CommonAccount.aspx%3fsJump=3303-2074&amp;c.ChartCode=&amp;hAccount=&amp;hAccount2=&amp;DbCrd=Either&amp;AcTyp=Any&amp;RpTyp=Either" TargetMode="External"/><Relationship Id="rId1126" Type="http://schemas.openxmlformats.org/officeDocument/2006/relationships/hyperlink" Target="file:///\\192.168.11.15\Elmdale-Root\Accounting\pages\CommonAccount.aspx%3fsJump=6050-9999&amp;c.ChartCode=&amp;hAccount=&amp;hAccount2=&amp;DbCrd=Either&amp;AcTyp=Any&amp;RpTyp=Either" TargetMode="External"/><Relationship Id="rId275" Type="http://schemas.openxmlformats.org/officeDocument/2006/relationships/hyperlink" Target="file:///\\192.168.11.15\Elmdale-Root\Accounting\pages\CommonAccount.aspx%3fsJump=1600-0016&amp;c.ChartCode=&amp;hAccount=&amp;hAccount2=&amp;DbCrd=Either&amp;AcTyp=Any&amp;RpTyp=Either" TargetMode="External"/><Relationship Id="rId482" Type="http://schemas.openxmlformats.org/officeDocument/2006/relationships/hyperlink" Target="file:///\\192.168.11.15\Elmdale-Root\Accounting\pages\CommonAccount.aspx%3fsJump=3003-1001&amp;c.ChartCode=&amp;hAccount=&amp;hAccount2=&amp;DbCrd=Either&amp;AcTyp=Any&amp;RpTyp=Either" TargetMode="External"/><Relationship Id="rId703" Type="http://schemas.openxmlformats.org/officeDocument/2006/relationships/hyperlink" Target="file:///\\192.168.11.15\Elmdale-Root\Accounting\pages\CommonAccount.aspx%3fsJump=3303-1410&amp;c.ChartCode=&amp;hAccount=&amp;hAccount2=&amp;DbCrd=Either&amp;AcTyp=Any&amp;RpTyp=Either" TargetMode="External"/><Relationship Id="rId910" Type="http://schemas.openxmlformats.org/officeDocument/2006/relationships/hyperlink" Target="file:///\\192.168.11.15\Elmdale-Root\Accounting\pages\CommonAccount.aspx%3fsJump=3303-2141&amp;c.ChartCode=&amp;hAccount=&amp;hAccount2=&amp;DbCrd=Either&amp;AcTyp=Any&amp;RpTyp=Either" TargetMode="External"/><Relationship Id="rId135" Type="http://schemas.openxmlformats.org/officeDocument/2006/relationships/hyperlink" Target="file:///\\192.168.11.15\Elmdale-Root\Accounting\pages\CommonAccount.aspx%3fsJump=1110-4950&amp;c.ChartCode=&amp;hAccount=&amp;hAccount2=&amp;DbCrd=Either&amp;AcTyp=Any&amp;RpTyp=Either" TargetMode="External"/><Relationship Id="rId342" Type="http://schemas.openxmlformats.org/officeDocument/2006/relationships/hyperlink" Target="file:///\\192.168.11.15\Elmdale-Root\Accounting\pages\CommonAccount.aspx%3fsJump=1900-1008&amp;c.ChartCode=&amp;hAccount=&amp;hAccount2=&amp;DbCrd=Either&amp;AcTyp=Any&amp;RpTyp=Either" TargetMode="External"/><Relationship Id="rId787" Type="http://schemas.openxmlformats.org/officeDocument/2006/relationships/hyperlink" Target="file:///\\192.168.11.15\Elmdale-Root\Accounting\pages\CommonAccount.aspx%3fsJump=3303-2018&amp;c.ChartCode=&amp;hAccount=&amp;hAccount2=&amp;DbCrd=Either&amp;AcTyp=Any&amp;RpTyp=Either" TargetMode="External"/><Relationship Id="rId994" Type="http://schemas.openxmlformats.org/officeDocument/2006/relationships/hyperlink" Target="file:///\\192.168.11.15\Elmdale-Root\Accounting\pages\CommonAccount.aspx%3fsJump=3303-2225&amp;c.ChartCode=&amp;hAccount=&amp;hAccount2=&amp;DbCrd=Either&amp;AcTyp=Any&amp;RpTyp=Either" TargetMode="External"/><Relationship Id="rId202" Type="http://schemas.openxmlformats.org/officeDocument/2006/relationships/hyperlink" Target="file:///\\192.168.11.15\Elmdale-Root\Accounting\pages\CommonAccount.aspx%3fsJump=1350-0000&amp;c.ChartCode=&amp;hAccount=&amp;hAccount2=&amp;DbCrd=Either&amp;AcTyp=Any&amp;RpTyp=Either" TargetMode="External"/><Relationship Id="rId647" Type="http://schemas.openxmlformats.org/officeDocument/2006/relationships/hyperlink" Target="file:///\\192.168.11.15\Elmdale-Root\Accounting\pages\CommonAccount.aspx%3fsJump=3013-1007&amp;c.ChartCode=&amp;hAccount=&amp;hAccount2=&amp;DbCrd=Either&amp;AcTyp=Any&amp;RpTyp=Either" TargetMode="External"/><Relationship Id="rId854" Type="http://schemas.openxmlformats.org/officeDocument/2006/relationships/hyperlink" Target="file:///\\192.168.11.15\Elmdale-Root\Accounting\pages\CommonAccount.aspx%3fsJump=3303-2085&amp;c.ChartCode=&amp;hAccount=&amp;hAccount2=&amp;DbCrd=Either&amp;AcTyp=Any&amp;RpTyp=Either" TargetMode="External"/><Relationship Id="rId1277" Type="http://schemas.openxmlformats.org/officeDocument/2006/relationships/hyperlink" Target="file:///\\192.168.11.15\Elmdale-Root\Accounting\pages\CommonAccount.aspx%3fsJump=8180-0011&amp;c.ChartCode=&amp;hAccount=&amp;hAccount2=&amp;DbCrd=Either&amp;AcTyp=Any&amp;RpTyp=Either" TargetMode="External"/><Relationship Id="rId286" Type="http://schemas.openxmlformats.org/officeDocument/2006/relationships/hyperlink" Target="file:///\\192.168.11.15\Elmdale-Root\Accounting\pages\CommonAccount.aspx%3fsJump=1600-0037&amp;c.ChartCode=&amp;hAccount=&amp;hAccount2=&amp;DbCrd=Either&amp;AcTyp=Any&amp;RpTyp=Either" TargetMode="External"/><Relationship Id="rId493" Type="http://schemas.openxmlformats.org/officeDocument/2006/relationships/hyperlink" Target="file:///\\192.168.11.15\Elmdale-Root\Accounting\pages\CommonAccount.aspx%3fsJump=3003-1300&amp;c.ChartCode=&amp;hAccount=&amp;hAccount2=&amp;DbCrd=Either&amp;AcTyp=Any&amp;RpTyp=Either" TargetMode="External"/><Relationship Id="rId507" Type="http://schemas.openxmlformats.org/officeDocument/2006/relationships/hyperlink" Target="file:///\\192.168.11.15\Elmdale-Root\Accounting\pages\CommonAccount.aspx%3fsJump=3003-1602&amp;c.ChartCode=&amp;hAccount=&amp;hAccount2=&amp;DbCrd=Either&amp;AcTyp=Any&amp;RpTyp=Either" TargetMode="External"/><Relationship Id="rId714" Type="http://schemas.openxmlformats.org/officeDocument/2006/relationships/hyperlink" Target="file:///\\192.168.11.15\Elmdale-Root\Accounting\pages\CommonAccount.aspx%3fsJump=3303-1433&amp;c.ChartCode=&amp;hAccount=&amp;hAccount2=&amp;DbCrd=Either&amp;AcTyp=Any&amp;RpTyp=Either" TargetMode="External"/><Relationship Id="rId921" Type="http://schemas.openxmlformats.org/officeDocument/2006/relationships/hyperlink" Target="file:///\\192.168.11.15\Elmdale-Root\Accounting\pages\CommonAccount.aspx%3fsJump=3303-2152&amp;c.ChartCode=&amp;hAccount=&amp;hAccount2=&amp;DbCrd=Either&amp;AcTyp=Any&amp;RpTyp=Either" TargetMode="External"/><Relationship Id="rId1137" Type="http://schemas.openxmlformats.org/officeDocument/2006/relationships/hyperlink" Target="file:///\\192.168.11.15\Elmdale-Root\Accounting\pages\CommonAccount.aspx%3fsJump=6110-0035&amp;c.ChartCode=&amp;hAccount=&amp;hAccount2=&amp;DbCrd=Either&amp;AcTyp=Any&amp;RpTyp=Either" TargetMode="External"/><Relationship Id="rId50" Type="http://schemas.openxmlformats.org/officeDocument/2006/relationships/hyperlink" Target="file:///\\192.168.11.15\Elmdale-Root\Accounting\pages\CommonAccount.aspx%3fsJump=1110-1521&amp;c.ChartCode=&amp;hAccount=&amp;hAccount2=&amp;DbCrd=Either&amp;AcTyp=Any&amp;RpTyp=Either" TargetMode="External"/><Relationship Id="rId146" Type="http://schemas.openxmlformats.org/officeDocument/2006/relationships/hyperlink" Target="file:///\\192.168.11.15\Elmdale-Root\Accounting\pages\CommonAccount.aspx%3fsJump=1110-4962&amp;c.ChartCode=&amp;hAccount=&amp;hAccount2=&amp;DbCrd=Either&amp;AcTyp=Any&amp;RpTyp=Either" TargetMode="External"/><Relationship Id="rId353" Type="http://schemas.openxmlformats.org/officeDocument/2006/relationships/hyperlink" Target="file:///\\192.168.11.15\Elmdale-Root\Accounting\pages\CommonAccount.aspx%3fsJump=1950-0000&amp;c.ChartCode=&amp;hAccount=&amp;hAccount2=&amp;DbCrd=Either&amp;AcTyp=Any&amp;RpTyp=Either" TargetMode="External"/><Relationship Id="rId560" Type="http://schemas.openxmlformats.org/officeDocument/2006/relationships/hyperlink" Target="file:///\\192.168.11.15\Elmdale-Root\Accounting\pages\CommonAccount.aspx%3fsJump=3006-1004&amp;c.ChartCode=&amp;hAccount=&amp;hAccount2=&amp;DbCrd=Either&amp;AcTyp=Any&amp;RpTyp=Either" TargetMode="External"/><Relationship Id="rId798" Type="http://schemas.openxmlformats.org/officeDocument/2006/relationships/hyperlink" Target="file:///\\192.168.11.15\Elmdale-Root\Accounting\pages\CommonAccount.aspx%3fsJump=3303-2029&amp;c.ChartCode=&amp;hAccount=&amp;hAccount2=&amp;DbCrd=Either&amp;AcTyp=Any&amp;RpTyp=Either" TargetMode="External"/><Relationship Id="rId1190" Type="http://schemas.openxmlformats.org/officeDocument/2006/relationships/hyperlink" Target="file:///\\192.168.11.15\Elmdale-Root\Accounting\pages\CommonAccount.aspx%3fsJump=6450-0000&amp;c.ChartCode=&amp;hAccount=&amp;hAccount2=&amp;DbCrd=Either&amp;AcTyp=Any&amp;RpTyp=Either" TargetMode="External"/><Relationship Id="rId1204" Type="http://schemas.openxmlformats.org/officeDocument/2006/relationships/hyperlink" Target="file:///\\192.168.11.15\Elmdale-Root\Accounting\pages\CommonAccount.aspx%3fsJump=6461-1001&amp;c.ChartCode=&amp;hAccount=&amp;hAccount2=&amp;DbCrd=Either&amp;AcTyp=Any&amp;RpTyp=Either" TargetMode="External"/><Relationship Id="rId213" Type="http://schemas.openxmlformats.org/officeDocument/2006/relationships/hyperlink" Target="file:///\\192.168.11.15\Elmdale-Root\Accounting\pages\CommonAccount.aspx%3fsJump=1401-0100&amp;c.ChartCode=&amp;hAccount=&amp;hAccount2=&amp;DbCrd=Either&amp;AcTyp=Any&amp;RpTyp=Either" TargetMode="External"/><Relationship Id="rId420" Type="http://schemas.openxmlformats.org/officeDocument/2006/relationships/hyperlink" Target="file:///\\192.168.11.15\Elmdale-Root\Accounting\pages\CommonAccount.aspx%3fsJump=2305-0562&amp;c.ChartCode=&amp;hAccount=&amp;hAccount2=&amp;DbCrd=Either&amp;AcTyp=Any&amp;RpTyp=Either" TargetMode="External"/><Relationship Id="rId658" Type="http://schemas.openxmlformats.org/officeDocument/2006/relationships/hyperlink" Target="file:///\\192.168.11.15\Elmdale-Root\Accounting\pages\CommonAccount.aspx%3fsJump=3035-0000&amp;c.ChartCode=&amp;hAccount=&amp;hAccount2=&amp;DbCrd=Either&amp;AcTyp=Any&amp;RpTyp=Either" TargetMode="External"/><Relationship Id="rId865" Type="http://schemas.openxmlformats.org/officeDocument/2006/relationships/hyperlink" Target="file:///\\192.168.11.15\Elmdale-Root\Accounting\pages\CommonAccount.aspx%3fsJump=3303-2096&amp;c.ChartCode=&amp;hAccount=&amp;hAccount2=&amp;DbCrd=Either&amp;AcTyp=Any&amp;RpTyp=Either" TargetMode="External"/><Relationship Id="rId1050" Type="http://schemas.openxmlformats.org/officeDocument/2006/relationships/hyperlink" Target="file:///\\192.168.11.15\Elmdale-Root\Accounting\pages\CommonAccount.aspx%3fsJump=5200-0000&amp;c.ChartCode=&amp;hAccount=&amp;hAccount2=&amp;DbCrd=Either&amp;AcTyp=Any&amp;RpTyp=Either" TargetMode="External"/><Relationship Id="rId1288" Type="http://schemas.openxmlformats.org/officeDocument/2006/relationships/hyperlink" Target="file:///\\192.168.11.15\Elmdale-Root\Accounting\pages\CommonAccount.aspx%3fsJump=8181-0000&amp;c.ChartCode=&amp;hAccount=&amp;hAccount2=&amp;DbCrd=Either&amp;AcTyp=Any&amp;RpTyp=Either" TargetMode="External"/><Relationship Id="rId297" Type="http://schemas.openxmlformats.org/officeDocument/2006/relationships/hyperlink" Target="file:///\\192.168.11.15\Elmdale-Root\Accounting\pages\CommonAccount.aspx%3fsJump=1600-0049&amp;c.ChartCode=&amp;hAccount=&amp;hAccount2=&amp;DbCrd=Either&amp;AcTyp=Any&amp;RpTyp=Either" TargetMode="External"/><Relationship Id="rId518" Type="http://schemas.openxmlformats.org/officeDocument/2006/relationships/hyperlink" Target="file:///\\192.168.11.15\Elmdale-Root\Accounting\pages\CommonAccount.aspx%3fsJump=3003-2001&amp;c.ChartCode=&amp;hAccount=&amp;hAccount2=&amp;DbCrd=Either&amp;AcTyp=Any&amp;RpTyp=Either" TargetMode="External"/><Relationship Id="rId725" Type="http://schemas.openxmlformats.org/officeDocument/2006/relationships/hyperlink" Target="file:///\\192.168.11.15\Elmdale-Root\Accounting\pages\CommonAccount.aspx%3fsJump=3303-1462&amp;c.ChartCode=&amp;hAccount=&amp;hAccount2=&amp;DbCrd=Either&amp;AcTyp=Any&amp;RpTyp=Either" TargetMode="External"/><Relationship Id="rId932" Type="http://schemas.openxmlformats.org/officeDocument/2006/relationships/hyperlink" Target="file:///\\192.168.11.15\Elmdale-Root\Accounting\pages\CommonAccount.aspx%3fsJump=3303-2163&amp;c.ChartCode=&amp;hAccount=&amp;hAccount2=&amp;DbCrd=Either&amp;AcTyp=Any&amp;RpTyp=Either" TargetMode="External"/><Relationship Id="rId1148" Type="http://schemas.openxmlformats.org/officeDocument/2006/relationships/hyperlink" Target="file:///\\192.168.11.15\Elmdale-Root\Accounting\pages\CommonAccount.aspx%3fsJump=6110-1065&amp;c.ChartCode=&amp;hAccount=&amp;hAccount2=&amp;DbCrd=Either&amp;AcTyp=Any&amp;RpTyp=Either" TargetMode="External"/><Relationship Id="rId157" Type="http://schemas.openxmlformats.org/officeDocument/2006/relationships/hyperlink" Target="file:///\\192.168.11.15\Elmdale-Root\Accounting\pages\CommonAccount.aspx%3fsJump=1110-4973&amp;c.ChartCode=&amp;hAccount=&amp;hAccount2=&amp;DbCrd=Either&amp;AcTyp=Any&amp;RpTyp=Either" TargetMode="External"/><Relationship Id="rId364" Type="http://schemas.openxmlformats.org/officeDocument/2006/relationships/hyperlink" Target="file:///\\192.168.11.15\Elmdale-Root\Accounting\pages\CommonAccount.aspx%3fsJump=2110-0015&amp;c.ChartCode=&amp;hAccount=&amp;hAccount2=&amp;DbCrd=Either&amp;AcTyp=Any&amp;RpTyp=Either" TargetMode="External"/><Relationship Id="rId1008" Type="http://schemas.openxmlformats.org/officeDocument/2006/relationships/hyperlink" Target="file:///\\192.168.11.15\Elmdale-Root\Accounting\pages\CommonAccount.aspx%3fsJump=3990-0000&amp;c.ChartCode=&amp;hAccount=&amp;hAccount2=&amp;DbCrd=Either&amp;AcTyp=Any&amp;RpTyp=Either" TargetMode="External"/><Relationship Id="rId1215" Type="http://schemas.openxmlformats.org/officeDocument/2006/relationships/hyperlink" Target="file:///\\192.168.11.15\Elmdale-Root\Accounting\pages\CommonAccount.aspx%3fsJump=7000-0015&amp;c.ChartCode=&amp;hAccount=&amp;hAccount2=&amp;DbCrd=Either&amp;AcTyp=Any&amp;RpTyp=Either" TargetMode="External"/><Relationship Id="rId61" Type="http://schemas.openxmlformats.org/officeDocument/2006/relationships/hyperlink" Target="file:///\\192.168.11.15\Elmdale-Root\Accounting\pages\CommonAccount.aspx%3fsJump=1110-1532&amp;c.ChartCode=&amp;hAccount=&amp;hAccount2=&amp;DbCrd=Either&amp;AcTyp=Any&amp;RpTyp=Either" TargetMode="External"/><Relationship Id="rId571" Type="http://schemas.openxmlformats.org/officeDocument/2006/relationships/hyperlink" Target="file:///\\192.168.11.15\Elmdale-Root\Accounting\pages\CommonAccount.aspx%3fsJump=3006-1015&amp;c.ChartCode=&amp;hAccount=&amp;hAccount2=&amp;DbCrd=Either&amp;AcTyp=Any&amp;RpTyp=Either" TargetMode="External"/><Relationship Id="rId669" Type="http://schemas.openxmlformats.org/officeDocument/2006/relationships/hyperlink" Target="file:///\\192.168.11.15\Elmdale-Root\Accounting\pages\CommonAccount.aspx%3fsJump=3049-0000&amp;c.ChartCode=&amp;hAccount=&amp;hAccount2=&amp;DbCrd=Either&amp;AcTyp=Any&amp;RpTyp=Either" TargetMode="External"/><Relationship Id="rId876" Type="http://schemas.openxmlformats.org/officeDocument/2006/relationships/hyperlink" Target="file:///\\192.168.11.15\Elmdale-Root\Accounting\pages\CommonAccount.aspx%3fsJump=3303-2107&amp;c.ChartCode=&amp;hAccount=&amp;hAccount2=&amp;DbCrd=Either&amp;AcTyp=Any&amp;RpTyp=Either" TargetMode="External"/><Relationship Id="rId1299" Type="http://schemas.openxmlformats.org/officeDocument/2006/relationships/hyperlink" Target="file:///\\192.168.11.15\Elmdale-Root\Accounting\pages\CommonAccount.aspx%3fsJump=8181-1000&amp;c.ChartCode=&amp;hAccount=&amp;hAccount2=&amp;DbCrd=Either&amp;AcTyp=Any&amp;RpTyp=Either" TargetMode="External"/><Relationship Id="rId19" Type="http://schemas.openxmlformats.org/officeDocument/2006/relationships/hyperlink" Target="file:///\\192.168.11.15\Elmdale-Root\Accounting\pages\CommonAccount.aspx%3fsJump=1110-0435&amp;c.ChartCode=&amp;hAccount=&amp;hAccount2=&amp;DbCrd=Either&amp;AcTyp=Any&amp;RpTyp=Either" TargetMode="External"/><Relationship Id="rId224" Type="http://schemas.openxmlformats.org/officeDocument/2006/relationships/hyperlink" Target="file:///\\192.168.11.15\Elmdale-Root\Accounting\pages\CommonAccount.aspx%3fsJump=1416-0000&amp;c.ChartCode=&amp;hAccount=&amp;hAccount2=&amp;DbCrd=Either&amp;AcTyp=Any&amp;RpTyp=Either" TargetMode="External"/><Relationship Id="rId431" Type="http://schemas.openxmlformats.org/officeDocument/2006/relationships/hyperlink" Target="file:///\\192.168.11.15\Elmdale-Root\Accounting\pages\CommonAccount.aspx%3fsJump=2305-5301&amp;c.ChartCode=&amp;hAccount=&amp;hAccount2=&amp;DbCrd=Either&amp;AcTyp=Any&amp;RpTyp=Either" TargetMode="External"/><Relationship Id="rId529" Type="http://schemas.openxmlformats.org/officeDocument/2006/relationships/hyperlink" Target="file:///\\192.168.11.15\Elmdale-Root\Accounting\pages\CommonAccount.aspx%3fsJump=3003-4002&amp;c.ChartCode=&amp;hAccount=&amp;hAccount2=&amp;DbCrd=Either&amp;AcTyp=Any&amp;RpTyp=Either" TargetMode="External"/><Relationship Id="rId736" Type="http://schemas.openxmlformats.org/officeDocument/2006/relationships/hyperlink" Target="file:///\\192.168.11.15\Elmdale-Root\Accounting\pages\CommonAccount.aspx%3fsJump=3303-1491&amp;c.ChartCode=&amp;hAccount=&amp;hAccount2=&amp;DbCrd=Either&amp;AcTyp=Any&amp;RpTyp=Either" TargetMode="External"/><Relationship Id="rId1061" Type="http://schemas.openxmlformats.org/officeDocument/2006/relationships/hyperlink" Target="file:///\\192.168.11.15\Elmdale-Root\Accounting\pages\CommonAccount.aspx%3fsJump=5260-0000&amp;c.ChartCode=&amp;hAccount=&amp;hAccount2=&amp;DbCrd=Either&amp;AcTyp=Any&amp;RpTyp=Either" TargetMode="External"/><Relationship Id="rId1159" Type="http://schemas.openxmlformats.org/officeDocument/2006/relationships/hyperlink" Target="file:///\\192.168.11.15\Elmdale-Root\Accounting\pages\CommonAccount.aspx%3fsJump=6200-0000&amp;c.ChartCode=&amp;hAccount=&amp;hAccount2=&amp;DbCrd=Either&amp;AcTyp=Any&amp;RpTyp=Either" TargetMode="External"/><Relationship Id="rId168" Type="http://schemas.openxmlformats.org/officeDocument/2006/relationships/hyperlink" Target="file:///\\192.168.11.15\Elmdale-Root\Accounting\pages\CommonAccount.aspx%3fsJump=1110-4984&amp;c.ChartCode=&amp;hAccount=&amp;hAccount2=&amp;DbCrd=Either&amp;AcTyp=Any&amp;RpTyp=Either" TargetMode="External"/><Relationship Id="rId943" Type="http://schemas.openxmlformats.org/officeDocument/2006/relationships/hyperlink" Target="file:///\\192.168.11.15\Elmdale-Root\Accounting\pages\CommonAccount.aspx%3fsJump=3303-2174&amp;c.ChartCode=&amp;hAccount=&amp;hAccount2=&amp;DbCrd=Either&amp;AcTyp=Any&amp;RpTyp=Either" TargetMode="External"/><Relationship Id="rId1019" Type="http://schemas.openxmlformats.org/officeDocument/2006/relationships/hyperlink" Target="file:///\\192.168.11.15\Elmdale-Root\Accounting\pages\CommonAccount.aspx%3fsJump=4500-1001&amp;c.ChartCode=&amp;hAccount=&amp;hAccount2=&amp;DbCrd=Either&amp;AcTyp=Any&amp;RpTyp=Either" TargetMode="External"/><Relationship Id="rId72" Type="http://schemas.openxmlformats.org/officeDocument/2006/relationships/hyperlink" Target="file:///\\192.168.11.15\Elmdale-Root\Accounting\pages\CommonAccount.aspx%3fsJump=1110-3001&amp;c.ChartCode=&amp;hAccount=&amp;hAccount2=&amp;DbCrd=Either&amp;AcTyp=Any&amp;RpTyp=Either" TargetMode="External"/><Relationship Id="rId375" Type="http://schemas.openxmlformats.org/officeDocument/2006/relationships/hyperlink" Target="file:///\\192.168.11.15\Elmdale-Root\Accounting\pages\CommonAccount.aspx%3fsJump=2150-0004&amp;c.ChartCode=&amp;hAccount=&amp;hAccount2=&amp;DbCrd=Either&amp;AcTyp=Any&amp;RpTyp=Either" TargetMode="External"/><Relationship Id="rId582" Type="http://schemas.openxmlformats.org/officeDocument/2006/relationships/hyperlink" Target="file:///\\192.168.11.15\Elmdale-Root\Accounting\pages\CommonAccount.aspx%3fsJump=3006-1026&amp;c.ChartCode=&amp;hAccount=&amp;hAccount2=&amp;DbCrd=Either&amp;AcTyp=Any&amp;RpTyp=Either" TargetMode="External"/><Relationship Id="rId803" Type="http://schemas.openxmlformats.org/officeDocument/2006/relationships/hyperlink" Target="file:///\\192.168.11.15\Elmdale-Root\Accounting\pages\CommonAccount.aspx%3fsJump=3303-2034&amp;c.ChartCode=&amp;hAccount=&amp;hAccount2=&amp;DbCrd=Either&amp;AcTyp=Any&amp;RpTyp=Either" TargetMode="External"/><Relationship Id="rId1226" Type="http://schemas.openxmlformats.org/officeDocument/2006/relationships/hyperlink" Target="file:///\\192.168.11.15\Elmdale-Root\Accounting\pages\CommonAccount.aspx%3fsJump=7000-0060&amp;c.ChartCode=&amp;hAccount=&amp;hAccount2=&amp;DbCrd=Either&amp;AcTyp=Any&amp;RpTyp=Either" TargetMode="External"/><Relationship Id="rId3" Type="http://schemas.openxmlformats.org/officeDocument/2006/relationships/hyperlink" Target="file:///\\192.168.11.15\Elmdale-Root\Accounting\pages\CommonAccount.aspx%3fsJump=1100-0001&amp;c.ChartCode=&amp;hAccount=&amp;hAccount2=&amp;DbCrd=Either&amp;AcTyp=Any&amp;RpTyp=Either" TargetMode="External"/><Relationship Id="rId235" Type="http://schemas.openxmlformats.org/officeDocument/2006/relationships/hyperlink" Target="file:///\\192.168.11.15\Elmdale-Root\Accounting\pages\CommonAccount.aspx%3fsJump=1500-0017&amp;c.ChartCode=&amp;hAccount=&amp;hAccount2=&amp;DbCrd=Either&amp;AcTyp=Any&amp;RpTyp=Either" TargetMode="External"/><Relationship Id="rId442" Type="http://schemas.openxmlformats.org/officeDocument/2006/relationships/hyperlink" Target="file:///\\192.168.11.15\Elmdale-Root\Accounting\pages\CommonAccount.aspx%3fsJump=2305-9530&amp;c.ChartCode=&amp;hAccount=&amp;hAccount2=&amp;DbCrd=Either&amp;AcTyp=Any&amp;RpTyp=Either" TargetMode="External"/><Relationship Id="rId887" Type="http://schemas.openxmlformats.org/officeDocument/2006/relationships/hyperlink" Target="file:///\\192.168.11.15\Elmdale-Root\Accounting\pages\CommonAccount.aspx%3fsJump=3303-2118&amp;c.ChartCode=&amp;hAccount=&amp;hAccount2=&amp;DbCrd=Either&amp;AcTyp=Any&amp;RpTyp=Either" TargetMode="External"/><Relationship Id="rId1072" Type="http://schemas.openxmlformats.org/officeDocument/2006/relationships/hyperlink" Target="file:///\\192.168.11.15\Elmdale-Root\Accounting\pages\CommonAccount.aspx%3fsJump=5410-0000&amp;c.ChartCode=&amp;hAccount=&amp;hAccount2=&amp;DbCrd=Either&amp;AcTyp=Any&amp;RpTyp=Either" TargetMode="External"/><Relationship Id="rId302" Type="http://schemas.openxmlformats.org/officeDocument/2006/relationships/hyperlink" Target="file:///\\192.168.11.15\Elmdale-Root\Accounting\pages\CommonAccount.aspx%3fsJump=1600-1003&amp;c.ChartCode=&amp;hAccount=&amp;hAccount2=&amp;DbCrd=Either&amp;AcTyp=Any&amp;RpTyp=Either" TargetMode="External"/><Relationship Id="rId747" Type="http://schemas.openxmlformats.org/officeDocument/2006/relationships/hyperlink" Target="file:///\\192.168.11.15\Elmdale-Root\Accounting\pages\CommonAccount.aspx%3fsJump=3303-1515&amp;c.ChartCode=&amp;hAccount=&amp;hAccount2=&amp;DbCrd=Either&amp;AcTyp=Any&amp;RpTyp=Either" TargetMode="External"/><Relationship Id="rId954" Type="http://schemas.openxmlformats.org/officeDocument/2006/relationships/hyperlink" Target="file:///\\192.168.11.15\Elmdale-Root\Accounting\pages\CommonAccount.aspx%3fsJump=3303-2185&amp;c.ChartCode=&amp;hAccount=&amp;hAccount2=&amp;DbCrd=Either&amp;AcTyp=Any&amp;RpTyp=Either" TargetMode="External"/><Relationship Id="rId83" Type="http://schemas.openxmlformats.org/officeDocument/2006/relationships/hyperlink" Target="file:///\\192.168.11.15\Elmdale-Root\Accounting\pages\CommonAccount.aspx%3fsJump=1110-3336&amp;c.ChartCode=&amp;hAccount=&amp;hAccount2=&amp;DbCrd=Either&amp;AcTyp=Any&amp;RpTyp=Either" TargetMode="External"/><Relationship Id="rId179" Type="http://schemas.openxmlformats.org/officeDocument/2006/relationships/hyperlink" Target="file:///\\192.168.11.15\Elmdale-Root\Accounting\pages\CommonAccount.aspx%3fsJump=1130-0000&amp;c.ChartCode=&amp;hAccount=&amp;hAccount2=&amp;DbCrd=Either&amp;AcTyp=Any&amp;RpTyp=Either" TargetMode="External"/><Relationship Id="rId386" Type="http://schemas.openxmlformats.org/officeDocument/2006/relationships/hyperlink" Target="file:///\\192.168.11.15\Elmdale-Root\Accounting\pages\CommonAccount.aspx%3fsJump=2150-0015&amp;c.ChartCode=&amp;hAccount=&amp;hAccount2=&amp;DbCrd=Either&amp;AcTyp=Any&amp;RpTyp=Either" TargetMode="External"/><Relationship Id="rId593" Type="http://schemas.openxmlformats.org/officeDocument/2006/relationships/hyperlink" Target="file:///\\192.168.11.15\Elmdale-Root\Accounting\pages\CommonAccount.aspx%3fsJump=3006-1037&amp;c.ChartCode=&amp;hAccount=&amp;hAccount2=&amp;DbCrd=Either&amp;AcTyp=Any&amp;RpTyp=Either" TargetMode="External"/><Relationship Id="rId607" Type="http://schemas.openxmlformats.org/officeDocument/2006/relationships/hyperlink" Target="file:///\\192.168.11.15\Elmdale-Root\Accounting\pages\CommonAccount.aspx%3fsJump=3006-1051&amp;c.ChartCode=&amp;hAccount=&amp;hAccount2=&amp;DbCrd=Either&amp;AcTyp=Any&amp;RpTyp=Either" TargetMode="External"/><Relationship Id="rId814" Type="http://schemas.openxmlformats.org/officeDocument/2006/relationships/hyperlink" Target="file:///\\192.168.11.15\Elmdale-Root\Accounting\pages\CommonAccount.aspx%3fsJump=3303-2045&amp;c.ChartCode=&amp;hAccount=&amp;hAccount2=&amp;DbCrd=Either&amp;AcTyp=Any&amp;RpTyp=Either" TargetMode="External"/><Relationship Id="rId1237" Type="http://schemas.openxmlformats.org/officeDocument/2006/relationships/hyperlink" Target="file:///\\192.168.11.15\Elmdale-Root\Accounting\pages\CommonAccount.aspx%3fsJump=7200-0100&amp;c.ChartCode=&amp;hAccount=&amp;hAccount2=&amp;DbCrd=Either&amp;AcTyp=Any&amp;RpTyp=Either" TargetMode="External"/><Relationship Id="rId246" Type="http://schemas.openxmlformats.org/officeDocument/2006/relationships/hyperlink" Target="file:///\\192.168.11.15\Elmdale-Root\Accounting\pages\CommonAccount.aspx%3fsJump=1500-0050&amp;c.ChartCode=&amp;hAccount=&amp;hAccount2=&amp;DbCrd=Either&amp;AcTyp=Any&amp;RpTyp=Either" TargetMode="External"/><Relationship Id="rId453" Type="http://schemas.openxmlformats.org/officeDocument/2006/relationships/hyperlink" Target="file:///\\192.168.11.15\Elmdale-Root\Accounting\pages\CommonAccount.aspx%3fsJump=2460-0000&amp;c.ChartCode=&amp;hAccount=&amp;hAccount2=&amp;DbCrd=Either&amp;AcTyp=Any&amp;RpTyp=Either" TargetMode="External"/><Relationship Id="rId660" Type="http://schemas.openxmlformats.org/officeDocument/2006/relationships/hyperlink" Target="file:///\\192.168.11.15\Elmdale-Root\Accounting\pages\CommonAccount.aspx%3fsJump=3037-0000&amp;c.ChartCode=&amp;hAccount=&amp;hAccount2=&amp;DbCrd=Either&amp;AcTyp=Any&amp;RpTyp=Either" TargetMode="External"/><Relationship Id="rId898" Type="http://schemas.openxmlformats.org/officeDocument/2006/relationships/hyperlink" Target="file:///\\192.168.11.15\Elmdale-Root\Accounting\pages\CommonAccount.aspx%3fsJump=3303-2129&amp;c.ChartCode=&amp;hAccount=&amp;hAccount2=&amp;DbCrd=Either&amp;AcTyp=Any&amp;RpTyp=Either" TargetMode="External"/><Relationship Id="rId1083" Type="http://schemas.openxmlformats.org/officeDocument/2006/relationships/hyperlink" Target="file:///\\192.168.11.15\Elmdale-Root\Accounting\pages\CommonAccount.aspx%3fsJump=5470-0001&amp;c.ChartCode=&amp;hAccount=&amp;hAccount2=&amp;DbCrd=Either&amp;AcTyp=Any&amp;RpTyp=Either" TargetMode="External"/><Relationship Id="rId1290" Type="http://schemas.openxmlformats.org/officeDocument/2006/relationships/hyperlink" Target="file:///\\192.168.11.15\Elmdale-Root\Accounting\pages\CommonAccount.aspx%3fsJump=8181-0101&amp;c.ChartCode=&amp;hAccount=&amp;hAccount2=&amp;DbCrd=Either&amp;AcTyp=Any&amp;RpTyp=Either" TargetMode="External"/><Relationship Id="rId1304" Type="http://schemas.openxmlformats.org/officeDocument/2006/relationships/hyperlink" Target="file:///\\192.168.11.15\Elmdale-Root\Accounting\pages\CommonAccount.aspx%3fsJump=8390-0000&amp;c.ChartCode=&amp;hAccount=&amp;hAccount2=&amp;DbCrd=Either&amp;AcTyp=Any&amp;RpTyp=Either" TargetMode="External"/><Relationship Id="rId106" Type="http://schemas.openxmlformats.org/officeDocument/2006/relationships/hyperlink" Target="file:///\\192.168.11.15\Elmdale-Root\Accounting\pages\CommonAccount.aspx%3fsJump=1110-4912&amp;c.ChartCode=&amp;hAccount=&amp;hAccount2=&amp;DbCrd=Either&amp;AcTyp=Any&amp;RpTyp=Either" TargetMode="External"/><Relationship Id="rId313" Type="http://schemas.openxmlformats.org/officeDocument/2006/relationships/hyperlink" Target="file:///\\192.168.11.15\Elmdale-Root\Accounting\pages\CommonAccount.aspx%3fsJump=1600-1014&amp;c.ChartCode=&amp;hAccount=&amp;hAccount2=&amp;DbCrd=Either&amp;AcTyp=Any&amp;RpTyp=Either" TargetMode="External"/><Relationship Id="rId758" Type="http://schemas.openxmlformats.org/officeDocument/2006/relationships/hyperlink" Target="file:///\\192.168.11.15\Elmdale-Root\Accounting\pages\CommonAccount.aspx%3fsJump=3303-1533&amp;c.ChartCode=&amp;hAccount=&amp;hAccount2=&amp;DbCrd=Either&amp;AcTyp=Any&amp;RpTyp=Either" TargetMode="External"/><Relationship Id="rId965" Type="http://schemas.openxmlformats.org/officeDocument/2006/relationships/hyperlink" Target="file:///\\192.168.11.15\Elmdale-Root\Accounting\pages\CommonAccount.aspx%3fsJump=3303-2196&amp;c.ChartCode=&amp;hAccount=&amp;hAccount2=&amp;DbCrd=Either&amp;AcTyp=Any&amp;RpTyp=Either" TargetMode="External"/><Relationship Id="rId1150" Type="http://schemas.openxmlformats.org/officeDocument/2006/relationships/hyperlink" Target="file:///\\192.168.11.15\Elmdale-Root\Accounting\pages\CommonAccount.aspx%3fsJump=6110-1067&amp;c.ChartCode=&amp;hAccount=&amp;hAccount2=&amp;DbCrd=Either&amp;AcTyp=Any&amp;RpTyp=Either" TargetMode="External"/><Relationship Id="rId10" Type="http://schemas.openxmlformats.org/officeDocument/2006/relationships/hyperlink" Target="file:///\\192.168.11.15\Elmdale-Root\Accounting\pages\CommonAccount.aspx%3fsJump=1110-0005&amp;c.ChartCode=&amp;hAccount=&amp;hAccount2=&amp;DbCrd=Either&amp;AcTyp=Any&amp;RpTyp=Either" TargetMode="External"/><Relationship Id="rId94" Type="http://schemas.openxmlformats.org/officeDocument/2006/relationships/hyperlink" Target="file:///\\192.168.11.15\Elmdale-Root\Accounting\pages\CommonAccount.aspx%3fsJump=1110-4900&amp;c.ChartCode=&amp;hAccount=&amp;hAccount2=&amp;DbCrd=Either&amp;AcTyp=Any&amp;RpTyp=Either" TargetMode="External"/><Relationship Id="rId397" Type="http://schemas.openxmlformats.org/officeDocument/2006/relationships/hyperlink" Target="file:///\\192.168.11.15\Elmdale-Root\Accounting\pages\CommonAccount.aspx%3fsJump=2201-0000&amp;c.ChartCode=&amp;hAccount=&amp;hAccount2=&amp;DbCrd=Either&amp;AcTyp=Any&amp;RpTyp=Either" TargetMode="External"/><Relationship Id="rId520" Type="http://schemas.openxmlformats.org/officeDocument/2006/relationships/hyperlink" Target="file:///\\192.168.11.15\Elmdale-Root\Accounting\pages\CommonAccount.aspx%3fsJump=3003-2003&amp;c.ChartCode=&amp;hAccount=&amp;hAccount2=&amp;DbCrd=Either&amp;AcTyp=Any&amp;RpTyp=Either" TargetMode="External"/><Relationship Id="rId618" Type="http://schemas.openxmlformats.org/officeDocument/2006/relationships/hyperlink" Target="file:///\\192.168.11.15\Elmdale-Root\Accounting\pages\CommonAccount.aspx%3fsJump=3006-1062&amp;c.ChartCode=&amp;hAccount=&amp;hAccount2=&amp;DbCrd=Either&amp;AcTyp=Any&amp;RpTyp=Either" TargetMode="External"/><Relationship Id="rId825" Type="http://schemas.openxmlformats.org/officeDocument/2006/relationships/hyperlink" Target="file:///\\192.168.11.15\Elmdale-Root\Accounting\pages\CommonAccount.aspx%3fsJump=3303-2056&amp;c.ChartCode=&amp;hAccount=&amp;hAccount2=&amp;DbCrd=Either&amp;AcTyp=Any&amp;RpTyp=Either" TargetMode="External"/><Relationship Id="rId1248" Type="http://schemas.openxmlformats.org/officeDocument/2006/relationships/hyperlink" Target="file:///\\192.168.11.15\Elmdale-Root\Accounting\pages\CommonAccount.aspx%3fsJump=7400-0002&amp;c.ChartCode=&amp;hAccount=&amp;hAccount2=&amp;DbCrd=Either&amp;AcTyp=Any&amp;RpTyp=Either" TargetMode="External"/><Relationship Id="rId257" Type="http://schemas.openxmlformats.org/officeDocument/2006/relationships/hyperlink" Target="file:///\\192.168.11.15\Elmdale-Root\Accounting\pages\CommonAccount.aspx%3fsJump=1500-0090&amp;c.ChartCode=&amp;hAccount=&amp;hAccount2=&amp;DbCrd=Either&amp;AcTyp=Any&amp;RpTyp=Either" TargetMode="External"/><Relationship Id="rId464" Type="http://schemas.openxmlformats.org/officeDocument/2006/relationships/hyperlink" Target="file:///\\192.168.11.15\Elmdale-Root\Accounting\pages\CommonAccount.aspx%3fsJump=2640-0999&amp;c.ChartCode=&amp;hAccount=&amp;hAccount2=&amp;DbCrd=Either&amp;AcTyp=Any&amp;RpTyp=Either" TargetMode="External"/><Relationship Id="rId1010" Type="http://schemas.openxmlformats.org/officeDocument/2006/relationships/hyperlink" Target="file:///\\192.168.11.15\Elmdale-Root\Accounting\pages\CommonAccount.aspx%3fsJump=4100-0000&amp;c.ChartCode=&amp;hAccount=&amp;hAccount2=&amp;DbCrd=Either&amp;AcTyp=Any&amp;RpTyp=Either" TargetMode="External"/><Relationship Id="rId1094" Type="http://schemas.openxmlformats.org/officeDocument/2006/relationships/hyperlink" Target="file:///\\192.168.11.15\Elmdale-Root\Accounting\pages\CommonAccount.aspx%3fsJump=5610-0000&amp;c.ChartCode=&amp;hAccount=&amp;hAccount2=&amp;DbCrd=Either&amp;AcTyp=Any&amp;RpTyp=Either" TargetMode="External"/><Relationship Id="rId1108" Type="http://schemas.openxmlformats.org/officeDocument/2006/relationships/hyperlink" Target="file:///\\192.168.11.15\Elmdale-Root\Accounting\pages\CommonAccount.aspx%3fsJump=5800-0000&amp;c.ChartCode=&amp;hAccount=&amp;hAccount2=&amp;DbCrd=Either&amp;AcTyp=Any&amp;RpTyp=Either" TargetMode="External"/><Relationship Id="rId1315" Type="http://schemas.openxmlformats.org/officeDocument/2006/relationships/hyperlink" Target="file:///\\192.168.11.15\Elmdale-Root\Accounting\pages\CommonAccount.aspx%3fsJump=8590-0005&amp;c.ChartCode=&amp;hAccount=&amp;hAccount2=&amp;DbCrd=Either&amp;AcTyp=Any&amp;RpTyp=Either" TargetMode="External"/><Relationship Id="rId117" Type="http://schemas.openxmlformats.org/officeDocument/2006/relationships/hyperlink" Target="file:///\\192.168.11.15\Elmdale-Root\Accounting\pages\CommonAccount.aspx%3fsJump=1110-4923&amp;c.ChartCode=&amp;hAccount=&amp;hAccount2=&amp;DbCrd=Either&amp;AcTyp=Any&amp;RpTyp=Either" TargetMode="External"/><Relationship Id="rId671" Type="http://schemas.openxmlformats.org/officeDocument/2006/relationships/hyperlink" Target="file:///\\192.168.11.15\Elmdale-Root\Accounting\pages\CommonAccount.aspx%3fsJump=3051-0000&amp;c.ChartCode=&amp;hAccount=&amp;hAccount2=&amp;DbCrd=Either&amp;AcTyp=Any&amp;RpTyp=Either" TargetMode="External"/><Relationship Id="rId769" Type="http://schemas.openxmlformats.org/officeDocument/2006/relationships/hyperlink" Target="file:///\\192.168.11.15\Elmdale-Root\Accounting\pages\CommonAccount.aspx%3fsJump=3303-1562&amp;c.ChartCode=&amp;hAccount=&amp;hAccount2=&amp;DbCrd=Either&amp;AcTyp=Any&amp;RpTyp=Either" TargetMode="External"/><Relationship Id="rId976" Type="http://schemas.openxmlformats.org/officeDocument/2006/relationships/hyperlink" Target="file:///\\192.168.11.15\Elmdale-Root\Accounting\pages\CommonAccount.aspx%3fsJump=3303-2207&amp;c.ChartCode=&amp;hAccount=&amp;hAccount2=&amp;DbCrd=Either&amp;AcTyp=Any&amp;RpTyp=Either" TargetMode="External"/><Relationship Id="rId324" Type="http://schemas.openxmlformats.org/officeDocument/2006/relationships/hyperlink" Target="file:///\\192.168.11.15\Elmdale-Root\Accounting\pages\CommonAccount.aspx%3fsJump=1740-0000&amp;c.ChartCode=&amp;hAccount=&amp;hAccount2=&amp;DbCrd=Either&amp;AcTyp=Any&amp;RpTyp=Either" TargetMode="External"/><Relationship Id="rId531" Type="http://schemas.openxmlformats.org/officeDocument/2006/relationships/hyperlink" Target="file:///\\192.168.11.15\Elmdale-Root\Accounting\pages\CommonAccount.aspx%3fsJump=3003-5000&amp;c.ChartCode=&amp;hAccount=&amp;hAccount2=&amp;DbCrd=Either&amp;AcTyp=Any&amp;RpTyp=Either" TargetMode="External"/><Relationship Id="rId629" Type="http://schemas.openxmlformats.org/officeDocument/2006/relationships/hyperlink" Target="file:///\\192.168.11.15\Elmdale-Root\Accounting\pages\CommonAccount.aspx%3fsJump=3006-1073&amp;c.ChartCode=&amp;hAccount=&amp;hAccount2=&amp;DbCrd=Either&amp;AcTyp=Any&amp;RpTyp=Either" TargetMode="External"/><Relationship Id="rId1161" Type="http://schemas.openxmlformats.org/officeDocument/2006/relationships/hyperlink" Target="file:///\\192.168.11.15\Elmdale-Root\Accounting\pages\CommonAccount.aspx%3fsJump=6200-0002&amp;c.ChartCode=&amp;hAccount=&amp;hAccount2=&amp;DbCrd=Either&amp;AcTyp=Any&amp;RpTyp=Either" TargetMode="External"/><Relationship Id="rId1259" Type="http://schemas.openxmlformats.org/officeDocument/2006/relationships/hyperlink" Target="file:///\\192.168.11.15\Elmdale-Root\Accounting\pages\CommonAccount.aspx%3fsJump=8100-1000&amp;c.ChartCode=&amp;hAccount=&amp;hAccount2=&amp;DbCrd=Either&amp;AcTyp=Any&amp;RpTyp=Either" TargetMode="External"/><Relationship Id="rId836" Type="http://schemas.openxmlformats.org/officeDocument/2006/relationships/hyperlink" Target="file:///\\192.168.11.15\Elmdale-Root\Accounting\pages\CommonAccount.aspx%3fsJump=3303-2067&amp;c.ChartCode=&amp;hAccount=&amp;hAccount2=&amp;DbCrd=Either&amp;AcTyp=Any&amp;RpTyp=Either" TargetMode="External"/><Relationship Id="rId1021" Type="http://schemas.openxmlformats.org/officeDocument/2006/relationships/hyperlink" Target="file:///\\192.168.11.15\Elmdale-Root\Accounting\pages\CommonAccount.aspx%3fsJump=4500-1004&amp;c.ChartCode=&amp;hAccount=&amp;hAccount2=&amp;DbCrd=Either&amp;AcTyp=Any&amp;RpTyp=Either" TargetMode="External"/><Relationship Id="rId1119" Type="http://schemas.openxmlformats.org/officeDocument/2006/relationships/hyperlink" Target="file:///\\192.168.11.15\Elmdale-Root\Accounting\pages\CommonAccount.aspx%3fsJump=6050-0015&amp;c.ChartCode=&amp;hAccount=&amp;hAccount2=&amp;DbCrd=Either&amp;AcTyp=Any&amp;RpTyp=Either" TargetMode="External"/><Relationship Id="rId903" Type="http://schemas.openxmlformats.org/officeDocument/2006/relationships/hyperlink" Target="file:///\\192.168.11.15\Elmdale-Root\Accounting\pages\CommonAccount.aspx%3fsJump=3303-2134&amp;c.ChartCode=&amp;hAccount=&amp;hAccount2=&amp;DbCrd=Either&amp;AcTyp=Any&amp;RpTyp=Either" TargetMode="External"/><Relationship Id="rId1326" Type="http://schemas.openxmlformats.org/officeDocument/2006/relationships/hyperlink" Target="file:///\\192.168.11.15\Elmdale-Root\Accounting\pages\CommonAccount.aspx%3fsJump=9090-0000&amp;c.ChartCode=&amp;hAccount=&amp;hAccount2=&amp;DbCrd=Either&amp;AcTyp=Any&amp;RpTyp=Either" TargetMode="External"/><Relationship Id="rId32" Type="http://schemas.openxmlformats.org/officeDocument/2006/relationships/hyperlink" Target="file:///\\192.168.11.15\Elmdale-Root\Accounting\pages\CommonAccount.aspx%3fsJump=1110-1503&amp;c.ChartCode=&amp;hAccount=&amp;hAccount2=&amp;DbCrd=Either&amp;AcTyp=Any&amp;RpTyp=Either" TargetMode="External"/><Relationship Id="rId181" Type="http://schemas.openxmlformats.org/officeDocument/2006/relationships/hyperlink" Target="file:///\\192.168.11.15\Elmdale-Root\Accounting\pages\CommonAccount.aspx%3fsJump=1135-0000&amp;c.ChartCode=&amp;hAccount=&amp;hAccount2=&amp;DbCrd=Either&amp;AcTyp=Any&amp;RpTyp=Either" TargetMode="External"/><Relationship Id="rId279" Type="http://schemas.openxmlformats.org/officeDocument/2006/relationships/hyperlink" Target="file:///\\192.168.11.15\Elmdale-Root\Accounting\pages\CommonAccount.aspx%3fsJump=1600-0025&amp;c.ChartCode=&amp;hAccount=&amp;hAccount2=&amp;DbCrd=Either&amp;AcTyp=Any&amp;RpTyp=Either" TargetMode="External"/><Relationship Id="rId486" Type="http://schemas.openxmlformats.org/officeDocument/2006/relationships/hyperlink" Target="file:///\\192.168.11.15\Elmdale-Root\Accounting\pages\CommonAccount.aspx%3fsJump=3003-1101&amp;c.ChartCode=&amp;hAccount=&amp;hAccount2=&amp;DbCrd=Either&amp;AcTyp=Any&amp;RpTyp=Either" TargetMode="External"/><Relationship Id="rId693" Type="http://schemas.openxmlformats.org/officeDocument/2006/relationships/hyperlink" Target="file:///\\192.168.11.15\Elmdale-Root\Accounting\pages\CommonAccount.aspx%3fsJump=3091-1000&amp;c.ChartCode=&amp;hAccount=&amp;hAccount2=&amp;DbCrd=Either&amp;AcTyp=Any&amp;RpTyp=Either" TargetMode="External"/><Relationship Id="rId139" Type="http://schemas.openxmlformats.org/officeDocument/2006/relationships/hyperlink" Target="file:///\\192.168.11.15\Elmdale-Root\Accounting\pages\CommonAccount.aspx%3fsJump=1110-4954&amp;c.ChartCode=&amp;hAccount=&amp;hAccount2=&amp;DbCrd=Either&amp;AcTyp=Any&amp;RpTyp=Either" TargetMode="External"/><Relationship Id="rId346" Type="http://schemas.openxmlformats.org/officeDocument/2006/relationships/hyperlink" Target="file:///\\192.168.11.15\Elmdale-Root\Accounting\pages\CommonAccount.aspx%3fsJump=1900-1012&amp;c.ChartCode=&amp;hAccount=&amp;hAccount2=&amp;DbCrd=Either&amp;AcTyp=Any&amp;RpTyp=Either" TargetMode="External"/><Relationship Id="rId553" Type="http://schemas.openxmlformats.org/officeDocument/2006/relationships/hyperlink" Target="file:///\\192.168.11.15\Elmdale-Root\Accounting\pages\CommonAccount.aspx%3fsJump=3005-1001&amp;c.ChartCode=&amp;hAccount=&amp;hAccount2=&amp;DbCrd=Either&amp;AcTyp=Any&amp;RpTyp=Either" TargetMode="External"/><Relationship Id="rId760" Type="http://schemas.openxmlformats.org/officeDocument/2006/relationships/hyperlink" Target="file:///\\192.168.11.15\Elmdale-Root\Accounting\pages\CommonAccount.aspx%3fsJump=3303-1541&amp;c.ChartCode=&amp;hAccount=&amp;hAccount2=&amp;DbCrd=Either&amp;AcTyp=Any&amp;RpTyp=Either" TargetMode="External"/><Relationship Id="rId998" Type="http://schemas.openxmlformats.org/officeDocument/2006/relationships/hyperlink" Target="file:///\\192.168.11.15\Elmdale-Root\Accounting\pages\CommonAccount.aspx%3fsJump=3500-1000&amp;c.ChartCode=&amp;hAccount=&amp;hAccount2=&amp;DbCrd=Either&amp;AcTyp=Any&amp;RpTyp=Either" TargetMode="External"/><Relationship Id="rId1183" Type="http://schemas.openxmlformats.org/officeDocument/2006/relationships/hyperlink" Target="file:///\\192.168.11.15\Elmdale-Root\Accounting\pages\CommonAccount.aspx%3fsJump=6400-0030&amp;c.ChartCode=&amp;hAccount=&amp;hAccount2=&amp;DbCrd=Either&amp;AcTyp=Any&amp;RpTyp=Either" TargetMode="External"/><Relationship Id="rId206" Type="http://schemas.openxmlformats.org/officeDocument/2006/relationships/hyperlink" Target="file:///\\192.168.11.15\Elmdale-Root\Accounting\pages\CommonAccount.aspx%3fsJump=1350-9999&amp;c.ChartCode=&amp;hAccount=&amp;hAccount2=&amp;DbCrd=Either&amp;AcTyp=Any&amp;RpTyp=Either" TargetMode="External"/><Relationship Id="rId413" Type="http://schemas.openxmlformats.org/officeDocument/2006/relationships/hyperlink" Target="file:///\\192.168.11.15\Elmdale-Root\Accounting\pages\CommonAccount.aspx%3fsJump=2280-0000&amp;c.ChartCode=&amp;hAccount=&amp;hAccount2=&amp;DbCrd=Either&amp;AcTyp=Any&amp;RpTyp=Either" TargetMode="External"/><Relationship Id="rId858" Type="http://schemas.openxmlformats.org/officeDocument/2006/relationships/hyperlink" Target="file:///\\192.168.11.15\Elmdale-Root\Accounting\pages\CommonAccount.aspx%3fsJump=3303-2089&amp;c.ChartCode=&amp;hAccount=&amp;hAccount2=&amp;DbCrd=Either&amp;AcTyp=Any&amp;RpTyp=Either" TargetMode="External"/><Relationship Id="rId1043" Type="http://schemas.openxmlformats.org/officeDocument/2006/relationships/hyperlink" Target="file:///\\192.168.11.15\Elmdale-Root\Accounting\pages\CommonAccount.aspx%3fsJump=5000-0003&amp;c.ChartCode=&amp;hAccount=&amp;hAccount2=&amp;DbCrd=Either&amp;AcTyp=Any&amp;RpTyp=Either" TargetMode="External"/><Relationship Id="rId620" Type="http://schemas.openxmlformats.org/officeDocument/2006/relationships/hyperlink" Target="file:///\\192.168.11.15\Elmdale-Root\Accounting\pages\CommonAccount.aspx%3fsJump=3006-1064&amp;c.ChartCode=&amp;hAccount=&amp;hAccount2=&amp;DbCrd=Either&amp;AcTyp=Any&amp;RpTyp=Either" TargetMode="External"/><Relationship Id="rId718" Type="http://schemas.openxmlformats.org/officeDocument/2006/relationships/hyperlink" Target="file:///\\192.168.11.15\Elmdale-Root\Accounting\pages\CommonAccount.aspx%3fsJump=3303-1443&amp;c.ChartCode=&amp;hAccount=&amp;hAccount2=&amp;DbCrd=Either&amp;AcTyp=Any&amp;RpTyp=Either" TargetMode="External"/><Relationship Id="rId925" Type="http://schemas.openxmlformats.org/officeDocument/2006/relationships/hyperlink" Target="file:///\\192.168.11.15\Elmdale-Root\Accounting\pages\CommonAccount.aspx%3fsJump=3303-2156&amp;c.ChartCode=&amp;hAccount=&amp;hAccount2=&amp;DbCrd=Either&amp;AcTyp=Any&amp;RpTyp=Either" TargetMode="External"/><Relationship Id="rId1250" Type="http://schemas.openxmlformats.org/officeDocument/2006/relationships/hyperlink" Target="file:///\\192.168.11.15\Elmdale-Root\Accounting\pages\CommonAccount.aspx%3fsJump=7400-0010&amp;c.ChartCode=&amp;hAccount=&amp;hAccount2=&amp;DbCrd=Either&amp;AcTyp=Any&amp;RpTyp=Either" TargetMode="External"/><Relationship Id="rId1110" Type="http://schemas.openxmlformats.org/officeDocument/2006/relationships/hyperlink" Target="file:///\\192.168.11.15\Elmdale-Root\Accounting\pages\CommonAccount.aspx%3fsJump=5810-0000&amp;c.ChartCode=&amp;hAccount=&amp;hAccount2=&amp;DbCrd=Either&amp;AcTyp=Any&amp;RpTyp=Either" TargetMode="External"/><Relationship Id="rId1208" Type="http://schemas.openxmlformats.org/officeDocument/2006/relationships/hyperlink" Target="file:///\\192.168.11.15\Elmdale-Root\Accounting\pages\CommonAccount.aspx%3fsJump=7000-0001&amp;c.ChartCode=&amp;hAccount=&amp;hAccount2=&amp;DbCrd=Either&amp;AcTyp=Any&amp;RpTyp=Either" TargetMode="External"/><Relationship Id="rId54" Type="http://schemas.openxmlformats.org/officeDocument/2006/relationships/hyperlink" Target="file:///\\192.168.11.15\Elmdale-Root\Accounting\pages\CommonAccount.aspx%3fsJump=1110-1525&amp;c.ChartCode=&amp;hAccount=&amp;hAccount2=&amp;DbCrd=Either&amp;AcTyp=Any&amp;RpTyp=Either" TargetMode="External"/><Relationship Id="rId270" Type="http://schemas.openxmlformats.org/officeDocument/2006/relationships/hyperlink" Target="file:///\\192.168.11.15\Elmdale-Root\Accounting\pages\CommonAccount.aspx%3fsJump=1600-0010&amp;c.ChartCode=&amp;hAccount=&amp;hAccount2=&amp;DbCrd=Either&amp;AcTyp=Any&amp;RpTyp=Either" TargetMode="External"/><Relationship Id="rId130" Type="http://schemas.openxmlformats.org/officeDocument/2006/relationships/hyperlink" Target="file:///\\192.168.11.15\Elmdale-Root\Accounting\pages\CommonAccount.aspx%3fsJump=1110-4945&amp;c.ChartCode=&amp;hAccount=&amp;hAccount2=&amp;DbCrd=Either&amp;AcTyp=Any&amp;RpTyp=Either" TargetMode="External"/><Relationship Id="rId368" Type="http://schemas.openxmlformats.org/officeDocument/2006/relationships/hyperlink" Target="file:///\\192.168.11.15\Elmdale-Root\Accounting\pages\CommonAccount.aspx%3fsJump=2135-0010&amp;c.ChartCode=&amp;hAccount=&amp;hAccount2=&amp;DbCrd=Either&amp;AcTyp=Any&amp;RpTyp=Either" TargetMode="External"/><Relationship Id="rId575" Type="http://schemas.openxmlformats.org/officeDocument/2006/relationships/hyperlink" Target="file:///\\192.168.11.15\Elmdale-Root\Accounting\pages\CommonAccount.aspx%3fsJump=3006-1019&amp;c.ChartCode=&amp;hAccount=&amp;hAccount2=&amp;DbCrd=Either&amp;AcTyp=Any&amp;RpTyp=Either" TargetMode="External"/><Relationship Id="rId782" Type="http://schemas.openxmlformats.org/officeDocument/2006/relationships/hyperlink" Target="file:///\\192.168.11.15\Elmdale-Root\Accounting\pages\CommonAccount.aspx%3fsJump=3303-2012&amp;c.ChartCode=&amp;hAccount=&amp;hAccount2=&amp;DbCrd=Either&amp;AcTyp=Any&amp;RpTyp=Either" TargetMode="External"/><Relationship Id="rId228" Type="http://schemas.openxmlformats.org/officeDocument/2006/relationships/hyperlink" Target="file:///\\192.168.11.15\Elmdale-Root\Accounting\pages\CommonAccount.aspx%3fsJump=1420-0000&amp;c.ChartCode=&amp;hAccount=&amp;hAccount2=&amp;DbCrd=Either&amp;AcTyp=Any&amp;RpTyp=Either" TargetMode="External"/><Relationship Id="rId435" Type="http://schemas.openxmlformats.org/officeDocument/2006/relationships/hyperlink" Target="file:///\\192.168.11.15\Elmdale-Root\Accounting\pages\CommonAccount.aspx%3fsJump=2305-6250&amp;c.ChartCode=&amp;hAccount=&amp;hAccount2=&amp;DbCrd=Either&amp;AcTyp=Any&amp;RpTyp=Either" TargetMode="External"/><Relationship Id="rId642" Type="http://schemas.openxmlformats.org/officeDocument/2006/relationships/hyperlink" Target="file:///\\192.168.11.15\Elmdale-Root\Accounting\pages\CommonAccount.aspx%3fsJump=3013-1002&amp;c.ChartCode=&amp;hAccount=&amp;hAccount2=&amp;DbCrd=Either&amp;AcTyp=Any&amp;RpTyp=Either" TargetMode="External"/><Relationship Id="rId1065" Type="http://schemas.openxmlformats.org/officeDocument/2006/relationships/hyperlink" Target="file:///\\192.168.11.15\Elmdale-Root\Accounting\pages\CommonAccount.aspx%3fsJump=5310-0000&amp;c.ChartCode=&amp;hAccount=&amp;hAccount2=&amp;DbCrd=Either&amp;AcTyp=Any&amp;RpTyp=Either" TargetMode="External"/><Relationship Id="rId1272" Type="http://schemas.openxmlformats.org/officeDocument/2006/relationships/hyperlink" Target="file:///\\192.168.11.15\Elmdale-Root\Accounting\pages\CommonAccount.aspx%3fsJump=8180-0003&amp;c.ChartCode=&amp;hAccount=&amp;hAccount2=&amp;DbCrd=Either&amp;AcTyp=Any&amp;RpTyp=Either" TargetMode="External"/><Relationship Id="rId502" Type="http://schemas.openxmlformats.org/officeDocument/2006/relationships/hyperlink" Target="file:///\\192.168.11.15\Elmdale-Root\Accounting\pages\CommonAccount.aspx%3fsJump=3003-1501&amp;c.ChartCode=&amp;hAccount=&amp;hAccount2=&amp;DbCrd=Either&amp;AcTyp=Any&amp;RpTyp=Either" TargetMode="External"/><Relationship Id="rId947" Type="http://schemas.openxmlformats.org/officeDocument/2006/relationships/hyperlink" Target="file:///\\192.168.11.15\Elmdale-Root\Accounting\pages\CommonAccount.aspx%3fsJump=3303-2178&amp;c.ChartCode=&amp;hAccount=&amp;hAccount2=&amp;DbCrd=Either&amp;AcTyp=Any&amp;RpTyp=Either" TargetMode="External"/><Relationship Id="rId1132" Type="http://schemas.openxmlformats.org/officeDocument/2006/relationships/hyperlink" Target="file:///\\192.168.11.15\Elmdale-Root\Accounting\pages\CommonAccount.aspx%3fsJump=6110-0015&amp;c.ChartCode=&amp;hAccount=&amp;hAccount2=&amp;DbCrd=Either&amp;AcTyp=Any&amp;RpTyp=Either" TargetMode="External"/><Relationship Id="rId76" Type="http://schemas.openxmlformats.org/officeDocument/2006/relationships/hyperlink" Target="file:///\\192.168.11.15\Elmdale-Root\Accounting\pages\CommonAccount.aspx%3fsJump=1110-3112&amp;c.ChartCode=&amp;hAccount=&amp;hAccount2=&amp;DbCrd=Either&amp;AcTyp=Any&amp;RpTyp=Either" TargetMode="External"/><Relationship Id="rId807" Type="http://schemas.openxmlformats.org/officeDocument/2006/relationships/hyperlink" Target="file:///\\192.168.11.15\Elmdale-Root\Accounting\pages\CommonAccount.aspx%3fsJump=3303-2038&amp;c.ChartCode=&amp;hAccount=&amp;hAccount2=&amp;DbCrd=Either&amp;AcTyp=Any&amp;RpTyp=Either" TargetMode="External"/><Relationship Id="rId292" Type="http://schemas.openxmlformats.org/officeDocument/2006/relationships/hyperlink" Target="file:///\\192.168.11.15\Elmdale-Root\Accounting\pages\CommonAccount.aspx%3fsJump=1600-0044&amp;c.ChartCode=&amp;hAccount=&amp;hAccount2=&amp;DbCrd=Either&amp;AcTyp=Any&amp;RpTyp=Either" TargetMode="External"/><Relationship Id="rId597" Type="http://schemas.openxmlformats.org/officeDocument/2006/relationships/hyperlink" Target="file:///\\192.168.11.15\Elmdale-Root\Accounting\pages\CommonAccount.aspx%3fsJump=3006-1041&amp;c.ChartCode=&amp;hAccount=&amp;hAccount2=&amp;DbCrd=Either&amp;AcTyp=Any&amp;RpTyp=Either" TargetMode="External"/><Relationship Id="rId152" Type="http://schemas.openxmlformats.org/officeDocument/2006/relationships/hyperlink" Target="file:///\\192.168.11.15\Elmdale-Root\Accounting\pages\CommonAccount.aspx%3fsJump=1110-4968&amp;c.ChartCode=&amp;hAccount=&amp;hAccount2=&amp;DbCrd=Either&amp;AcTyp=Any&amp;RpTyp=Either" TargetMode="External"/><Relationship Id="rId457" Type="http://schemas.openxmlformats.org/officeDocument/2006/relationships/hyperlink" Target="file:///\\192.168.11.15\Elmdale-Root\Accounting\pages\CommonAccount.aspx%3fsJump=2609-0001&amp;c.ChartCode=&amp;hAccount=&amp;hAccount2=&amp;DbCrd=Either&amp;AcTyp=Any&amp;RpTyp=Either" TargetMode="External"/><Relationship Id="rId1087" Type="http://schemas.openxmlformats.org/officeDocument/2006/relationships/hyperlink" Target="file:///\\192.168.11.15\Elmdale-Root\Accounting\pages\CommonAccount.aspx%3fsJump=5490-0000&amp;c.ChartCode=&amp;hAccount=&amp;hAccount2=&amp;DbCrd=Either&amp;AcTyp=Any&amp;RpTyp=Either" TargetMode="External"/><Relationship Id="rId1294" Type="http://schemas.openxmlformats.org/officeDocument/2006/relationships/hyperlink" Target="file:///\\192.168.11.15\Elmdale-Root\Accounting\pages\CommonAccount.aspx%3fsJump=8181-0105&amp;c.ChartCode=&amp;hAccount=&amp;hAccount2=&amp;DbCrd=Either&amp;AcTyp=Any&amp;RpTyp=Either" TargetMode="External"/><Relationship Id="rId664" Type="http://schemas.openxmlformats.org/officeDocument/2006/relationships/hyperlink" Target="file:///\\192.168.11.15\Elmdale-Root\Accounting\pages\CommonAccount.aspx%3fsJump=3041-0000&amp;c.ChartCode=&amp;hAccount=&amp;hAccount2=&amp;DbCrd=Either&amp;AcTyp=Any&amp;RpTyp=Either" TargetMode="External"/><Relationship Id="rId871" Type="http://schemas.openxmlformats.org/officeDocument/2006/relationships/hyperlink" Target="file:///\\192.168.11.15\Elmdale-Root\Accounting\pages\CommonAccount.aspx%3fsJump=3303-2102&amp;c.ChartCode=&amp;hAccount=&amp;hAccount2=&amp;DbCrd=Either&amp;AcTyp=Any&amp;RpTyp=Either" TargetMode="External"/><Relationship Id="rId969" Type="http://schemas.openxmlformats.org/officeDocument/2006/relationships/hyperlink" Target="file:///\\192.168.11.15\Elmdale-Root\Accounting\pages\CommonAccount.aspx%3fsJump=3303-2200&amp;c.ChartCode=&amp;hAccount=&amp;hAccount2=&amp;DbCrd=Either&amp;AcTyp=Any&amp;RpTyp=Either" TargetMode="External"/><Relationship Id="rId317" Type="http://schemas.openxmlformats.org/officeDocument/2006/relationships/hyperlink" Target="file:///\\192.168.11.15\Elmdale-Root\Accounting\pages\CommonAccount.aspx%3fsJump=1700-0000&amp;c.ChartCode=&amp;hAccount=&amp;hAccount2=&amp;DbCrd=Either&amp;AcTyp=Any&amp;RpTyp=Either" TargetMode="External"/><Relationship Id="rId524" Type="http://schemas.openxmlformats.org/officeDocument/2006/relationships/hyperlink" Target="file:///\\192.168.11.15\Elmdale-Root\Accounting\pages\CommonAccount.aspx%3fsJump=3003-3001&amp;c.ChartCode=&amp;hAccount=&amp;hAccount2=&amp;DbCrd=Either&amp;AcTyp=Any&amp;RpTyp=Either" TargetMode="External"/><Relationship Id="rId731" Type="http://schemas.openxmlformats.org/officeDocument/2006/relationships/hyperlink" Target="file:///\\192.168.11.15\Elmdale-Root\Accounting\pages\CommonAccount.aspx%3fsJump=3303-1480&amp;c.ChartCode=&amp;hAccount=&amp;hAccount2=&amp;DbCrd=Either&amp;AcTyp=Any&amp;RpTyp=Either" TargetMode="External"/><Relationship Id="rId1154" Type="http://schemas.openxmlformats.org/officeDocument/2006/relationships/hyperlink" Target="file:///\\192.168.11.15\Elmdale-Root\Accounting\pages\CommonAccount.aspx%3fsJump=6110-1110&amp;c.ChartCode=&amp;hAccount=&amp;hAccount2=&amp;DbCrd=Either&amp;AcTyp=Any&amp;RpTyp=Either" TargetMode="External"/><Relationship Id="rId98" Type="http://schemas.openxmlformats.org/officeDocument/2006/relationships/hyperlink" Target="file:///\\192.168.11.15\Elmdale-Root\Accounting\pages\CommonAccount.aspx%3fsJump=1110-4904&amp;c.ChartCode=&amp;hAccount=&amp;hAccount2=&amp;DbCrd=Either&amp;AcTyp=Any&amp;RpTyp=Either" TargetMode="External"/><Relationship Id="rId829" Type="http://schemas.openxmlformats.org/officeDocument/2006/relationships/hyperlink" Target="file:///\\192.168.11.15\Elmdale-Root\Accounting\pages\CommonAccount.aspx%3fsJump=3303-2060&amp;c.ChartCode=&amp;hAccount=&amp;hAccount2=&amp;DbCrd=Either&amp;AcTyp=Any&amp;RpTyp=Either" TargetMode="External"/><Relationship Id="rId1014" Type="http://schemas.openxmlformats.org/officeDocument/2006/relationships/hyperlink" Target="file:///\\192.168.11.15\Elmdale-Root\Accounting\pages\CommonAccount.aspx%3fsJump=4450-0001&amp;c.ChartCode=&amp;hAccount=&amp;hAccount2=&amp;DbCrd=Either&amp;AcTyp=Any&amp;RpTyp=Either" TargetMode="External"/><Relationship Id="rId1221" Type="http://schemas.openxmlformats.org/officeDocument/2006/relationships/hyperlink" Target="file:///\\192.168.11.15\Elmdale-Root\Accounting\pages\CommonAccount.aspx%3fsJump=7000-0046&amp;c.ChartCode=&amp;hAccount=&amp;hAccount2=&amp;DbCrd=Either&amp;AcTyp=Any&amp;RpTyp=Either" TargetMode="External"/><Relationship Id="rId1319" Type="http://schemas.openxmlformats.org/officeDocument/2006/relationships/hyperlink" Target="file:///\\192.168.11.15\Elmdale-Root\Accounting\pages\CommonAccount.aspx%3fsJump=9000-0000&amp;c.ChartCode=&amp;hAccount=&amp;hAccount2=&amp;DbCrd=Either&amp;AcTyp=Any&amp;RpTyp=Either" TargetMode="External"/><Relationship Id="rId25" Type="http://schemas.openxmlformats.org/officeDocument/2006/relationships/hyperlink" Target="file:///\\192.168.11.15\Elmdale-Root\Accounting\pages\CommonAccount.aspx%3fsJump=1110-1004&amp;c.ChartCode=&amp;hAccount=&amp;hAccount2=&amp;DbCrd=Either&amp;AcTyp=Any&amp;RpTyp=Either" TargetMode="External"/><Relationship Id="rId174" Type="http://schemas.openxmlformats.org/officeDocument/2006/relationships/hyperlink" Target="file:///\\192.168.11.15\Elmdale-Root\Accounting\pages\CommonAccount.aspx%3fsJump=1120-0000&amp;c.ChartCode=&amp;hAccount=&amp;hAccount2=&amp;DbCrd=Either&amp;AcTyp=Any&amp;RpTyp=Either" TargetMode="External"/><Relationship Id="rId381" Type="http://schemas.openxmlformats.org/officeDocument/2006/relationships/hyperlink" Target="file:///\\192.168.11.15\Elmdale-Root\Accounting\pages\CommonAccount.aspx%3fsJump=2150-0010&amp;c.ChartCode=&amp;hAccount=&amp;hAccount2=&amp;DbCrd=Either&amp;AcTyp=Any&amp;RpTyp=Either" TargetMode="External"/><Relationship Id="rId241" Type="http://schemas.openxmlformats.org/officeDocument/2006/relationships/hyperlink" Target="file:///\\192.168.11.15\Elmdale-Root\Accounting\pages\CommonAccount.aspx%3fsJump=1500-0035&amp;c.ChartCode=&amp;hAccount=&amp;hAccount2=&amp;DbCrd=Either&amp;AcTyp=Any&amp;RpTyp=Either" TargetMode="External"/><Relationship Id="rId479" Type="http://schemas.openxmlformats.org/officeDocument/2006/relationships/hyperlink" Target="file:///\\192.168.11.15\Elmdale-Root\Accounting\pages\CommonAccount.aspx%3fsJump=3003-0116&amp;c.ChartCode=&amp;hAccount=&amp;hAccount2=&amp;DbCrd=Either&amp;AcTyp=Any&amp;RpTyp=Either" TargetMode="External"/><Relationship Id="rId686" Type="http://schemas.openxmlformats.org/officeDocument/2006/relationships/hyperlink" Target="file:///\\192.168.11.15\Elmdale-Root\Accounting\pages\CommonAccount.aspx%3fsJump=3076-0000&amp;c.ChartCode=&amp;hAccount=&amp;hAccount2=&amp;DbCrd=Either&amp;AcTyp=Any&amp;RpTyp=Either" TargetMode="External"/><Relationship Id="rId893" Type="http://schemas.openxmlformats.org/officeDocument/2006/relationships/hyperlink" Target="file:///\\192.168.11.15\Elmdale-Root\Accounting\pages\CommonAccount.aspx%3fsJump=3303-2124&amp;c.ChartCode=&amp;hAccount=&amp;hAccount2=&amp;DbCrd=Either&amp;AcTyp=Any&amp;RpTyp=Either" TargetMode="External"/><Relationship Id="rId339" Type="http://schemas.openxmlformats.org/officeDocument/2006/relationships/hyperlink" Target="file:///\\192.168.11.15\Elmdale-Root\Accounting\pages\CommonAccount.aspx%3fsJump=1900-1005&amp;c.ChartCode=&amp;hAccount=&amp;hAccount2=&amp;DbCrd=Either&amp;AcTyp=Any&amp;RpTyp=Either" TargetMode="External"/><Relationship Id="rId546" Type="http://schemas.openxmlformats.org/officeDocument/2006/relationships/hyperlink" Target="file:///\\192.168.11.15\Elmdale-Root\Accounting\pages\CommonAccount.aspx%3fsJump=3003-8003&amp;c.ChartCode=&amp;hAccount=&amp;hAccount2=&amp;DbCrd=Either&amp;AcTyp=Any&amp;RpTyp=Either" TargetMode="External"/><Relationship Id="rId753" Type="http://schemas.openxmlformats.org/officeDocument/2006/relationships/hyperlink" Target="file:///\\192.168.11.15\Elmdale-Root\Accounting\pages\CommonAccount.aspx%3fsJump=3303-1522&amp;c.ChartCode=&amp;hAccount=&amp;hAccount2=&amp;DbCrd=Either&amp;AcTyp=Any&amp;RpTyp=Either" TargetMode="External"/><Relationship Id="rId1176" Type="http://schemas.openxmlformats.org/officeDocument/2006/relationships/hyperlink" Target="file:///\\192.168.11.15\Elmdale-Root\Accounting\pages\CommonAccount.aspx%3fsJump=6310-0010&amp;c.ChartCode=&amp;hAccount=&amp;hAccount2=&amp;DbCrd=Either&amp;AcTyp=Any&amp;RpTyp=Either" TargetMode="External"/><Relationship Id="rId101" Type="http://schemas.openxmlformats.org/officeDocument/2006/relationships/hyperlink" Target="file:///\\192.168.11.15\Elmdale-Root\Accounting\pages\CommonAccount.aspx%3fsJump=1110-4907&amp;c.ChartCode=&amp;hAccount=&amp;hAccount2=&amp;DbCrd=Either&amp;AcTyp=Any&amp;RpTyp=Either" TargetMode="External"/><Relationship Id="rId406" Type="http://schemas.openxmlformats.org/officeDocument/2006/relationships/hyperlink" Target="file:///\\192.168.11.15\Elmdale-Root\Accounting\pages\CommonAccount.aspx%3fsJump=2250-0010&amp;c.ChartCode=&amp;hAccount=&amp;hAccount2=&amp;DbCrd=Either&amp;AcTyp=Any&amp;RpTyp=Either" TargetMode="External"/><Relationship Id="rId960" Type="http://schemas.openxmlformats.org/officeDocument/2006/relationships/hyperlink" Target="file:///\\192.168.11.15\Elmdale-Root\Accounting\pages\CommonAccount.aspx%3fsJump=3303-2191&amp;c.ChartCode=&amp;hAccount=&amp;hAccount2=&amp;DbCrd=Either&amp;AcTyp=Any&amp;RpTyp=Either" TargetMode="External"/><Relationship Id="rId1036" Type="http://schemas.openxmlformats.org/officeDocument/2006/relationships/hyperlink" Target="file:///\\192.168.11.15\Elmdale-Root\Accounting\pages\CommonAccount.aspx%3fsJump=4730-0000&amp;c.ChartCode=&amp;hAccount=&amp;hAccount2=&amp;DbCrd=Either&amp;AcTyp=Any&amp;RpTyp=Either" TargetMode="External"/><Relationship Id="rId1243" Type="http://schemas.openxmlformats.org/officeDocument/2006/relationships/hyperlink" Target="file:///\\192.168.11.15\Elmdale-Root\Accounting\pages\CommonAccount.aspx%3fsJump=7320-0000&amp;c.ChartCode=&amp;hAccount=&amp;hAccount2=&amp;DbCrd=Either&amp;AcTyp=Any&amp;RpTyp=Either" TargetMode="External"/><Relationship Id="rId613" Type="http://schemas.openxmlformats.org/officeDocument/2006/relationships/hyperlink" Target="file:///\\192.168.11.15\Elmdale-Root\Accounting\pages\CommonAccount.aspx%3fsJump=3006-1057&amp;c.ChartCode=&amp;hAccount=&amp;hAccount2=&amp;DbCrd=Either&amp;AcTyp=Any&amp;RpTyp=Either" TargetMode="External"/><Relationship Id="rId820" Type="http://schemas.openxmlformats.org/officeDocument/2006/relationships/hyperlink" Target="file:///\\192.168.11.15\Elmdale-Root\Accounting\pages\CommonAccount.aspx%3fsJump=3303-2051&amp;c.ChartCode=&amp;hAccount=&amp;hAccount2=&amp;DbCrd=Either&amp;AcTyp=Any&amp;RpTyp=Either" TargetMode="External"/><Relationship Id="rId918" Type="http://schemas.openxmlformats.org/officeDocument/2006/relationships/hyperlink" Target="file:///\\192.168.11.15\Elmdale-Root\Accounting\pages\CommonAccount.aspx%3fsJump=3303-2149&amp;c.ChartCode=&amp;hAccount=&amp;hAccount2=&amp;DbCrd=Either&amp;AcTyp=Any&amp;RpTyp=Either" TargetMode="External"/><Relationship Id="rId1103" Type="http://schemas.openxmlformats.org/officeDocument/2006/relationships/hyperlink" Target="file:///\\192.168.11.15\Elmdale-Root\Accounting\pages\CommonAccount.aspx%3fsJump=5735-0000&amp;c.ChartCode=&amp;hAccount=&amp;hAccount2=&amp;DbCrd=Either&amp;AcTyp=Any&amp;RpTyp=Either" TargetMode="External"/><Relationship Id="rId1310" Type="http://schemas.openxmlformats.org/officeDocument/2006/relationships/hyperlink" Target="file:///\\192.168.11.15\Elmdale-Root\Accounting\pages\CommonAccount.aspx%3fsJump=8590-0000&amp;c.ChartCode=&amp;hAccount=&amp;hAccount2=&amp;DbCrd=Either&amp;AcTyp=Any&amp;RpTyp=Either" TargetMode="External"/><Relationship Id="rId47" Type="http://schemas.openxmlformats.org/officeDocument/2006/relationships/hyperlink" Target="file:///\\192.168.11.15\Elmdale-Root\Accounting\pages\CommonAccount.aspx%3fsJump=1110-1518&amp;c.ChartCode=&amp;hAccount=&amp;hAccount2=&amp;DbCrd=Either&amp;AcTyp=Any&amp;RpTyp=Either" TargetMode="External"/><Relationship Id="rId196" Type="http://schemas.openxmlformats.org/officeDocument/2006/relationships/hyperlink" Target="file:///\\192.168.11.15\Elmdale-Root\Accounting\pages\CommonAccount.aspx%3fsJump=1200-0006&amp;c.ChartCode=&amp;hAccount=&amp;hAccount2=&amp;DbCrd=Either&amp;AcTyp=Any&amp;RpTyp=Either" TargetMode="External"/><Relationship Id="rId263" Type="http://schemas.openxmlformats.org/officeDocument/2006/relationships/hyperlink" Target="file:///\\192.168.11.15\Elmdale-Root\Accounting\pages\CommonAccount.aspx%3fsJump=1600-0003&amp;c.ChartCode=&amp;hAccount=&amp;hAccount2=&amp;DbCrd=Either&amp;AcTyp=Any&amp;RpTyp=Either" TargetMode="External"/><Relationship Id="rId470" Type="http://schemas.openxmlformats.org/officeDocument/2006/relationships/hyperlink" Target="file:///\\192.168.11.15\Elmdale-Root\Accounting\pages\CommonAccount.aspx%3fsJump=3001-0000&amp;c.ChartCode=&amp;hAccount=&amp;hAccount2=&amp;DbCrd=Either&amp;AcTyp=Any&amp;RpTyp=Either" TargetMode="External"/><Relationship Id="rId123" Type="http://schemas.openxmlformats.org/officeDocument/2006/relationships/hyperlink" Target="file:///\\192.168.11.15\Elmdale-Root\Accounting\pages\CommonAccount.aspx%3fsJump=1110-4938&amp;c.ChartCode=&amp;hAccount=&amp;hAccount2=&amp;DbCrd=Either&amp;AcTyp=Any&amp;RpTyp=Either" TargetMode="External"/><Relationship Id="rId330" Type="http://schemas.openxmlformats.org/officeDocument/2006/relationships/hyperlink" Target="file:///\\192.168.11.15\Elmdale-Root\Accounting\pages\CommonAccount.aspx%3fsJump=1800-1000&amp;c.ChartCode=&amp;hAccount=&amp;hAccount2=&amp;DbCrd=Either&amp;AcTyp=Any&amp;RpTyp=Either" TargetMode="External"/><Relationship Id="rId568" Type="http://schemas.openxmlformats.org/officeDocument/2006/relationships/hyperlink" Target="file:///\\192.168.11.15\Elmdale-Root\Accounting\pages\CommonAccount.aspx%3fsJump=3006-1012&amp;c.ChartCode=&amp;hAccount=&amp;hAccount2=&amp;DbCrd=Either&amp;AcTyp=Any&amp;RpTyp=Either" TargetMode="External"/><Relationship Id="rId775" Type="http://schemas.openxmlformats.org/officeDocument/2006/relationships/hyperlink" Target="file:///\\192.168.11.15\Elmdale-Root\Accounting\pages\CommonAccount.aspx%3fsJump=3303-2005&amp;c.ChartCode=&amp;hAccount=&amp;hAccount2=&amp;DbCrd=Either&amp;AcTyp=Any&amp;RpTyp=Either" TargetMode="External"/><Relationship Id="rId982" Type="http://schemas.openxmlformats.org/officeDocument/2006/relationships/hyperlink" Target="file:///\\192.168.11.15\Elmdale-Root\Accounting\pages\CommonAccount.aspx%3fsJump=3303-2213&amp;c.ChartCode=&amp;hAccount=&amp;hAccount2=&amp;DbCrd=Either&amp;AcTyp=Any&amp;RpTyp=Either" TargetMode="External"/><Relationship Id="rId1198" Type="http://schemas.openxmlformats.org/officeDocument/2006/relationships/hyperlink" Target="file:///\\192.168.11.15\Elmdale-Root\Accounting\pages\CommonAccount.aspx%3fsJump=6461-0000&amp;c.ChartCode=&amp;hAccount=&amp;hAccount2=&amp;DbCrd=Either&amp;AcTyp=Any&amp;RpTyp=Either" TargetMode="External"/><Relationship Id="rId428" Type="http://schemas.openxmlformats.org/officeDocument/2006/relationships/hyperlink" Target="file:///\\192.168.11.15\Elmdale-Root\Accounting\pages\CommonAccount.aspx%3fsJump=2305-4335&amp;c.ChartCode=&amp;hAccount=&amp;hAccount2=&amp;DbCrd=Either&amp;AcTyp=Any&amp;RpTyp=Either" TargetMode="External"/><Relationship Id="rId635" Type="http://schemas.openxmlformats.org/officeDocument/2006/relationships/hyperlink" Target="file:///\\192.168.11.15\Elmdale-Root\Accounting\pages\CommonAccount.aspx%3fsJump=3006-1079&amp;c.ChartCode=&amp;hAccount=&amp;hAccount2=&amp;DbCrd=Either&amp;AcTyp=Any&amp;RpTyp=Either" TargetMode="External"/><Relationship Id="rId842" Type="http://schemas.openxmlformats.org/officeDocument/2006/relationships/hyperlink" Target="file:///\\192.168.11.15\Elmdale-Root\Accounting\pages\CommonAccount.aspx%3fsJump=3303-2073&amp;c.ChartCode=&amp;hAccount=&amp;hAccount2=&amp;DbCrd=Either&amp;AcTyp=Any&amp;RpTyp=Either" TargetMode="External"/><Relationship Id="rId1058" Type="http://schemas.openxmlformats.org/officeDocument/2006/relationships/hyperlink" Target="file:///\\192.168.11.15\Elmdale-Root\Accounting\pages\CommonAccount.aspx%3fsJump=5240-0000&amp;c.ChartCode=&amp;hAccount=&amp;hAccount2=&amp;DbCrd=Either&amp;AcTyp=Any&amp;RpTyp=Either" TargetMode="External"/><Relationship Id="rId1265" Type="http://schemas.openxmlformats.org/officeDocument/2006/relationships/hyperlink" Target="file:///\\192.168.11.15\Elmdale-Root\Accounting\pages\CommonAccount.aspx%3fsJump=8160-0000&amp;c.ChartCode=&amp;hAccount=&amp;hAccount2=&amp;DbCrd=Either&amp;AcTyp=Any&amp;RpTyp=Either" TargetMode="External"/><Relationship Id="rId702" Type="http://schemas.openxmlformats.org/officeDocument/2006/relationships/hyperlink" Target="file:///\\192.168.11.15\Elmdale-Root\Accounting\pages\CommonAccount.aspx%3fsJump=3300-0000&amp;c.ChartCode=&amp;hAccount=&amp;hAccount2=&amp;DbCrd=Either&amp;AcTyp=Any&amp;RpTyp=Either" TargetMode="External"/><Relationship Id="rId1125" Type="http://schemas.openxmlformats.org/officeDocument/2006/relationships/hyperlink" Target="file:///\\192.168.11.15\Elmdale-Root\Accounting\pages\CommonAccount.aspx%3fsJump=6050-0030&amp;c.ChartCode=&amp;hAccount=&amp;hAccount2=&amp;DbCrd=Either&amp;AcTyp=Any&amp;RpTyp=Either" TargetMode="External"/><Relationship Id="rId69" Type="http://schemas.openxmlformats.org/officeDocument/2006/relationships/hyperlink" Target="file:///\\192.168.11.15\Elmdale-Root\Accounting\pages\CommonAccount.aspx%3fsJump=1110-2200&amp;c.ChartCode=&amp;hAccount=&amp;hAccount2=&amp;DbCrd=Either&amp;AcTyp=Any&amp;RpTyp=Either" TargetMode="External"/><Relationship Id="rId285" Type="http://schemas.openxmlformats.org/officeDocument/2006/relationships/hyperlink" Target="file:///\\192.168.11.15\Elmdale-Root\Accounting\pages\CommonAccount.aspx%3fsJump=1600-0036&amp;c.ChartCode=&amp;hAccount=&amp;hAccount2=&amp;DbCrd=Either&amp;AcTyp=Any&amp;RpTyp=Either" TargetMode="External"/><Relationship Id="rId492" Type="http://schemas.openxmlformats.org/officeDocument/2006/relationships/hyperlink" Target="file:///\\192.168.11.15\Elmdale-Root\Accounting\pages\CommonAccount.aspx%3fsJump=3003-1203&amp;c.ChartCode=&amp;hAccount=&amp;hAccount2=&amp;DbCrd=Either&amp;AcTyp=Any&amp;RpTyp=Either" TargetMode="External"/><Relationship Id="rId797" Type="http://schemas.openxmlformats.org/officeDocument/2006/relationships/hyperlink" Target="file:///\\192.168.11.15\Elmdale-Root\Accounting\pages\CommonAccount.aspx%3fsJump=3303-2028&amp;c.ChartCode=&amp;hAccount=&amp;hAccount2=&amp;DbCrd=Either&amp;AcTyp=Any&amp;RpTyp=Either" TargetMode="External"/><Relationship Id="rId145" Type="http://schemas.openxmlformats.org/officeDocument/2006/relationships/hyperlink" Target="file:///\\192.168.11.15\Elmdale-Root\Accounting\pages\CommonAccount.aspx%3fsJump=1110-4961&amp;c.ChartCode=&amp;hAccount=&amp;hAccount2=&amp;DbCrd=Either&amp;AcTyp=Any&amp;RpTyp=Either" TargetMode="External"/><Relationship Id="rId352" Type="http://schemas.openxmlformats.org/officeDocument/2006/relationships/hyperlink" Target="file:///\\192.168.11.15\Elmdale-Root\Accounting\pages\CommonAccount.aspx%3fsJump=1930-0000&amp;c.ChartCode=&amp;hAccount=&amp;hAccount2=&amp;DbCrd=Either&amp;AcTyp=Any&amp;RpTyp=Either" TargetMode="External"/><Relationship Id="rId1287" Type="http://schemas.openxmlformats.org/officeDocument/2006/relationships/hyperlink" Target="file:///\\192.168.11.15\Elmdale-Root\Accounting\pages\CommonAccount.aspx%3fsJump=8180-1001&amp;c.ChartCode=&amp;hAccount=&amp;hAccount2=&amp;DbCrd=Either&amp;AcTyp=Any&amp;RpTyp=Either" TargetMode="External"/><Relationship Id="rId212" Type="http://schemas.openxmlformats.org/officeDocument/2006/relationships/hyperlink" Target="file:///\\192.168.11.15\Elmdale-Root\Accounting\pages\CommonAccount.aspx%3fsJump=1401-0004&amp;c.ChartCode=&amp;hAccount=&amp;hAccount2=&amp;DbCrd=Either&amp;AcTyp=Any&amp;RpTyp=Either" TargetMode="External"/><Relationship Id="rId657" Type="http://schemas.openxmlformats.org/officeDocument/2006/relationships/hyperlink" Target="file:///\\192.168.11.15\Elmdale-Root\Accounting\pages\CommonAccount.aspx%3fsJump=3032-1000&amp;c.ChartCode=&amp;hAccount=&amp;hAccount2=&amp;DbCrd=Either&amp;AcTyp=Any&amp;RpTyp=Either" TargetMode="External"/><Relationship Id="rId864" Type="http://schemas.openxmlformats.org/officeDocument/2006/relationships/hyperlink" Target="file:///\\192.168.11.15\Elmdale-Root\Accounting\pages\CommonAccount.aspx%3fsJump=3303-2095&amp;c.ChartCode=&amp;hAccount=&amp;hAccount2=&amp;DbCrd=Either&amp;AcTyp=Any&amp;RpTyp=Either" TargetMode="External"/><Relationship Id="rId517" Type="http://schemas.openxmlformats.org/officeDocument/2006/relationships/hyperlink" Target="file:///\\192.168.11.15\Elmdale-Root\Accounting\pages\CommonAccount.aspx%3fsJump=3003-2000&amp;c.ChartCode=&amp;hAccount=&amp;hAccount2=&amp;DbCrd=Either&amp;AcTyp=Any&amp;RpTyp=Either" TargetMode="External"/><Relationship Id="rId724" Type="http://schemas.openxmlformats.org/officeDocument/2006/relationships/hyperlink" Target="file:///\\192.168.11.15\Elmdale-Root\Accounting\pages\CommonAccount.aspx%3fsJump=3303-1461&amp;c.ChartCode=&amp;hAccount=&amp;hAccount2=&amp;DbCrd=Either&amp;AcTyp=Any&amp;RpTyp=Either" TargetMode="External"/><Relationship Id="rId931" Type="http://schemas.openxmlformats.org/officeDocument/2006/relationships/hyperlink" Target="file:///\\192.168.11.15\Elmdale-Root\Accounting\pages\CommonAccount.aspx%3fsJump=3303-2162&amp;c.ChartCode=&amp;hAccount=&amp;hAccount2=&amp;DbCrd=Either&amp;AcTyp=Any&amp;RpTyp=Either" TargetMode="External"/><Relationship Id="rId1147" Type="http://schemas.openxmlformats.org/officeDocument/2006/relationships/hyperlink" Target="file:///\\192.168.11.15\Elmdale-Root\Accounting\pages\CommonAccount.aspx%3fsJump=6110-1062&amp;c.ChartCode=&amp;hAccount=&amp;hAccount2=&amp;DbCrd=Either&amp;AcTyp=Any&amp;RpTyp=Either" TargetMode="External"/><Relationship Id="rId60" Type="http://schemas.openxmlformats.org/officeDocument/2006/relationships/hyperlink" Target="file:///\\192.168.11.15\Elmdale-Root\Accounting\pages\CommonAccount.aspx%3fsJump=1110-1531&amp;c.ChartCode=&amp;hAccount=&amp;hAccount2=&amp;DbCrd=Either&amp;AcTyp=Any&amp;RpTyp=Either" TargetMode="External"/><Relationship Id="rId1007" Type="http://schemas.openxmlformats.org/officeDocument/2006/relationships/hyperlink" Target="file:///\\192.168.11.15\Elmdale-Root\Accounting\pages\CommonAccount.aspx%3fsJump=3890-0002&amp;c.ChartCode=&amp;hAccount=&amp;hAccount2=&amp;DbCrd=Either&amp;AcTyp=Any&amp;RpTyp=Either" TargetMode="External"/><Relationship Id="rId1214" Type="http://schemas.openxmlformats.org/officeDocument/2006/relationships/hyperlink" Target="file:///\\192.168.11.15\Elmdale-Root\Accounting\pages\CommonAccount.aspx%3fsJump=7000-0014&amp;c.ChartCode=&amp;hAccount=&amp;hAccount2=&amp;DbCrd=Either&amp;AcTyp=Any&amp;RpTyp=Either" TargetMode="External"/><Relationship Id="rId18" Type="http://schemas.openxmlformats.org/officeDocument/2006/relationships/hyperlink" Target="file:///\\192.168.11.15\Elmdale-Root\Accounting\pages\CommonAccount.aspx%3fsJump=1110-0300&amp;c.ChartCode=&amp;hAccount=&amp;hAccount2=&amp;DbCrd=Either&amp;AcTyp=Any&amp;RpTyp=Either" TargetMode="External"/><Relationship Id="rId167" Type="http://schemas.openxmlformats.org/officeDocument/2006/relationships/hyperlink" Target="file:///\\192.168.11.15\Elmdale-Root\Accounting\pages\CommonAccount.aspx%3fsJump=1110-4983&amp;c.ChartCode=&amp;hAccount=&amp;hAccount2=&amp;DbCrd=Either&amp;AcTyp=Any&amp;RpTyp=Either" TargetMode="External"/><Relationship Id="rId374" Type="http://schemas.openxmlformats.org/officeDocument/2006/relationships/hyperlink" Target="file:///\\192.168.11.15\Elmdale-Root\Accounting\pages\CommonAccount.aspx%3fsJump=2150-0003&amp;c.ChartCode=&amp;hAccount=&amp;hAccount2=&amp;DbCrd=Either&amp;AcTyp=Any&amp;RpTyp=Either" TargetMode="External"/><Relationship Id="rId581" Type="http://schemas.openxmlformats.org/officeDocument/2006/relationships/hyperlink" Target="file:///\\192.168.11.15\Elmdale-Root\Accounting\pages\CommonAccount.aspx%3fsJump=3006-1025&amp;c.ChartCode=&amp;hAccount=&amp;hAccount2=&amp;DbCrd=Either&amp;AcTyp=Any&amp;RpTyp=Either" TargetMode="External"/><Relationship Id="rId234" Type="http://schemas.openxmlformats.org/officeDocument/2006/relationships/hyperlink" Target="file:///\\192.168.11.15\Elmdale-Root\Accounting\pages\CommonAccount.aspx%3fsJump=1500-0015&amp;c.ChartCode=&amp;hAccount=&amp;hAccount2=&amp;DbCrd=Either&amp;AcTyp=Any&amp;RpTyp=Either" TargetMode="External"/><Relationship Id="rId679" Type="http://schemas.openxmlformats.org/officeDocument/2006/relationships/hyperlink" Target="file:///\\192.168.11.15\Elmdale-Root\Accounting\pages\CommonAccount.aspx%3fsJump=3065-0000&amp;c.ChartCode=&amp;hAccount=&amp;hAccount2=&amp;DbCrd=Either&amp;AcTyp=Any&amp;RpTyp=Either" TargetMode="External"/><Relationship Id="rId886" Type="http://schemas.openxmlformats.org/officeDocument/2006/relationships/hyperlink" Target="file:///\\192.168.11.15\Elmdale-Root\Accounting\pages\CommonAccount.aspx%3fsJump=3303-2117&amp;c.ChartCode=&amp;hAccount=&amp;hAccount2=&amp;DbCrd=Either&amp;AcTyp=Any&amp;RpTyp=Either" TargetMode="External"/><Relationship Id="rId2" Type="http://schemas.openxmlformats.org/officeDocument/2006/relationships/hyperlink" Target="file:///\\192.168.11.15\Elmdale-Root\Accounting\pages\CommonAccount.aspx%3fsJump=1100-0000&amp;c.ChartCode=&amp;hAccount=&amp;hAccount2=&amp;DbCrd=Either&amp;AcTyp=Any&amp;RpTyp=Either" TargetMode="External"/><Relationship Id="rId441" Type="http://schemas.openxmlformats.org/officeDocument/2006/relationships/hyperlink" Target="file:///\\192.168.11.15\Elmdale-Root\Accounting\pages\CommonAccount.aspx%3fsJump=2305-9523&amp;c.ChartCode=&amp;hAccount=&amp;hAccount2=&amp;DbCrd=Either&amp;AcTyp=Any&amp;RpTyp=Either" TargetMode="External"/><Relationship Id="rId539" Type="http://schemas.openxmlformats.org/officeDocument/2006/relationships/hyperlink" Target="file:///\\192.168.11.15\Elmdale-Root\Accounting\pages\CommonAccount.aspx%3fsJump=3003-7000&amp;c.ChartCode=&amp;hAccount=&amp;hAccount2=&amp;DbCrd=Either&amp;AcTyp=Any&amp;RpTyp=Either" TargetMode="External"/><Relationship Id="rId746" Type="http://schemas.openxmlformats.org/officeDocument/2006/relationships/hyperlink" Target="file:///\\192.168.11.15\Elmdale-Root\Accounting\pages\CommonAccount.aspx%3fsJump=3303-1513&amp;c.ChartCode=&amp;hAccount=&amp;hAccount2=&amp;DbCrd=Either&amp;AcTyp=Any&amp;RpTyp=Either" TargetMode="External"/><Relationship Id="rId1071" Type="http://schemas.openxmlformats.org/officeDocument/2006/relationships/hyperlink" Target="file:///\\192.168.11.15\Elmdale-Root\Accounting\pages\CommonAccount.aspx%3fsJump=5400-0000&amp;c.ChartCode=&amp;hAccount=&amp;hAccount2=&amp;DbCrd=Either&amp;AcTyp=Any&amp;RpTyp=Either" TargetMode="External"/><Relationship Id="rId1169" Type="http://schemas.openxmlformats.org/officeDocument/2006/relationships/hyperlink" Target="file:///\\192.168.11.15\Elmdale-Root\Accounting\pages\CommonAccount.aspx%3fsJump=6299-9999&amp;c.ChartCode=&amp;hAccount=&amp;hAccount2=&amp;DbCrd=Either&amp;AcTyp=Any&amp;RpTyp=Either" TargetMode="External"/><Relationship Id="rId301" Type="http://schemas.openxmlformats.org/officeDocument/2006/relationships/hyperlink" Target="file:///\\192.168.11.15\Elmdale-Root\Accounting\pages\CommonAccount.aspx%3fsJump=1600-1002&amp;c.ChartCode=&amp;hAccount=&amp;hAccount2=&amp;DbCrd=Either&amp;AcTyp=Any&amp;RpTyp=Either" TargetMode="External"/><Relationship Id="rId953" Type="http://schemas.openxmlformats.org/officeDocument/2006/relationships/hyperlink" Target="file:///\\192.168.11.15\Elmdale-Root\Accounting\pages\CommonAccount.aspx%3fsJump=3303-2184&amp;c.ChartCode=&amp;hAccount=&amp;hAccount2=&amp;DbCrd=Either&amp;AcTyp=Any&amp;RpTyp=Either" TargetMode="External"/><Relationship Id="rId1029" Type="http://schemas.openxmlformats.org/officeDocument/2006/relationships/hyperlink" Target="file:///\\192.168.11.15\Elmdale-Root\Accounting\pages\CommonAccount.aspx%3fsJump=4710-0004&amp;c.ChartCode=&amp;hAccount=&amp;hAccount2=&amp;DbCrd=Either&amp;AcTyp=Any&amp;RpTyp=Either" TargetMode="External"/><Relationship Id="rId1236" Type="http://schemas.openxmlformats.org/officeDocument/2006/relationships/hyperlink" Target="file:///\\192.168.11.15\Elmdale-Root\Accounting\pages\CommonAccount.aspx%3fsJump=7200-0020&amp;c.ChartCode=&amp;hAccount=&amp;hAccount2=&amp;DbCrd=Either&amp;AcTyp=Any&amp;RpTyp=Either" TargetMode="External"/><Relationship Id="rId82" Type="http://schemas.openxmlformats.org/officeDocument/2006/relationships/hyperlink" Target="file:///\\192.168.11.15\Elmdale-Root\Accounting\pages\CommonAccount.aspx%3fsJump=1110-3333&amp;c.ChartCode=&amp;hAccount=&amp;hAccount2=&amp;DbCrd=Either&amp;AcTyp=Any&amp;RpTyp=Either" TargetMode="External"/><Relationship Id="rId606" Type="http://schemas.openxmlformats.org/officeDocument/2006/relationships/hyperlink" Target="file:///\\192.168.11.15\Elmdale-Root\Accounting\pages\CommonAccount.aspx%3fsJump=3006-1050&amp;c.ChartCode=&amp;hAccount=&amp;hAccount2=&amp;DbCrd=Either&amp;AcTyp=Any&amp;RpTyp=Either" TargetMode="External"/><Relationship Id="rId813" Type="http://schemas.openxmlformats.org/officeDocument/2006/relationships/hyperlink" Target="file:///\\192.168.11.15\Elmdale-Root\Accounting\pages\CommonAccount.aspx%3fsJump=3303-2044&amp;c.ChartCode=&amp;hAccount=&amp;hAccount2=&amp;DbCrd=Either&amp;AcTyp=Any&amp;RpTyp=Either" TargetMode="External"/><Relationship Id="rId1303" Type="http://schemas.openxmlformats.org/officeDocument/2006/relationships/hyperlink" Target="file:///\\192.168.11.15\Elmdale-Root\Accounting\pages\CommonAccount.aspx%3fsJump=8389-9999&amp;c.ChartCode=&amp;hAccount=&amp;hAccount2=&amp;DbCrd=Either&amp;AcTyp=Any&amp;RpTyp=Either" TargetMode="External"/><Relationship Id="rId189" Type="http://schemas.openxmlformats.org/officeDocument/2006/relationships/hyperlink" Target="file:///\\192.168.11.15\Elmdale-Root\Accounting\pages\CommonAccount.aspx%3fsJump=1190-0020&amp;c.ChartCode=&amp;hAccount=&amp;hAccount2=&amp;DbCrd=Either&amp;AcTyp=Any&amp;RpTyp=Either" TargetMode="External"/><Relationship Id="rId396" Type="http://schemas.openxmlformats.org/officeDocument/2006/relationships/hyperlink" Target="file:///\\192.168.11.15\Elmdale-Root\Accounting\pages\CommonAccount.aspx%3fsJump=2200-1000&amp;c.ChartCode=&amp;hAccount=&amp;hAccount2=&amp;DbCrd=Either&amp;AcTyp=Any&amp;RpTyp=Either" TargetMode="External"/><Relationship Id="rId256" Type="http://schemas.openxmlformats.org/officeDocument/2006/relationships/hyperlink" Target="file:///\\192.168.11.15\Elmdale-Root\Accounting\pages\CommonAccount.aspx%3fsJump=1500-0085&amp;c.ChartCode=&amp;hAccount=&amp;hAccount2=&amp;DbCrd=Either&amp;AcTyp=Any&amp;RpTyp=Either" TargetMode="External"/><Relationship Id="rId463" Type="http://schemas.openxmlformats.org/officeDocument/2006/relationships/hyperlink" Target="file:///\\192.168.11.15\Elmdale-Root\Accounting\pages\CommonAccount.aspx%3fsJump=2640-0998&amp;c.ChartCode=&amp;hAccount=&amp;hAccount2=&amp;DbCrd=Either&amp;AcTyp=Any&amp;RpTyp=Either" TargetMode="External"/><Relationship Id="rId670" Type="http://schemas.openxmlformats.org/officeDocument/2006/relationships/hyperlink" Target="file:///\\192.168.11.15\Elmdale-Root\Accounting\pages\CommonAccount.aspx%3fsJump=3050-0000&amp;c.ChartCode=&amp;hAccount=&amp;hAccount2=&amp;DbCrd=Either&amp;AcTyp=Any&amp;RpTyp=Either" TargetMode="External"/><Relationship Id="rId1093" Type="http://schemas.openxmlformats.org/officeDocument/2006/relationships/hyperlink" Target="file:///\\192.168.11.15\Elmdale-Root\Accounting\pages\CommonAccount.aspx%3fsJump=5600-0000&amp;c.ChartCode=&amp;hAccount=&amp;hAccount2=&amp;DbCrd=Either&amp;AcTyp=Any&amp;RpTyp=Either" TargetMode="External"/><Relationship Id="rId116" Type="http://schemas.openxmlformats.org/officeDocument/2006/relationships/hyperlink" Target="file:///\\192.168.11.15\Elmdale-Root\Accounting\pages\CommonAccount.aspx%3fsJump=1110-4922&amp;c.ChartCode=&amp;hAccount=&amp;hAccount2=&amp;DbCrd=Either&amp;AcTyp=Any&amp;RpTyp=Either" TargetMode="External"/><Relationship Id="rId323" Type="http://schemas.openxmlformats.org/officeDocument/2006/relationships/hyperlink" Target="file:///\\192.168.11.15\Elmdale-Root\Accounting\pages\CommonAccount.aspx%3fsJump=1710-0000&amp;c.ChartCode=&amp;hAccount=&amp;hAccount2=&amp;DbCrd=Either&amp;AcTyp=Any&amp;RpTyp=Either" TargetMode="External"/><Relationship Id="rId530" Type="http://schemas.openxmlformats.org/officeDocument/2006/relationships/hyperlink" Target="file:///\\192.168.11.15\Elmdale-Root\Accounting\pages\CommonAccount.aspx%3fsJump=3003-4003&amp;c.ChartCode=&amp;hAccount=&amp;hAccount2=&amp;DbCrd=Either&amp;AcTyp=Any&amp;RpTyp=Either" TargetMode="External"/><Relationship Id="rId768" Type="http://schemas.openxmlformats.org/officeDocument/2006/relationships/hyperlink" Target="file:///\\192.168.11.15\Elmdale-Root\Accounting\pages\CommonAccount.aspx%3fsJump=3303-1561&amp;c.ChartCode=&amp;hAccount=&amp;hAccount2=&amp;DbCrd=Either&amp;AcTyp=Any&amp;RpTyp=Either" TargetMode="External"/><Relationship Id="rId975" Type="http://schemas.openxmlformats.org/officeDocument/2006/relationships/hyperlink" Target="file:///\\192.168.11.15\Elmdale-Root\Accounting\pages\CommonAccount.aspx%3fsJump=3303-2206&amp;c.ChartCode=&amp;hAccount=&amp;hAccount2=&amp;DbCrd=Either&amp;AcTyp=Any&amp;RpTyp=Either" TargetMode="External"/><Relationship Id="rId1160" Type="http://schemas.openxmlformats.org/officeDocument/2006/relationships/hyperlink" Target="file:///\\192.168.11.15\Elmdale-Root\Accounting\pages\CommonAccount.aspx%3fsJump=6200-0001&amp;c.ChartCode=&amp;hAccount=&amp;hAccount2=&amp;DbCrd=Either&amp;AcTyp=Any&amp;RpTyp=Either" TargetMode="External"/><Relationship Id="rId628" Type="http://schemas.openxmlformats.org/officeDocument/2006/relationships/hyperlink" Target="file:///\\192.168.11.15\Elmdale-Root\Accounting\pages\CommonAccount.aspx%3fsJump=3006-1072&amp;c.ChartCode=&amp;hAccount=&amp;hAccount2=&amp;DbCrd=Either&amp;AcTyp=Any&amp;RpTyp=Either" TargetMode="External"/><Relationship Id="rId835" Type="http://schemas.openxmlformats.org/officeDocument/2006/relationships/hyperlink" Target="file:///\\192.168.11.15\Elmdale-Root\Accounting\pages\CommonAccount.aspx%3fsJump=3303-2066&amp;c.ChartCode=&amp;hAccount=&amp;hAccount2=&amp;DbCrd=Either&amp;AcTyp=Any&amp;RpTyp=Either" TargetMode="External"/><Relationship Id="rId1258" Type="http://schemas.openxmlformats.org/officeDocument/2006/relationships/hyperlink" Target="file:///\\192.168.11.15\Elmdale-Root\Accounting\pages\CommonAccount.aspx%3fsJump=8100-0000&amp;c.ChartCode=&amp;hAccount=&amp;hAccount2=&amp;DbCrd=Either&amp;AcTyp=Any&amp;RpTyp=Either" TargetMode="External"/><Relationship Id="rId1020" Type="http://schemas.openxmlformats.org/officeDocument/2006/relationships/hyperlink" Target="file:///\\192.168.11.15\Elmdale-Root\Accounting\pages\CommonAccount.aspx%3fsJump=4500-1003&amp;c.ChartCode=&amp;hAccount=&amp;hAccount2=&amp;DbCrd=Either&amp;AcTyp=Any&amp;RpTyp=Either" TargetMode="External"/><Relationship Id="rId1118" Type="http://schemas.openxmlformats.org/officeDocument/2006/relationships/hyperlink" Target="file:///\\192.168.11.15\Elmdale-Root\Accounting\pages\CommonAccount.aspx%3fsJump=6050-0010&amp;c.ChartCode=&amp;hAccount=&amp;hAccount2=&amp;DbCrd=Either&amp;AcTyp=Any&amp;RpTyp=Either" TargetMode="External"/><Relationship Id="rId1325" Type="http://schemas.openxmlformats.org/officeDocument/2006/relationships/hyperlink" Target="file:///\\192.168.11.15\Elmdale-Root\Accounting\pages\CommonAccount.aspx%3fsJump=9000-2000&amp;c.ChartCode=&amp;hAccount=&amp;hAccount2=&amp;DbCrd=Either&amp;AcTyp=Any&amp;RpTyp=Either" TargetMode="External"/><Relationship Id="rId902" Type="http://schemas.openxmlformats.org/officeDocument/2006/relationships/hyperlink" Target="file:///\\192.168.11.15\Elmdale-Root\Accounting\pages\CommonAccount.aspx%3fsJump=3303-2133&amp;c.ChartCode=&amp;hAccount=&amp;hAccount2=&amp;DbCrd=Either&amp;AcTyp=Any&amp;RpTyp=Either" TargetMode="External"/><Relationship Id="rId31" Type="http://schemas.openxmlformats.org/officeDocument/2006/relationships/hyperlink" Target="file:///\\192.168.11.15\Elmdale-Root\Accounting\pages\CommonAccount.aspx%3fsJump=1110-1502&amp;c.ChartCode=&amp;hAccount=&amp;hAccount2=&amp;DbCrd=Either&amp;AcTyp=Any&amp;RpTyp=Either" TargetMode="External"/><Relationship Id="rId180" Type="http://schemas.openxmlformats.org/officeDocument/2006/relationships/hyperlink" Target="file:///\\192.168.11.15\Elmdale-Root\Accounting\pages\CommonAccount.aspx%3fsJump=1131-0000&amp;c.ChartCode=&amp;hAccount=&amp;hAccount2=&amp;DbCrd=Either&amp;AcTyp=Any&amp;RpTyp=Either" TargetMode="External"/><Relationship Id="rId278" Type="http://schemas.openxmlformats.org/officeDocument/2006/relationships/hyperlink" Target="file:///\\192.168.11.15\Elmdale-Root\Accounting\pages\CommonAccount.aspx%3fsJump=1600-0024&amp;c.ChartCode=&amp;hAccount=&amp;hAccount2=&amp;DbCrd=Either&amp;AcTyp=Any&amp;RpTyp=Either" TargetMode="External"/><Relationship Id="rId485" Type="http://schemas.openxmlformats.org/officeDocument/2006/relationships/hyperlink" Target="file:///\\192.168.11.15\Elmdale-Root\Accounting\pages\CommonAccount.aspx%3fsJump=3003-1100&amp;c.ChartCode=&amp;hAccount=&amp;hAccount2=&amp;DbCrd=Either&amp;AcTyp=Any&amp;RpTyp=Either" TargetMode="External"/><Relationship Id="rId692" Type="http://schemas.openxmlformats.org/officeDocument/2006/relationships/hyperlink" Target="file:///\\192.168.11.15\Elmdale-Root\Accounting\pages\CommonAccount.aspx%3fsJump=3090-1000&amp;c.ChartCode=&amp;hAccount=&amp;hAccount2=&amp;DbCrd=Either&amp;AcTyp=Any&amp;RpTyp=Either" TargetMode="External"/><Relationship Id="rId138" Type="http://schemas.openxmlformats.org/officeDocument/2006/relationships/hyperlink" Target="file:///\\192.168.11.15\Elmdale-Root\Accounting\pages\CommonAccount.aspx%3fsJump=1110-4953&amp;c.ChartCode=&amp;hAccount=&amp;hAccount2=&amp;DbCrd=Either&amp;AcTyp=Any&amp;RpTyp=Either" TargetMode="External"/><Relationship Id="rId345" Type="http://schemas.openxmlformats.org/officeDocument/2006/relationships/hyperlink" Target="file:///\\192.168.11.15\Elmdale-Root\Accounting\pages\CommonAccount.aspx%3fsJump=1900-1011&amp;c.ChartCode=&amp;hAccount=&amp;hAccount2=&amp;DbCrd=Either&amp;AcTyp=Any&amp;RpTyp=Either" TargetMode="External"/><Relationship Id="rId552" Type="http://schemas.openxmlformats.org/officeDocument/2006/relationships/hyperlink" Target="file:///\\192.168.11.15\Elmdale-Root\Accounting\pages\CommonAccount.aspx%3fsJump=3005-1000&amp;c.ChartCode=&amp;hAccount=&amp;hAccount2=&amp;DbCrd=Either&amp;AcTyp=Any&amp;RpTyp=Either" TargetMode="External"/><Relationship Id="rId997" Type="http://schemas.openxmlformats.org/officeDocument/2006/relationships/hyperlink" Target="file:///\\192.168.11.15\Elmdale-Root\Accounting\pages\CommonAccount.aspx%3fsJump=3410-0000&amp;c.ChartCode=&amp;hAccount=&amp;hAccount2=&amp;DbCrd=Either&amp;AcTyp=Any&amp;RpTyp=Either" TargetMode="External"/><Relationship Id="rId1182" Type="http://schemas.openxmlformats.org/officeDocument/2006/relationships/hyperlink" Target="file:///\\192.168.11.15\Elmdale-Root\Accounting\pages\CommonAccount.aspx%3fsJump=6400-0025&amp;c.ChartCode=&amp;hAccount=&amp;hAccount2=&amp;DbCrd=Either&amp;AcTyp=Any&amp;RpTyp=Either" TargetMode="External"/><Relationship Id="rId205" Type="http://schemas.openxmlformats.org/officeDocument/2006/relationships/hyperlink" Target="file:///\\192.168.11.15\Elmdale-Root\Accounting\pages\CommonAccount.aspx%3fsJump=1350-9000&amp;c.ChartCode=&amp;hAccount=&amp;hAccount2=&amp;DbCrd=Either&amp;AcTyp=Any&amp;RpTyp=Either" TargetMode="External"/><Relationship Id="rId412" Type="http://schemas.openxmlformats.org/officeDocument/2006/relationships/hyperlink" Target="file:///\\192.168.11.15\Elmdale-Root\Accounting\pages\CommonAccount.aspx%3fsJump=2270-0010&amp;c.ChartCode=&amp;hAccount=&amp;hAccount2=&amp;DbCrd=Either&amp;AcTyp=Any&amp;RpTyp=Either" TargetMode="External"/><Relationship Id="rId857" Type="http://schemas.openxmlformats.org/officeDocument/2006/relationships/hyperlink" Target="file:///\\192.168.11.15\Elmdale-Root\Accounting\pages\CommonAccount.aspx%3fsJump=3303-2088&amp;c.ChartCode=&amp;hAccount=&amp;hAccount2=&amp;DbCrd=Either&amp;AcTyp=Any&amp;RpTyp=Either" TargetMode="External"/><Relationship Id="rId1042" Type="http://schemas.openxmlformats.org/officeDocument/2006/relationships/hyperlink" Target="file:///\\192.168.11.15\Elmdale-Root\Accounting\pages\CommonAccount.aspx%3fsJump=5000-0002&amp;c.ChartCode=&amp;hAccount=&amp;hAccount2=&amp;DbCrd=Either&amp;AcTyp=Any&amp;RpTyp=Either" TargetMode="External"/><Relationship Id="rId717" Type="http://schemas.openxmlformats.org/officeDocument/2006/relationships/hyperlink" Target="file:///\\192.168.11.15\Elmdale-Root\Accounting\pages\CommonAccount.aspx%3fsJump=3303-1442&amp;c.ChartCode=&amp;hAccount=&amp;hAccount2=&amp;DbCrd=Either&amp;AcTyp=Any&amp;RpTyp=Either" TargetMode="External"/><Relationship Id="rId924" Type="http://schemas.openxmlformats.org/officeDocument/2006/relationships/hyperlink" Target="file:///\\192.168.11.15\Elmdale-Root\Accounting\pages\CommonAccount.aspx%3fsJump=3303-2155&amp;c.ChartCode=&amp;hAccount=&amp;hAccount2=&amp;DbCrd=Either&amp;AcTyp=Any&amp;RpTyp=Either" TargetMode="External"/><Relationship Id="rId53" Type="http://schemas.openxmlformats.org/officeDocument/2006/relationships/hyperlink" Target="file:///\\192.168.11.15\Elmdale-Root\Accounting\pages\CommonAccount.aspx%3fsJump=1110-1524&amp;c.ChartCode=&amp;hAccount=&amp;hAccount2=&amp;DbCrd=Either&amp;AcTyp=Any&amp;RpTyp=Either" TargetMode="External"/><Relationship Id="rId1207" Type="http://schemas.openxmlformats.org/officeDocument/2006/relationships/hyperlink" Target="file:///\\192.168.11.15\Elmdale-Root\Accounting\pages\CommonAccount.aspx%3fsJump=7000-0000&amp;c.ChartCode=&amp;hAccount=&amp;hAccount2=&amp;DbCrd=Either&amp;AcTyp=Any&amp;RpTyp=Either" TargetMode="External"/><Relationship Id="rId367" Type="http://schemas.openxmlformats.org/officeDocument/2006/relationships/hyperlink" Target="file:///\\192.168.11.15\Elmdale-Root\Accounting\pages\CommonAccount.aspx%3fsJump=2135-0000&amp;c.ChartCode=&amp;hAccount=&amp;hAccount2=&amp;DbCrd=Either&amp;AcTyp=Any&amp;RpTyp=Either" TargetMode="External"/><Relationship Id="rId574" Type="http://schemas.openxmlformats.org/officeDocument/2006/relationships/hyperlink" Target="file:///\\192.168.11.15\Elmdale-Root\Accounting\pages\CommonAccount.aspx%3fsJump=3006-1018&amp;c.ChartCode=&amp;hAccount=&amp;hAccount2=&amp;DbCrd=Either&amp;AcTyp=Any&amp;RpTyp=Either" TargetMode="External"/><Relationship Id="rId227" Type="http://schemas.openxmlformats.org/officeDocument/2006/relationships/hyperlink" Target="file:///\\192.168.11.15\Elmdale-Root\Accounting\pages\CommonAccount.aspx%3fsJump=1419-0000&amp;c.ChartCode=&amp;hAccount=&amp;hAccount2=&amp;DbCrd=Either&amp;AcTyp=Any&amp;RpTyp=Either" TargetMode="External"/><Relationship Id="rId781" Type="http://schemas.openxmlformats.org/officeDocument/2006/relationships/hyperlink" Target="file:///\\192.168.11.15\Elmdale-Root\Accounting\pages\CommonAccount.aspx%3fsJump=3303-2011&amp;c.ChartCode=&amp;hAccount=&amp;hAccount2=&amp;DbCrd=Either&amp;AcTyp=Any&amp;RpTyp=Either" TargetMode="External"/><Relationship Id="rId879" Type="http://schemas.openxmlformats.org/officeDocument/2006/relationships/hyperlink" Target="file:///\\192.168.11.15\Elmdale-Root\Accounting\pages\CommonAccount.aspx%3fsJump=3303-2110&amp;c.ChartCode=&amp;hAccount=&amp;hAccount2=&amp;DbCrd=Either&amp;AcTyp=Any&amp;RpTyp=Either" TargetMode="External"/><Relationship Id="rId434" Type="http://schemas.openxmlformats.org/officeDocument/2006/relationships/hyperlink" Target="file:///\\192.168.11.15\Elmdale-Root\Accounting\pages\CommonAccount.aspx%3fsJump=2305-5620&amp;c.ChartCode=&amp;hAccount=&amp;hAccount2=&amp;DbCrd=Either&amp;AcTyp=Any&amp;RpTyp=Either" TargetMode="External"/><Relationship Id="rId641" Type="http://schemas.openxmlformats.org/officeDocument/2006/relationships/hyperlink" Target="file:///\\192.168.11.15\Elmdale-Root\Accounting\pages\CommonAccount.aspx%3fsJump=3013-1001&amp;c.ChartCode=&amp;hAccount=&amp;hAccount2=&amp;DbCrd=Either&amp;AcTyp=Any&amp;RpTyp=Either" TargetMode="External"/><Relationship Id="rId739" Type="http://schemas.openxmlformats.org/officeDocument/2006/relationships/hyperlink" Target="file:///\\192.168.11.15\Elmdale-Root\Accounting\pages\CommonAccount.aspx%3fsJump=3303-1500&amp;c.ChartCode=&amp;hAccount=&amp;hAccount2=&amp;DbCrd=Either&amp;AcTyp=Any&amp;RpTyp=Either" TargetMode="External"/><Relationship Id="rId1064" Type="http://schemas.openxmlformats.org/officeDocument/2006/relationships/hyperlink" Target="file:///\\192.168.11.15\Elmdale-Root\Accounting\pages\CommonAccount.aspx%3fsJump=5300-0000&amp;c.ChartCode=&amp;hAccount=&amp;hAccount2=&amp;DbCrd=Either&amp;AcTyp=Any&amp;RpTyp=Either" TargetMode="External"/><Relationship Id="rId1271" Type="http://schemas.openxmlformats.org/officeDocument/2006/relationships/hyperlink" Target="file:///\\192.168.11.15\Elmdale-Root\Accounting\pages\CommonAccount.aspx%3fsJump=8180-0002&amp;c.ChartCode=&amp;hAccount=&amp;hAccount2=&amp;DbCrd=Either&amp;AcTyp=Any&amp;RpTyp=Either" TargetMode="External"/><Relationship Id="rId501" Type="http://schemas.openxmlformats.org/officeDocument/2006/relationships/hyperlink" Target="file:///\\192.168.11.15\Elmdale-Root\Accounting\pages\CommonAccount.aspx%3fsJump=3003-1500&amp;c.ChartCode=&amp;hAccount=&amp;hAccount2=&amp;DbCrd=Either&amp;AcTyp=Any&amp;RpTyp=Either" TargetMode="External"/><Relationship Id="rId946" Type="http://schemas.openxmlformats.org/officeDocument/2006/relationships/hyperlink" Target="file:///\\192.168.11.15\Elmdale-Root\Accounting\pages\CommonAccount.aspx%3fsJump=3303-2177&amp;c.ChartCode=&amp;hAccount=&amp;hAccount2=&amp;DbCrd=Either&amp;AcTyp=Any&amp;RpTyp=Either" TargetMode="External"/><Relationship Id="rId1131" Type="http://schemas.openxmlformats.org/officeDocument/2006/relationships/hyperlink" Target="file:///\\192.168.11.15\Elmdale-Root\Accounting\pages\CommonAccount.aspx%3fsJump=6110-0010&amp;c.ChartCode=&amp;hAccount=&amp;hAccount2=&amp;DbCrd=Either&amp;AcTyp=Any&amp;RpTyp=Either" TargetMode="External"/><Relationship Id="rId1229" Type="http://schemas.openxmlformats.org/officeDocument/2006/relationships/hyperlink" Target="file:///\\192.168.11.15\Elmdale-Root\Accounting\pages\CommonAccount.aspx%3fsJump=7000-0075&amp;c.ChartCode=&amp;hAccount=&amp;hAccount2=&amp;DbCrd=Either&amp;AcTyp=Any&amp;RpTyp=Either" TargetMode="External"/><Relationship Id="rId75" Type="http://schemas.openxmlformats.org/officeDocument/2006/relationships/hyperlink" Target="file:///\\192.168.11.15\Elmdale-Root\Accounting\pages\CommonAccount.aspx%3fsJump=1110-3111&amp;c.ChartCode=&amp;hAccount=&amp;hAccount2=&amp;DbCrd=Either&amp;AcTyp=Any&amp;RpTyp=Either" TargetMode="External"/><Relationship Id="rId806" Type="http://schemas.openxmlformats.org/officeDocument/2006/relationships/hyperlink" Target="file:///\\192.168.11.15\Elmdale-Root\Accounting\pages\CommonAccount.aspx%3fsJump=3303-2037&amp;c.ChartCode=&amp;hAccount=&amp;hAccount2=&amp;DbCrd=Either&amp;AcTyp=Any&amp;RpTyp=Eit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FEEB-BDBB-4878-A2BD-3A49A27EAC36}">
  <dimension ref="A1:E18"/>
  <sheetViews>
    <sheetView zoomScale="205" zoomScaleNormal="205" workbookViewId="0">
      <selection activeCell="G5" sqref="G5"/>
    </sheetView>
  </sheetViews>
  <sheetFormatPr defaultRowHeight="12.75"/>
  <cols>
    <col min="1" max="1" width="23.140625" bestFit="1" customWidth="1"/>
    <col min="2" max="5" width="15.7109375" customWidth="1"/>
  </cols>
  <sheetData>
    <row r="1" spans="1:5" ht="15.75">
      <c r="A1" s="64" t="str">
        <f>'Yardi Report'!A1</f>
        <v>SS of Crown Point West LLC (cpwest)</v>
      </c>
      <c r="B1" s="64"/>
      <c r="C1" s="64"/>
      <c r="D1" s="64"/>
      <c r="E1" s="64"/>
    </row>
    <row r="2" spans="1:5">
      <c r="A2" t="s">
        <v>0</v>
      </c>
      <c r="B2" s="3">
        <v>45930</v>
      </c>
    </row>
    <row r="5" spans="1:5">
      <c r="A5" t="s">
        <v>1</v>
      </c>
      <c r="B5" t="s">
        <v>2</v>
      </c>
      <c r="C5" t="s">
        <v>3</v>
      </c>
      <c r="D5" t="s">
        <v>4</v>
      </c>
    </row>
    <row r="6" spans="1:5">
      <c r="A6" t="s">
        <v>5</v>
      </c>
      <c r="B6" s="1" cm="1">
        <f t="array" aca="1" ref="B6" ca="1">INDIRECT("'"&amp;A6&amp;"'!G5")</f>
        <v>460.54</v>
      </c>
      <c r="C6" t="str" cm="1">
        <f t="array" aca="1" ref="C6" ca="1">IF(INDIRECT("'"&amp;A6&amp;"'!H5")="","Yes",INDIRECT("'"&amp;A6&amp;"'!H5"))</f>
        <v>Yes</v>
      </c>
    </row>
    <row r="7" spans="1:5" hidden="1">
      <c r="A7" t="s">
        <v>6</v>
      </c>
      <c r="B7" s="1" cm="1">
        <f t="array" aca="1" ref="B7" ca="1">INDIRECT("'"&amp;A7&amp;"'!G5")</f>
        <v>0</v>
      </c>
      <c r="C7" t="str" cm="1">
        <f t="array" aca="1" ref="C7" ca="1">IF(INDIRECT("'"&amp;A7&amp;"'!H5")="","Yes",INDIRECT("'"&amp;A7&amp;"'!H5"))</f>
        <v>Yes</v>
      </c>
    </row>
    <row r="8" spans="1:5">
      <c r="A8" t="s">
        <v>7</v>
      </c>
      <c r="B8" s="1" cm="1">
        <f t="array" aca="1" ref="B8" ca="1">INDIRECT("'"&amp;A8&amp;"'!G5")</f>
        <v>-130665.65</v>
      </c>
      <c r="C8" t="str" cm="1">
        <f t="array" aca="1" ref="C8" ca="1">IF(INDIRECT("'"&amp;A8&amp;"'!H5")="","Yes",INDIRECT("'"&amp;A8&amp;"'!H5"))</f>
        <v>Yes</v>
      </c>
    </row>
    <row r="9" spans="1:5">
      <c r="A9" t="s">
        <v>8</v>
      </c>
      <c r="B9" s="1" cm="1">
        <f t="array" aca="1" ref="B9" ca="1">INDIRECT("'"&amp;A9&amp;"'!G5")</f>
        <v>-302.44</v>
      </c>
      <c r="C9" t="str" cm="1">
        <f t="array" aca="1" ref="C9" ca="1">IF(INDIRECT("'"&amp;A9&amp;"'!H5")="","Yes",INDIRECT("'"&amp;A9&amp;"'!H5"))</f>
        <v>Out of Balance</v>
      </c>
    </row>
    <row r="10" spans="1:5">
      <c r="A10" t="s">
        <v>9</v>
      </c>
      <c r="B10" s="1" cm="1">
        <f t="array" aca="1" ref="B10" ca="1">INDIRECT("'"&amp;A10&amp;"'!G5")</f>
        <v>-23796.06</v>
      </c>
      <c r="C10" t="str" cm="1">
        <f t="array" aca="1" ref="C10" ca="1">IF(INDIRECT("'"&amp;A10&amp;"'!H5")="","Yes",INDIRECT("'"&amp;A10&amp;"'!H5"))</f>
        <v>Yes</v>
      </c>
    </row>
    <row r="11" spans="1:5">
      <c r="A11" t="s">
        <v>10</v>
      </c>
      <c r="B11" s="1" cm="1">
        <f t="array" aca="1" ref="B11" ca="1">INDIRECT("'"&amp;A11&amp;"'!G5")</f>
        <v>4029.21</v>
      </c>
      <c r="C11" t="str" cm="1">
        <f t="array" aca="1" ref="C11" ca="1">IF(INDIRECT("'"&amp;A11&amp;"'!H5")="","Yes",INDIRECT("'"&amp;A11&amp;"'!H5"))</f>
        <v>Out of Balance</v>
      </c>
    </row>
    <row r="12" spans="1:5">
      <c r="B12" s="1"/>
    </row>
    <row r="13" spans="1:5">
      <c r="B13" s="1"/>
    </row>
    <row r="14" spans="1:5">
      <c r="B14" s="1"/>
    </row>
    <row r="15" spans="1:5">
      <c r="B15" s="1"/>
    </row>
    <row r="16" spans="1:5">
      <c r="B16" s="1"/>
    </row>
    <row r="17" spans="1:2">
      <c r="A17" t="s">
        <v>11</v>
      </c>
      <c r="B17" s="1" t="s">
        <v>12</v>
      </c>
    </row>
    <row r="18" spans="1:2">
      <c r="A18" t="s">
        <v>13</v>
      </c>
      <c r="B18" s="37">
        <v>45944</v>
      </c>
    </row>
  </sheetData>
  <mergeCells count="1">
    <mergeCell ref="A1:E1"/>
  </mergeCells>
  <conditionalFormatting sqref="A6:B6">
    <cfRule type="expression" dxfId="22" priority="1">
      <formula>$C$6="Out of Balance"</formula>
    </cfRule>
    <cfRule type="expression" dxfId="21" priority="12">
      <formula>$C$6="Yes"</formula>
    </cfRule>
  </conditionalFormatting>
  <conditionalFormatting sqref="A7:B7">
    <cfRule type="expression" dxfId="20" priority="8">
      <formula>$C$7="Out of Balance"</formula>
    </cfRule>
    <cfRule type="expression" dxfId="19" priority="11">
      <formula>$C$7="Yes"</formula>
    </cfRule>
  </conditionalFormatting>
  <conditionalFormatting sqref="A8:B8">
    <cfRule type="expression" dxfId="18" priority="9">
      <formula>$C$8="Out of Balance"</formula>
    </cfRule>
    <cfRule type="expression" dxfId="17" priority="10">
      <formula>$C$8="Yes"</formula>
    </cfRule>
  </conditionalFormatting>
  <conditionalFormatting sqref="A9:B9">
    <cfRule type="expression" dxfId="16" priority="6">
      <formula>$C$9="Out of Balance"</formula>
    </cfRule>
    <cfRule type="expression" dxfId="15" priority="7">
      <formula>$C$9="Yes"</formula>
    </cfRule>
  </conditionalFormatting>
  <conditionalFormatting sqref="A10:B10">
    <cfRule type="expression" dxfId="14" priority="4">
      <formula>$C$10="Out of Balance"</formula>
    </cfRule>
    <cfRule type="expression" dxfId="13" priority="5">
      <formula>$C$10="Yes"</formula>
    </cfRule>
  </conditionalFormatting>
  <conditionalFormatting sqref="A11:B11">
    <cfRule type="expression" dxfId="12" priority="2">
      <formula>$C$11="Out of Balance"</formula>
    </cfRule>
    <cfRule type="expression" dxfId="11" priority="3">
      <formula>$C$11="Yes"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A590-5123-4EC9-A38D-D0F3786F7EBC}">
  <dimension ref="A1:M52"/>
  <sheetViews>
    <sheetView zoomScale="205" zoomScaleNormal="205" workbookViewId="0">
      <pane ySplit="7" topLeftCell="A45" activePane="bottomLeft" state="frozen"/>
      <selection pane="bottomLeft" activeCell="F49" sqref="F49"/>
    </sheetView>
  </sheetViews>
  <sheetFormatPr defaultRowHeight="12.75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64" t="str">
        <f>Cover!A1</f>
        <v>SS of Crown Point West LLC (cpwest)</v>
      </c>
      <c r="B1" s="64"/>
      <c r="C1" s="64"/>
      <c r="D1" s="64"/>
      <c r="E1" s="64"/>
      <c r="F1" s="64"/>
      <c r="G1" s="64"/>
      <c r="H1" s="22"/>
      <c r="I1" s="22"/>
    </row>
    <row r="2" spans="1:9" ht="15.75">
      <c r="A2" s="65">
        <f>Cover!B2</f>
        <v>45930</v>
      </c>
      <c r="B2" s="65"/>
      <c r="C2" s="65"/>
      <c r="D2" s="65"/>
      <c r="E2" s="65"/>
      <c r="F2" s="65"/>
      <c r="G2" s="65"/>
      <c r="H2" s="22"/>
      <c r="I2" s="22"/>
    </row>
    <row r="3" spans="1:9">
      <c r="A3" s="66" t="s">
        <v>14</v>
      </c>
      <c r="B3" s="66"/>
      <c r="C3" s="66"/>
      <c r="D3" s="66"/>
      <c r="E3" s="66"/>
      <c r="F3" s="66"/>
      <c r="G3" s="66"/>
      <c r="H3" s="23"/>
      <c r="I3" s="23"/>
    </row>
    <row r="5" spans="1:9">
      <c r="E5" t="s">
        <v>15</v>
      </c>
      <c r="G5" s="1">
        <f>INDEX('Yardi Report'!A:E,MATCH(LEFT(A3,9),'Yardi Report'!A:A,0),3)</f>
        <v>460.54</v>
      </c>
      <c r="H5" t="str">
        <f>IF(G52=0,"","Out of Balance")</f>
        <v/>
      </c>
    </row>
    <row r="7" spans="1:9" ht="13.5" thickBot="1">
      <c r="B7" s="19" t="s">
        <v>0</v>
      </c>
      <c r="C7" s="19" t="s">
        <v>16</v>
      </c>
      <c r="D7" s="19"/>
      <c r="E7" s="19" t="s">
        <v>1</v>
      </c>
      <c r="F7" s="19"/>
      <c r="G7" s="20" t="s">
        <v>2</v>
      </c>
      <c r="H7" s="27" t="s">
        <v>4</v>
      </c>
    </row>
    <row r="8" spans="1:9" ht="13.5" thickTop="1">
      <c r="G8" s="1"/>
    </row>
    <row r="9" spans="1:9">
      <c r="B9" s="28">
        <v>44854</v>
      </c>
      <c r="C9" s="36">
        <f>B9</f>
        <v>44854</v>
      </c>
      <c r="E9" s="18" t="s">
        <v>17</v>
      </c>
      <c r="F9" s="29">
        <v>11494.82</v>
      </c>
      <c r="G9" s="1"/>
    </row>
    <row r="10" spans="1:9">
      <c r="B10" s="28">
        <v>44895</v>
      </c>
      <c r="C10" s="36">
        <f t="shared" ref="C10:C43" si="0">B10</f>
        <v>44895</v>
      </c>
      <c r="E10" s="18" t="s">
        <v>18</v>
      </c>
      <c r="F10" s="29">
        <v>-928.14</v>
      </c>
    </row>
    <row r="11" spans="1:9">
      <c r="B11" s="28">
        <v>44921</v>
      </c>
      <c r="C11" s="36">
        <f t="shared" si="0"/>
        <v>44921</v>
      </c>
      <c r="E11" s="18" t="s">
        <v>18</v>
      </c>
      <c r="F11" s="29">
        <v>-928.14</v>
      </c>
    </row>
    <row r="12" spans="1:9">
      <c r="B12" s="28">
        <v>44951</v>
      </c>
      <c r="C12" s="36">
        <f t="shared" si="0"/>
        <v>44951</v>
      </c>
      <c r="E12" s="18" t="s">
        <v>18</v>
      </c>
      <c r="F12" s="29">
        <v>-928.14</v>
      </c>
    </row>
    <row r="13" spans="1:9">
      <c r="B13" s="28">
        <v>44984</v>
      </c>
      <c r="C13" s="36">
        <f t="shared" si="0"/>
        <v>44984</v>
      </c>
      <c r="E13" s="18" t="s">
        <v>18</v>
      </c>
      <c r="F13" s="29">
        <v>-928.14</v>
      </c>
    </row>
    <row r="14" spans="1:9">
      <c r="B14" s="28">
        <v>45009</v>
      </c>
      <c r="C14" s="36">
        <f t="shared" si="0"/>
        <v>45009</v>
      </c>
      <c r="E14" s="18" t="s">
        <v>18</v>
      </c>
      <c r="F14" s="29">
        <v>-928.14</v>
      </c>
    </row>
    <row r="15" spans="1:9">
      <c r="B15" s="28">
        <v>45041</v>
      </c>
      <c r="C15" s="36">
        <f t="shared" si="0"/>
        <v>45041</v>
      </c>
      <c r="E15" s="18" t="s">
        <v>18</v>
      </c>
      <c r="F15" s="29">
        <v>-928.14</v>
      </c>
    </row>
    <row r="16" spans="1:9">
      <c r="B16" s="28">
        <v>45072</v>
      </c>
      <c r="C16" s="36">
        <f t="shared" si="0"/>
        <v>45072</v>
      </c>
      <c r="E16" s="18" t="s">
        <v>18</v>
      </c>
      <c r="F16" s="29">
        <v>-928.14</v>
      </c>
    </row>
    <row r="17" spans="2:8">
      <c r="B17" s="28">
        <v>45103</v>
      </c>
      <c r="C17" s="36">
        <f t="shared" si="0"/>
        <v>45103</v>
      </c>
      <c r="E17" s="18" t="s">
        <v>18</v>
      </c>
      <c r="F17" s="29">
        <v>-928.14</v>
      </c>
    </row>
    <row r="18" spans="2:8">
      <c r="B18" s="28">
        <v>45138</v>
      </c>
      <c r="C18" s="36">
        <f t="shared" si="0"/>
        <v>45138</v>
      </c>
      <c r="E18" s="18" t="s">
        <v>18</v>
      </c>
      <c r="F18" s="29">
        <v>-928.14</v>
      </c>
    </row>
    <row r="19" spans="2:8">
      <c r="B19" s="28">
        <v>45163</v>
      </c>
      <c r="C19" s="36">
        <f t="shared" si="0"/>
        <v>45163</v>
      </c>
      <c r="E19" s="18" t="s">
        <v>18</v>
      </c>
      <c r="F19" s="29">
        <v>-928.14</v>
      </c>
    </row>
    <row r="20" spans="2:8">
      <c r="B20" s="28">
        <v>45198</v>
      </c>
      <c r="C20" s="36">
        <f t="shared" si="0"/>
        <v>45198</v>
      </c>
      <c r="E20" s="18" t="s">
        <v>18</v>
      </c>
      <c r="F20" s="29">
        <v>-928.14</v>
      </c>
    </row>
    <row r="21" spans="2:8">
      <c r="B21" s="28">
        <v>45226</v>
      </c>
      <c r="C21" s="36">
        <f t="shared" si="0"/>
        <v>45226</v>
      </c>
      <c r="E21" s="18" t="s">
        <v>18</v>
      </c>
      <c r="F21" s="29">
        <v>-928.14</v>
      </c>
    </row>
    <row r="22" spans="2:8">
      <c r="B22" s="28"/>
      <c r="C22" s="36"/>
      <c r="E22" s="18" t="s">
        <v>19</v>
      </c>
      <c r="F22" s="29"/>
      <c r="G22" s="6">
        <f>SUM(F9:F21)</f>
        <v>357.14000000000067</v>
      </c>
      <c r="H22" t="s">
        <v>20</v>
      </c>
    </row>
    <row r="23" spans="2:8">
      <c r="B23" s="28"/>
      <c r="C23" s="36"/>
      <c r="E23" s="18"/>
      <c r="F23" s="29"/>
      <c r="G23" s="6"/>
    </row>
    <row r="24" spans="2:8">
      <c r="B24" s="28">
        <v>45473</v>
      </c>
      <c r="C24" s="36">
        <f t="shared" si="0"/>
        <v>45473</v>
      </c>
      <c r="E24" s="18" t="s">
        <v>17</v>
      </c>
      <c r="F24" s="29">
        <v>1093.8399999999999</v>
      </c>
      <c r="G24" s="1"/>
    </row>
    <row r="25" spans="2:8">
      <c r="B25" s="28">
        <v>45533</v>
      </c>
      <c r="C25" s="36">
        <v>45474</v>
      </c>
      <c r="E25" s="18" t="s">
        <v>18</v>
      </c>
      <c r="F25" s="29">
        <v>-99.44</v>
      </c>
      <c r="H25" t="s">
        <v>21</v>
      </c>
    </row>
    <row r="26" spans="2:8">
      <c r="B26" s="28">
        <v>45535</v>
      </c>
      <c r="C26" s="36">
        <f t="shared" si="0"/>
        <v>45535</v>
      </c>
      <c r="E26" s="18" t="s">
        <v>18</v>
      </c>
      <c r="F26" s="29">
        <v>-99.44</v>
      </c>
    </row>
    <row r="27" spans="2:8">
      <c r="B27" s="28">
        <v>45562</v>
      </c>
      <c r="C27" s="36">
        <f t="shared" si="0"/>
        <v>45562</v>
      </c>
      <c r="E27" s="18" t="s">
        <v>18</v>
      </c>
      <c r="F27" s="29">
        <v>-99.44</v>
      </c>
    </row>
    <row r="28" spans="2:8">
      <c r="B28" s="28">
        <v>45596</v>
      </c>
      <c r="C28" s="36">
        <f t="shared" si="0"/>
        <v>45596</v>
      </c>
      <c r="E28" s="18" t="s">
        <v>18</v>
      </c>
      <c r="F28" s="29">
        <v>-99.44</v>
      </c>
    </row>
    <row r="29" spans="2:8">
      <c r="B29" s="28">
        <v>45625</v>
      </c>
      <c r="C29" s="36">
        <f t="shared" si="0"/>
        <v>45625</v>
      </c>
      <c r="E29" s="18" t="s">
        <v>18</v>
      </c>
      <c r="F29" s="29">
        <v>-99.44</v>
      </c>
    </row>
    <row r="30" spans="2:8">
      <c r="B30" s="28">
        <v>45657</v>
      </c>
      <c r="C30" s="36">
        <f t="shared" si="0"/>
        <v>45657</v>
      </c>
      <c r="E30" s="18" t="s">
        <v>18</v>
      </c>
      <c r="F30" s="29">
        <v>-99.44</v>
      </c>
    </row>
    <row r="31" spans="2:8">
      <c r="B31" s="28">
        <v>45688</v>
      </c>
      <c r="C31" s="36">
        <f t="shared" si="0"/>
        <v>45688</v>
      </c>
      <c r="E31" s="18" t="s">
        <v>18</v>
      </c>
      <c r="F31" s="29">
        <v>-99.44</v>
      </c>
    </row>
    <row r="32" spans="2:8">
      <c r="B32" s="28">
        <v>45716</v>
      </c>
      <c r="C32" s="36">
        <f t="shared" si="0"/>
        <v>45716</v>
      </c>
      <c r="E32" s="18" t="s">
        <v>18</v>
      </c>
      <c r="F32" s="29">
        <v>-99.44</v>
      </c>
    </row>
    <row r="33" spans="2:7">
      <c r="B33" s="28">
        <v>45747</v>
      </c>
      <c r="C33" s="36">
        <f t="shared" si="0"/>
        <v>45747</v>
      </c>
      <c r="E33" s="18" t="s">
        <v>18</v>
      </c>
      <c r="F33" s="29">
        <v>-99.44</v>
      </c>
    </row>
    <row r="34" spans="2:7">
      <c r="B34" s="28"/>
      <c r="C34" s="36"/>
      <c r="E34" s="18" t="s">
        <v>18</v>
      </c>
      <c r="F34" s="29">
        <v>-99.44</v>
      </c>
    </row>
    <row r="35" spans="2:7">
      <c r="B35" s="28"/>
      <c r="C35" s="36"/>
      <c r="E35" s="18" t="s">
        <v>19</v>
      </c>
      <c r="F35" s="29"/>
      <c r="G35" s="6">
        <f>SUM(F24:F34)</f>
        <v>99.439999999999657</v>
      </c>
    </row>
    <row r="36" spans="2:7">
      <c r="B36" s="28"/>
      <c r="C36" s="36"/>
      <c r="E36" s="18"/>
      <c r="F36" s="29"/>
      <c r="G36" s="6"/>
    </row>
    <row r="37" spans="2:7">
      <c r="B37" s="28">
        <v>45610</v>
      </c>
      <c r="C37" s="36">
        <f t="shared" si="0"/>
        <v>45610</v>
      </c>
      <c r="E37" s="18" t="s">
        <v>17</v>
      </c>
      <c r="F37" s="29">
        <v>13158</v>
      </c>
      <c r="G37" s="1"/>
    </row>
    <row r="38" spans="2:7">
      <c r="B38" s="28">
        <v>45625</v>
      </c>
      <c r="C38" s="36">
        <f t="shared" si="0"/>
        <v>45625</v>
      </c>
      <c r="E38" s="18" t="s">
        <v>18</v>
      </c>
      <c r="F38" s="29">
        <v>-1096.17</v>
      </c>
    </row>
    <row r="39" spans="2:7">
      <c r="B39" s="28">
        <v>45657</v>
      </c>
      <c r="C39" s="36">
        <f t="shared" si="0"/>
        <v>45657</v>
      </c>
      <c r="E39" s="18" t="s">
        <v>18</v>
      </c>
      <c r="F39" s="29">
        <v>-1096.17</v>
      </c>
    </row>
    <row r="40" spans="2:7">
      <c r="B40" s="28">
        <v>45688</v>
      </c>
      <c r="C40" s="36">
        <f t="shared" si="0"/>
        <v>45688</v>
      </c>
      <c r="E40" s="18" t="s">
        <v>18</v>
      </c>
      <c r="F40" s="29">
        <v>-1096.17</v>
      </c>
    </row>
    <row r="41" spans="2:7">
      <c r="B41" s="28">
        <v>45716</v>
      </c>
      <c r="C41" s="36">
        <f t="shared" si="0"/>
        <v>45716</v>
      </c>
      <c r="E41" s="18" t="s">
        <v>18</v>
      </c>
      <c r="F41" s="29">
        <v>-1096.17</v>
      </c>
    </row>
    <row r="42" spans="2:7">
      <c r="B42" s="28">
        <v>45747</v>
      </c>
      <c r="C42" s="36">
        <f t="shared" si="0"/>
        <v>45747</v>
      </c>
      <c r="E42" s="18" t="s">
        <v>18</v>
      </c>
      <c r="F42" s="29">
        <v>-1096.17</v>
      </c>
    </row>
    <row r="43" spans="2:7">
      <c r="B43" s="28">
        <v>45777</v>
      </c>
      <c r="C43" s="36">
        <f t="shared" si="0"/>
        <v>45777</v>
      </c>
      <c r="E43" s="18" t="s">
        <v>18</v>
      </c>
      <c r="F43" s="29">
        <v>-1096.17</v>
      </c>
    </row>
    <row r="44" spans="2:7">
      <c r="B44" s="28">
        <v>45808</v>
      </c>
      <c r="C44" s="36">
        <v>45778</v>
      </c>
      <c r="E44" s="18" t="s">
        <v>18</v>
      </c>
      <c r="F44" s="29">
        <v>-1096.17</v>
      </c>
    </row>
    <row r="45" spans="2:7">
      <c r="B45" s="28">
        <v>45838</v>
      </c>
      <c r="C45" s="36">
        <v>45809</v>
      </c>
      <c r="E45" s="18" t="s">
        <v>18</v>
      </c>
      <c r="F45" s="29">
        <v>-1096.17</v>
      </c>
    </row>
    <row r="46" spans="2:7">
      <c r="B46" s="28">
        <v>45869</v>
      </c>
      <c r="C46" s="36">
        <v>45839</v>
      </c>
      <c r="E46" s="18" t="s">
        <v>18</v>
      </c>
      <c r="F46" s="29">
        <v>-1096.17</v>
      </c>
    </row>
    <row r="47" spans="2:7">
      <c r="B47" s="28">
        <v>45900</v>
      </c>
      <c r="C47" s="36">
        <v>45870</v>
      </c>
      <c r="E47" s="18" t="s">
        <v>18</v>
      </c>
      <c r="F47" s="29">
        <v>-1096.17</v>
      </c>
    </row>
    <row r="48" spans="2:7">
      <c r="B48" s="28">
        <v>45929</v>
      </c>
      <c r="C48" s="36">
        <v>45901</v>
      </c>
      <c r="E48" s="18" t="s">
        <v>18</v>
      </c>
      <c r="F48" s="29">
        <v>-1096.17</v>
      </c>
    </row>
    <row r="49" spans="1:13">
      <c r="B49" s="28">
        <v>45961</v>
      </c>
      <c r="C49" s="36">
        <v>45931</v>
      </c>
      <c r="E49" s="18" t="s">
        <v>18</v>
      </c>
      <c r="F49" s="29">
        <v>-1096.17</v>
      </c>
    </row>
    <row r="50" spans="1:13">
      <c r="B50" s="28"/>
      <c r="C50" s="28"/>
      <c r="E50" s="18" t="s">
        <v>19</v>
      </c>
      <c r="F50" s="29"/>
      <c r="G50" s="6">
        <f>SUM(F37:F49)</f>
        <v>3.9599999999991269</v>
      </c>
    </row>
    <row r="51" spans="1:13" s="1" customFormat="1" ht="13.5" thickBot="1">
      <c r="A51"/>
      <c r="B51"/>
      <c r="C51"/>
      <c r="D51"/>
      <c r="E51"/>
      <c r="F51"/>
      <c r="H51"/>
      <c r="J51"/>
      <c r="K51"/>
      <c r="L51"/>
      <c r="M51"/>
    </row>
    <row r="52" spans="1:13" s="1" customFormat="1" ht="13.5" thickTop="1">
      <c r="A52"/>
      <c r="B52" s="25"/>
      <c r="C52" s="25"/>
      <c r="D52" s="25"/>
      <c r="E52" s="25" t="s">
        <v>22</v>
      </c>
      <c r="F52" s="25"/>
      <c r="G52" s="26">
        <f>ROUND(G5-SUM(G9:G51),2)</f>
        <v>0</v>
      </c>
      <c r="H52" t="str">
        <f>IF(G52=0,"","Out of Balance")</f>
        <v/>
      </c>
      <c r="J52"/>
      <c r="K52"/>
      <c r="L52"/>
      <c r="M52"/>
    </row>
  </sheetData>
  <mergeCells count="3">
    <mergeCell ref="A1:G1"/>
    <mergeCell ref="A2:G2"/>
    <mergeCell ref="A3:G3"/>
  </mergeCells>
  <conditionalFormatting sqref="H5">
    <cfRule type="expression" dxfId="10" priority="1">
      <formula>$G$52&lt;&gt;0</formula>
    </cfRule>
  </conditionalFormatting>
  <conditionalFormatting sqref="H52">
    <cfRule type="expression" dxfId="9" priority="2">
      <formula>$G$52&lt;&gt;0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706200-CE86-4426-962D-3FE1032648D2}">
          <x14:formula1>
            <xm:f>'Account Table'!$E$1:$E$500</xm:f>
          </x14:formula1>
          <xm:sqref>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CDAF-C02B-4F49-B5ED-51A75FA81278}">
  <dimension ref="A1:L25"/>
  <sheetViews>
    <sheetView zoomScale="235" zoomScaleNormal="235" workbookViewId="0">
      <pane ySplit="7" topLeftCell="A8" activePane="bottomLeft" state="frozen"/>
      <selection pane="bottomLeft" activeCell="G23" sqref="G23"/>
    </sheetView>
  </sheetViews>
  <sheetFormatPr defaultRowHeight="12.75"/>
  <cols>
    <col min="1" max="1" width="3.5703125" customWidth="1"/>
    <col min="3" max="3" width="1.5703125" customWidth="1"/>
    <col min="4" max="4" width="18.28515625" customWidth="1"/>
    <col min="5" max="5" width="15.85546875" customWidth="1"/>
    <col min="6" max="6" width="13.7109375" customWidth="1"/>
    <col min="7" max="7" width="33" customWidth="1"/>
    <col min="8" max="8" width="13.28515625" style="1" bestFit="1" customWidth="1"/>
    <col min="9" max="9" width="14.140625" bestFit="1" customWidth="1"/>
    <col min="10" max="10" width="20.140625" customWidth="1"/>
  </cols>
  <sheetData>
    <row r="1" spans="1:8" ht="15.75">
      <c r="A1" s="64" t="str">
        <f>Cover!A1</f>
        <v>SS of Crown Point West LLC (cpwest)</v>
      </c>
      <c r="B1" s="64"/>
      <c r="C1" s="64"/>
      <c r="D1" s="64"/>
      <c r="E1" s="64"/>
      <c r="F1" s="64"/>
      <c r="G1" s="22"/>
      <c r="H1" s="22"/>
    </row>
    <row r="2" spans="1:8" ht="15.75">
      <c r="A2" s="65">
        <f>Cover!B2</f>
        <v>45930</v>
      </c>
      <c r="B2" s="65"/>
      <c r="C2" s="65"/>
      <c r="D2" s="65"/>
      <c r="E2" s="65"/>
      <c r="F2" s="65"/>
      <c r="G2" s="22"/>
      <c r="H2" s="22"/>
    </row>
    <row r="3" spans="1:8">
      <c r="A3" s="66" t="s">
        <v>23</v>
      </c>
      <c r="B3" s="66"/>
      <c r="C3" s="66"/>
      <c r="D3" s="66"/>
      <c r="E3" s="66"/>
      <c r="F3" s="66"/>
      <c r="G3" s="23"/>
      <c r="H3" s="23"/>
    </row>
    <row r="5" spans="1:8">
      <c r="D5" t="s">
        <v>15</v>
      </c>
      <c r="F5" s="1" t="e">
        <f>INDEX('Yardi Report'!A:E,MATCH(LEFT(A3,9),'Yardi Report'!A:A,0),3)</f>
        <v>#N/A</v>
      </c>
    </row>
    <row r="7" spans="1:8" ht="13.5" thickBot="1">
      <c r="B7" s="19" t="s">
        <v>0</v>
      </c>
      <c r="C7" s="19"/>
      <c r="D7" s="19" t="s">
        <v>1</v>
      </c>
      <c r="E7" s="19"/>
      <c r="F7" s="20" t="s">
        <v>2</v>
      </c>
      <c r="G7" s="27" t="s">
        <v>4</v>
      </c>
    </row>
    <row r="8" spans="1:8" ht="13.5" thickTop="1">
      <c r="F8" s="1"/>
    </row>
    <row r="9" spans="1:8">
      <c r="B9" s="28"/>
      <c r="D9" s="18"/>
      <c r="E9" s="29"/>
      <c r="F9" s="1"/>
    </row>
    <row r="10" spans="1:8" hidden="1">
      <c r="B10" s="28"/>
      <c r="D10" s="18"/>
      <c r="E10" s="29"/>
    </row>
    <row r="11" spans="1:8" hidden="1">
      <c r="B11" s="28"/>
      <c r="D11" s="18"/>
      <c r="E11" s="29"/>
    </row>
    <row r="12" spans="1:8" hidden="1">
      <c r="B12" s="28"/>
      <c r="D12" s="18"/>
      <c r="E12" s="29"/>
    </row>
    <row r="13" spans="1:8" hidden="1">
      <c r="B13" s="28"/>
      <c r="D13" s="18"/>
      <c r="E13" s="29"/>
    </row>
    <row r="14" spans="1:8" hidden="1">
      <c r="B14" s="28"/>
      <c r="D14" s="18"/>
      <c r="E14" s="29"/>
    </row>
    <row r="15" spans="1:8" hidden="1">
      <c r="B15" s="28"/>
      <c r="D15" s="18"/>
      <c r="E15" s="29"/>
    </row>
    <row r="16" spans="1:8" hidden="1">
      <c r="B16" s="28"/>
      <c r="D16" s="18"/>
      <c r="E16" s="29"/>
    </row>
    <row r="17" spans="1:12" hidden="1">
      <c r="B17" s="28"/>
      <c r="D17" s="18"/>
      <c r="E17" s="29"/>
    </row>
    <row r="18" spans="1:12" hidden="1">
      <c r="B18" s="28"/>
      <c r="D18" s="18"/>
      <c r="E18" s="29"/>
    </row>
    <row r="19" spans="1:12" hidden="1">
      <c r="B19" s="28"/>
      <c r="D19" s="18"/>
      <c r="E19" s="29"/>
    </row>
    <row r="20" spans="1:12" hidden="1">
      <c r="B20" s="28"/>
      <c r="D20" s="18"/>
      <c r="E20" s="29"/>
    </row>
    <row r="21" spans="1:12" hidden="1">
      <c r="B21" s="28"/>
      <c r="D21" s="18"/>
      <c r="E21" s="29"/>
    </row>
    <row r="22" spans="1:12">
      <c r="B22" s="28"/>
      <c r="D22" s="18"/>
      <c r="E22" s="29"/>
      <c r="F22" s="6"/>
    </row>
    <row r="23" spans="1:12">
      <c r="B23" s="28"/>
      <c r="D23" s="18"/>
      <c r="E23" s="29"/>
      <c r="F23" s="6"/>
    </row>
    <row r="24" spans="1:12" s="1" customFormat="1" ht="13.5" thickBot="1">
      <c r="A24"/>
      <c r="B24"/>
      <c r="C24"/>
      <c r="D24"/>
      <c r="E24"/>
      <c r="G24"/>
      <c r="I24"/>
      <c r="J24"/>
      <c r="K24"/>
      <c r="L24"/>
    </row>
    <row r="25" spans="1:12" s="1" customFormat="1" ht="13.5" thickTop="1">
      <c r="A25"/>
      <c r="B25" s="25"/>
      <c r="C25" s="25"/>
      <c r="D25" s="25" t="s">
        <v>22</v>
      </c>
      <c r="E25" s="25"/>
      <c r="F25" s="26" t="e">
        <f>ROUND(F5-SUM(F9:F24),2)</f>
        <v>#N/A</v>
      </c>
      <c r="G25" t="e">
        <f>IF(F25=0,"","Out of Balance")</f>
        <v>#N/A</v>
      </c>
      <c r="I25"/>
      <c r="J25"/>
      <c r="K25"/>
      <c r="L25"/>
    </row>
  </sheetData>
  <mergeCells count="3">
    <mergeCell ref="A1:F1"/>
    <mergeCell ref="A2:F2"/>
    <mergeCell ref="A3:F3"/>
  </mergeCells>
  <conditionalFormatting sqref="G25">
    <cfRule type="expression" dxfId="8" priority="1">
      <formula>$F$25&lt;&gt;0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25ABE6-FE02-441D-B807-D13FCD172C94}">
          <x14:formula1>
            <xm:f>'Account Table'!$E$1:$E$500</xm:f>
          </x14:formula1>
          <xm:sqref>A3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4133-DF3D-4D1E-9C43-D8B5432E3378}">
  <dimension ref="A1:I66"/>
  <sheetViews>
    <sheetView topLeftCell="A51" zoomScale="190" zoomScaleNormal="190" workbookViewId="0">
      <selection activeCell="B58" sqref="B58:C58"/>
    </sheetView>
  </sheetViews>
  <sheetFormatPr defaultRowHeight="12.75"/>
  <cols>
    <col min="1" max="1" width="3.5703125" customWidth="1"/>
    <col min="4" max="4" width="1.5703125" customWidth="1"/>
    <col min="5" max="5" width="27.28515625" customWidth="1"/>
    <col min="6" max="6" width="15.2851562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64" t="str">
        <f>Cover!A1</f>
        <v>SS of Crown Point West LLC (cpwest)</v>
      </c>
      <c r="B1" s="64"/>
      <c r="C1" s="64"/>
      <c r="D1" s="64"/>
      <c r="E1" s="64"/>
      <c r="F1" s="64"/>
      <c r="G1" s="64"/>
      <c r="H1" s="22"/>
      <c r="I1" s="22"/>
    </row>
    <row r="2" spans="1:9" ht="15.75">
      <c r="A2" s="65">
        <f>Cover!B2</f>
        <v>45930</v>
      </c>
      <c r="B2" s="65"/>
      <c r="C2" s="65"/>
      <c r="D2" s="65"/>
      <c r="E2" s="65"/>
      <c r="F2" s="65"/>
      <c r="G2" s="65"/>
      <c r="H2" s="22"/>
      <c r="I2" s="22"/>
    </row>
    <row r="3" spans="1:9" ht="13.15" customHeight="1">
      <c r="A3" s="66" t="s">
        <v>24</v>
      </c>
      <c r="B3" s="66"/>
      <c r="C3" s="66"/>
      <c r="D3" s="66"/>
      <c r="E3" s="66"/>
      <c r="F3" s="66"/>
      <c r="G3" s="66"/>
      <c r="H3" s="23"/>
      <c r="I3" s="23"/>
    </row>
    <row r="5" spans="1:9" ht="13.15" customHeight="1">
      <c r="E5" t="s">
        <v>15</v>
      </c>
      <c r="G5" s="1">
        <f>-INDEX('Yardi Report'!A:E,MATCH(LEFT(A3,9),'Yardi Report'!A:A,0),3)</f>
        <v>-130665.65</v>
      </c>
      <c r="H5" t="str">
        <f>IF(G66=0,"","Out of Balance")</f>
        <v/>
      </c>
    </row>
    <row r="7" spans="1:9" ht="13.15" customHeight="1" thickBot="1">
      <c r="B7" s="30" t="s">
        <v>0</v>
      </c>
      <c r="C7" s="30" t="s">
        <v>16</v>
      </c>
      <c r="D7" s="30"/>
      <c r="E7" s="30" t="s">
        <v>1</v>
      </c>
      <c r="F7" s="30"/>
      <c r="G7" s="31" t="s">
        <v>2</v>
      </c>
      <c r="H7" s="32" t="s">
        <v>4</v>
      </c>
    </row>
    <row r="8" spans="1:9">
      <c r="G8" s="33"/>
    </row>
    <row r="9" spans="1:9">
      <c r="B9" s="28">
        <v>44854</v>
      </c>
      <c r="C9" s="34">
        <v>44835</v>
      </c>
      <c r="E9" s="18" t="s">
        <v>25</v>
      </c>
      <c r="F9" s="29">
        <f>-14182.54-17250.26-2475.38-2020.25</f>
        <v>-35928.43</v>
      </c>
      <c r="G9" s="1"/>
      <c r="H9" t="s">
        <v>26</v>
      </c>
    </row>
    <row r="10" spans="1:9">
      <c r="B10" s="28">
        <v>44864</v>
      </c>
      <c r="C10" s="34">
        <v>44805</v>
      </c>
      <c r="E10" s="18" t="s">
        <v>27</v>
      </c>
      <c r="F10" s="29">
        <f>-1477.35-1796.9-257.85-210.44</f>
        <v>-3742.54</v>
      </c>
    </row>
    <row r="11" spans="1:9">
      <c r="B11" s="28">
        <v>44895</v>
      </c>
      <c r="C11" s="34">
        <v>44835</v>
      </c>
      <c r="E11" s="18" t="s">
        <v>27</v>
      </c>
      <c r="F11" s="29">
        <f>-1477.35-1796.9-257.85-210.44</f>
        <v>-3742.54</v>
      </c>
    </row>
    <row r="12" spans="1:9">
      <c r="B12" s="28">
        <v>44925</v>
      </c>
      <c r="C12" s="34">
        <v>44866</v>
      </c>
      <c r="E12" s="18" t="s">
        <v>27</v>
      </c>
      <c r="F12" s="29">
        <f>-1477.35-1796.9-257.85-210.44</f>
        <v>-3742.54</v>
      </c>
    </row>
    <row r="13" spans="1:9">
      <c r="B13" s="28">
        <v>45047</v>
      </c>
      <c r="C13" s="34">
        <v>45047</v>
      </c>
      <c r="E13" s="18" t="s">
        <v>28</v>
      </c>
      <c r="F13" s="29">
        <f>1420.02+1711.62+9380.86+11506.9</f>
        <v>24019.4</v>
      </c>
      <c r="H13" s="4" t="s">
        <v>29</v>
      </c>
    </row>
    <row r="14" spans="1:9">
      <c r="B14" s="28">
        <v>45231</v>
      </c>
      <c r="C14" s="34">
        <v>45231</v>
      </c>
      <c r="E14" s="18" t="s">
        <v>28</v>
      </c>
      <c r="F14" s="29">
        <f>1060.02+1351.62+9200.86+11326.9</f>
        <v>22939.4</v>
      </c>
      <c r="H14" s="4" t="s">
        <v>30</v>
      </c>
    </row>
    <row r="15" spans="1:9">
      <c r="B15" s="28"/>
      <c r="C15" s="28"/>
      <c r="E15" s="18" t="s">
        <v>31</v>
      </c>
      <c r="F15" s="29"/>
      <c r="G15" s="6">
        <f>SUM(F9:F14)</f>
        <v>-197.25</v>
      </c>
      <c r="H15" s="4"/>
    </row>
    <row r="16" spans="1:9">
      <c r="B16" s="28"/>
      <c r="C16" s="28"/>
      <c r="E16" s="18"/>
      <c r="F16" s="29"/>
      <c r="H16" s="4"/>
    </row>
    <row r="17" spans="1:8">
      <c r="B17" s="28">
        <v>44956</v>
      </c>
      <c r="C17" s="34">
        <v>44927</v>
      </c>
      <c r="E17" s="18" t="s">
        <v>27</v>
      </c>
      <c r="F17" s="29">
        <f t="shared" ref="F17:F28" si="0">-1477.35-1796.9-257.85-210.44</f>
        <v>-3742.54</v>
      </c>
    </row>
    <row r="18" spans="1:8">
      <c r="B18" s="28">
        <v>44985</v>
      </c>
      <c r="C18" s="34">
        <v>44958</v>
      </c>
      <c r="E18" s="18" t="s">
        <v>27</v>
      </c>
      <c r="F18" s="29">
        <f t="shared" si="0"/>
        <v>-3742.54</v>
      </c>
    </row>
    <row r="19" spans="1:8">
      <c r="B19" s="28">
        <v>45015</v>
      </c>
      <c r="C19" s="34">
        <v>44986</v>
      </c>
      <c r="E19" s="18" t="s">
        <v>27</v>
      </c>
      <c r="F19" s="29">
        <f t="shared" si="0"/>
        <v>-3742.54</v>
      </c>
    </row>
    <row r="20" spans="1:8">
      <c r="B20" s="28">
        <v>45046</v>
      </c>
      <c r="C20" s="34">
        <v>45017</v>
      </c>
      <c r="E20" s="18" t="s">
        <v>27</v>
      </c>
      <c r="F20" s="29">
        <f t="shared" si="0"/>
        <v>-3742.54</v>
      </c>
    </row>
    <row r="21" spans="1:8">
      <c r="B21" s="28">
        <v>45076</v>
      </c>
      <c r="C21" s="34">
        <v>45047</v>
      </c>
      <c r="E21" s="18" t="s">
        <v>27</v>
      </c>
      <c r="F21" s="29">
        <f t="shared" si="0"/>
        <v>-3742.54</v>
      </c>
    </row>
    <row r="22" spans="1:8">
      <c r="B22" s="28">
        <v>45107</v>
      </c>
      <c r="C22" s="34">
        <v>45078</v>
      </c>
      <c r="E22" s="18" t="s">
        <v>27</v>
      </c>
      <c r="F22" s="29">
        <f t="shared" si="0"/>
        <v>-3742.54</v>
      </c>
    </row>
    <row r="23" spans="1:8">
      <c r="B23" s="28">
        <v>45137</v>
      </c>
      <c r="C23" s="34">
        <v>45108</v>
      </c>
      <c r="E23" s="18" t="s">
        <v>27</v>
      </c>
      <c r="F23" s="29">
        <f t="shared" si="0"/>
        <v>-3742.54</v>
      </c>
    </row>
    <row r="24" spans="1:8">
      <c r="B24" s="28">
        <v>45168</v>
      </c>
      <c r="C24" s="34">
        <v>45139</v>
      </c>
      <c r="E24" s="18" t="s">
        <v>27</v>
      </c>
      <c r="F24" s="29">
        <f t="shared" si="0"/>
        <v>-3742.54</v>
      </c>
    </row>
    <row r="25" spans="1:8">
      <c r="B25" s="28">
        <v>45199</v>
      </c>
      <c r="C25" s="34">
        <v>45170</v>
      </c>
      <c r="E25" s="18" t="s">
        <v>27</v>
      </c>
      <c r="F25" s="29">
        <f t="shared" si="0"/>
        <v>-3742.54</v>
      </c>
    </row>
    <row r="26" spans="1:8">
      <c r="B26" s="28">
        <v>45229</v>
      </c>
      <c r="C26" s="34">
        <v>45200</v>
      </c>
      <c r="E26" s="18" t="s">
        <v>27</v>
      </c>
      <c r="F26" s="29">
        <f t="shared" si="0"/>
        <v>-3742.54</v>
      </c>
    </row>
    <row r="27" spans="1:8">
      <c r="B27" s="28">
        <v>45260</v>
      </c>
      <c r="C27" s="34">
        <v>45231</v>
      </c>
      <c r="E27" s="18" t="s">
        <v>27</v>
      </c>
      <c r="F27" s="29">
        <f t="shared" si="0"/>
        <v>-3742.54</v>
      </c>
    </row>
    <row r="28" spans="1:8">
      <c r="B28" s="28">
        <v>45290</v>
      </c>
      <c r="C28" s="34">
        <v>45261</v>
      </c>
      <c r="E28" s="18" t="s">
        <v>27</v>
      </c>
      <c r="F28" s="29">
        <f t="shared" si="0"/>
        <v>-3742.54</v>
      </c>
    </row>
    <row r="29" spans="1:8">
      <c r="B29" s="28">
        <v>45422</v>
      </c>
      <c r="C29" s="34">
        <f>B29</f>
        <v>45422</v>
      </c>
      <c r="E29" s="18" t="s">
        <v>28</v>
      </c>
      <c r="F29" s="29">
        <f>1661.16+2123.95+28120.65+15432.3</f>
        <v>47338.06</v>
      </c>
      <c r="H29" t="s">
        <v>32</v>
      </c>
    </row>
    <row r="30" spans="1:8">
      <c r="B30" s="28"/>
      <c r="C30" s="34"/>
      <c r="E30" s="18" t="s">
        <v>28</v>
      </c>
      <c r="F30" s="29"/>
      <c r="H30" s="4"/>
    </row>
    <row r="31" spans="1:8">
      <c r="A31" s="3"/>
      <c r="B31" s="28"/>
      <c r="C31" s="28"/>
      <c r="E31" s="18" t="s">
        <v>31</v>
      </c>
      <c r="F31" s="29"/>
      <c r="G31" s="6">
        <f>SUM(F17:F30)</f>
        <v>2427.5799999999945</v>
      </c>
    </row>
    <row r="32" spans="1:8">
      <c r="B32" s="28"/>
      <c r="C32" s="28"/>
      <c r="E32" s="18"/>
      <c r="F32" s="29"/>
      <c r="G32" s="6"/>
    </row>
    <row r="33" spans="2:8">
      <c r="B33" s="28">
        <v>45321</v>
      </c>
      <c r="C33" s="34">
        <v>45292</v>
      </c>
      <c r="E33" s="18" t="s">
        <v>27</v>
      </c>
      <c r="F33" s="29">
        <v>-8033.67</v>
      </c>
    </row>
    <row r="34" spans="2:8">
      <c r="B34" s="28">
        <v>45351</v>
      </c>
      <c r="C34" s="34">
        <v>45323</v>
      </c>
      <c r="E34" s="18" t="s">
        <v>27</v>
      </c>
      <c r="F34" s="29">
        <v>-8033.67</v>
      </c>
    </row>
    <row r="35" spans="2:8">
      <c r="B35" s="28">
        <v>45381</v>
      </c>
      <c r="C35" s="34">
        <v>45352</v>
      </c>
      <c r="E35" s="18" t="s">
        <v>27</v>
      </c>
      <c r="F35" s="29">
        <v>-8033.67</v>
      </c>
    </row>
    <row r="36" spans="2:8">
      <c r="B36" s="28">
        <v>45412</v>
      </c>
      <c r="C36" s="34">
        <v>45383</v>
      </c>
      <c r="E36" s="18" t="s">
        <v>27</v>
      </c>
      <c r="F36" s="29">
        <v>-8033.67</v>
      </c>
    </row>
    <row r="37" spans="2:8">
      <c r="B37" s="28">
        <v>45442</v>
      </c>
      <c r="C37" s="34">
        <v>45413</v>
      </c>
      <c r="E37" s="18" t="s">
        <v>27</v>
      </c>
      <c r="F37" s="29">
        <v>-8033.67</v>
      </c>
      <c r="H37" t="s">
        <v>33</v>
      </c>
    </row>
    <row r="38" spans="2:8">
      <c r="B38" s="28">
        <v>45473</v>
      </c>
      <c r="C38" s="34">
        <v>45444</v>
      </c>
      <c r="E38" s="18" t="s">
        <v>27</v>
      </c>
      <c r="F38" s="29">
        <v>-8033.67</v>
      </c>
    </row>
    <row r="39" spans="2:8">
      <c r="B39" s="28">
        <v>45503</v>
      </c>
      <c r="C39" s="34">
        <v>45474</v>
      </c>
      <c r="E39" s="18" t="s">
        <v>27</v>
      </c>
      <c r="F39" s="29">
        <v>-8033.67</v>
      </c>
    </row>
    <row r="40" spans="2:8">
      <c r="B40" s="28">
        <v>45534</v>
      </c>
      <c r="C40" s="34">
        <v>45505</v>
      </c>
      <c r="E40" s="18" t="s">
        <v>27</v>
      </c>
      <c r="F40" s="29">
        <v>-8033.67</v>
      </c>
    </row>
    <row r="41" spans="2:8">
      <c r="B41" s="28">
        <v>45565</v>
      </c>
      <c r="C41" s="34">
        <v>45536</v>
      </c>
      <c r="E41" s="18" t="s">
        <v>27</v>
      </c>
      <c r="F41" s="29">
        <v>-8033.67</v>
      </c>
    </row>
    <row r="42" spans="2:8">
      <c r="B42" s="28">
        <v>45595</v>
      </c>
      <c r="C42" s="34">
        <v>45566</v>
      </c>
      <c r="E42" s="18" t="s">
        <v>27</v>
      </c>
      <c r="F42" s="29">
        <v>-8033.67</v>
      </c>
    </row>
    <row r="43" spans="2:8">
      <c r="B43" s="28">
        <v>45626</v>
      </c>
      <c r="C43" s="34">
        <f>B43</f>
        <v>45626</v>
      </c>
      <c r="E43" s="18" t="s">
        <v>27</v>
      </c>
      <c r="F43" s="29">
        <v>-8033.67</v>
      </c>
    </row>
    <row r="44" spans="2:8">
      <c r="B44" s="28">
        <v>45657</v>
      </c>
      <c r="C44" s="34">
        <f>B44</f>
        <v>45657</v>
      </c>
      <c r="E44" s="18" t="s">
        <v>27</v>
      </c>
      <c r="F44" s="29">
        <v>-8033.67</v>
      </c>
    </row>
    <row r="45" spans="2:8">
      <c r="B45" s="28">
        <v>45593</v>
      </c>
      <c r="C45" s="34">
        <f>B45</f>
        <v>45593</v>
      </c>
      <c r="E45" s="18" t="s">
        <v>28</v>
      </c>
      <c r="F45" s="29">
        <v>46258.06</v>
      </c>
      <c r="H45" s="4" t="s">
        <v>34</v>
      </c>
    </row>
    <row r="46" spans="2:8">
      <c r="B46" s="28"/>
      <c r="C46" s="28"/>
      <c r="E46" s="18" t="s">
        <v>28</v>
      </c>
      <c r="F46" s="29">
        <v>0</v>
      </c>
    </row>
    <row r="47" spans="2:8">
      <c r="B47" s="28"/>
      <c r="C47" s="28"/>
      <c r="E47" s="18" t="s">
        <v>31</v>
      </c>
      <c r="F47" s="29"/>
      <c r="G47" s="6">
        <f>SUM(F33:F46)</f>
        <v>-50145.979999999996</v>
      </c>
    </row>
    <row r="48" spans="2:8">
      <c r="B48" s="28"/>
      <c r="C48" s="28"/>
      <c r="E48" s="18"/>
      <c r="F48" s="29"/>
      <c r="G48" s="6"/>
    </row>
    <row r="49" spans="2:8">
      <c r="B49" s="28">
        <v>45688</v>
      </c>
      <c r="C49" s="34">
        <f>B49</f>
        <v>45688</v>
      </c>
      <c r="E49" s="18" t="s">
        <v>27</v>
      </c>
      <c r="F49" s="29">
        <v>-8275</v>
      </c>
    </row>
    <row r="50" spans="2:8">
      <c r="B50" s="28">
        <v>45716</v>
      </c>
      <c r="C50" s="34">
        <f>B50</f>
        <v>45716</v>
      </c>
      <c r="E50" s="18" t="s">
        <v>27</v>
      </c>
      <c r="F50" s="29">
        <v>-8275</v>
      </c>
      <c r="H50" s="6"/>
    </row>
    <row r="51" spans="2:8">
      <c r="B51" s="28">
        <v>45747</v>
      </c>
      <c r="C51" s="34">
        <f>B51</f>
        <v>45747</v>
      </c>
      <c r="E51" s="18" t="s">
        <v>27</v>
      </c>
      <c r="F51" s="29">
        <v>-8275</v>
      </c>
    </row>
    <row r="52" spans="2:8">
      <c r="B52" s="28">
        <v>45777</v>
      </c>
      <c r="C52" s="34">
        <v>45748</v>
      </c>
      <c r="E52" s="18" t="s">
        <v>27</v>
      </c>
      <c r="F52" s="29">
        <v>-8275</v>
      </c>
    </row>
    <row r="53" spans="2:8">
      <c r="B53" s="28">
        <v>45808</v>
      </c>
      <c r="C53" s="34">
        <v>45778</v>
      </c>
      <c r="E53" s="18" t="s">
        <v>27</v>
      </c>
      <c r="F53" s="29">
        <v>-8275</v>
      </c>
    </row>
    <row r="54" spans="2:8">
      <c r="B54" s="28">
        <v>45838</v>
      </c>
      <c r="C54" s="34">
        <v>45809</v>
      </c>
      <c r="E54" s="18" t="s">
        <v>27</v>
      </c>
      <c r="F54" s="29">
        <v>-8275</v>
      </c>
    </row>
    <row r="55" spans="2:8">
      <c r="B55" s="28">
        <v>45869</v>
      </c>
      <c r="C55" s="34">
        <v>45839</v>
      </c>
      <c r="E55" s="18" t="s">
        <v>27</v>
      </c>
      <c r="F55" s="29">
        <v>-8275</v>
      </c>
    </row>
    <row r="56" spans="2:8">
      <c r="B56" s="28">
        <v>45900</v>
      </c>
      <c r="C56" s="34">
        <v>45870</v>
      </c>
      <c r="E56" s="18" t="s">
        <v>27</v>
      </c>
      <c r="F56" s="29">
        <v>-8275</v>
      </c>
    </row>
    <row r="57" spans="2:8">
      <c r="B57" s="28">
        <v>45929</v>
      </c>
      <c r="C57" s="34">
        <v>45901</v>
      </c>
      <c r="E57" s="18" t="s">
        <v>27</v>
      </c>
      <c r="F57" s="29">
        <v>-8275</v>
      </c>
    </row>
    <row r="58" spans="2:8">
      <c r="B58" s="28">
        <f>EOMONTH(B57,1)</f>
        <v>45961</v>
      </c>
      <c r="C58" s="34">
        <f>EOMONTH(C57,0)+1</f>
        <v>45931</v>
      </c>
      <c r="E58" s="18" t="s">
        <v>27</v>
      </c>
      <c r="F58" s="29">
        <v>-8275</v>
      </c>
    </row>
    <row r="59" spans="2:8">
      <c r="B59" s="28"/>
      <c r="C59" s="34"/>
      <c r="E59" s="18" t="s">
        <v>27</v>
      </c>
      <c r="F59" s="29">
        <v>0</v>
      </c>
    </row>
    <row r="60" spans="2:8">
      <c r="B60" s="28"/>
      <c r="C60" s="34"/>
      <c r="E60" s="18" t="s">
        <v>27</v>
      </c>
      <c r="F60" s="29">
        <v>0</v>
      </c>
    </row>
    <row r="61" spans="2:8">
      <c r="B61" s="28"/>
      <c r="C61" s="34"/>
      <c r="E61" s="18" t="s">
        <v>28</v>
      </c>
      <c r="F61" s="29">
        <v>0</v>
      </c>
    </row>
    <row r="62" spans="2:8">
      <c r="B62" s="28"/>
      <c r="C62" s="28"/>
      <c r="E62" s="18" t="s">
        <v>28</v>
      </c>
      <c r="F62" s="29">
        <v>0</v>
      </c>
    </row>
    <row r="63" spans="2:8">
      <c r="B63" s="28"/>
      <c r="C63" s="28"/>
      <c r="E63" s="18" t="s">
        <v>31</v>
      </c>
      <c r="F63" s="29"/>
      <c r="G63" s="6">
        <f>SUM(F49:F62)</f>
        <v>-82750</v>
      </c>
    </row>
    <row r="64" spans="2:8">
      <c r="B64" s="28"/>
      <c r="C64" s="28"/>
      <c r="E64" s="18"/>
      <c r="F64" s="29"/>
      <c r="G64" s="6"/>
    </row>
    <row r="65" spans="2:8" ht="13.5" thickBot="1">
      <c r="G65" s="1"/>
    </row>
    <row r="66" spans="2:8" ht="13.5" thickTop="1">
      <c r="B66" s="25"/>
      <c r="C66" s="25"/>
      <c r="D66" s="25"/>
      <c r="E66" s="25" t="s">
        <v>22</v>
      </c>
      <c r="F66" s="25"/>
      <c r="G66" s="26">
        <f>ROUND(G5-SUM(G9:G65),2)</f>
        <v>0</v>
      </c>
      <c r="H66" t="str">
        <f>IF(G66=0,"","Out of Balance")</f>
        <v/>
      </c>
    </row>
  </sheetData>
  <mergeCells count="3">
    <mergeCell ref="A1:G1"/>
    <mergeCell ref="A2:G2"/>
    <mergeCell ref="A3:G3"/>
  </mergeCells>
  <conditionalFormatting sqref="H5">
    <cfRule type="expression" dxfId="7" priority="1">
      <formula>$G$66&lt;&gt;0</formula>
    </cfRule>
  </conditionalFormatting>
  <conditionalFormatting sqref="H66">
    <cfRule type="expression" dxfId="6" priority="2">
      <formula>$G$66&lt;&gt;0</formula>
    </cfRule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4AEB761-202D-477E-8235-04096ABBE598}">
          <x14:formula1>
            <xm:f>'Account Table'!$E$1:$E$500</xm:f>
          </x14:formula1>
          <xm:sqref>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03A4-CBB6-465E-BDD6-DA1E836BF732}">
  <dimension ref="A1:I35"/>
  <sheetViews>
    <sheetView topLeftCell="A12" zoomScale="190" zoomScaleNormal="190" workbookViewId="0">
      <selection activeCell="F37" sqref="F37"/>
    </sheetView>
  </sheetViews>
  <sheetFormatPr defaultRowHeight="12.75"/>
  <cols>
    <col min="1" max="1" width="3.5703125" customWidth="1"/>
    <col min="4" max="4" width="1.5703125" customWidth="1"/>
    <col min="5" max="5" width="27.28515625" customWidth="1"/>
    <col min="6" max="6" width="15.2851562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64" t="str">
        <f>Cover!A1</f>
        <v>SS of Crown Point West LLC (cpwest)</v>
      </c>
      <c r="B1" s="64"/>
      <c r="C1" s="64"/>
      <c r="D1" s="64"/>
      <c r="E1" s="64"/>
      <c r="F1" s="64"/>
      <c r="G1" s="64"/>
      <c r="H1" s="22"/>
      <c r="I1" s="22"/>
    </row>
    <row r="2" spans="1:9" ht="15.75">
      <c r="A2" s="65">
        <f>Cover!B2</f>
        <v>45930</v>
      </c>
      <c r="B2" s="65"/>
      <c r="C2" s="65"/>
      <c r="D2" s="65"/>
      <c r="E2" s="65"/>
      <c r="F2" s="65"/>
      <c r="G2" s="65"/>
      <c r="H2" s="22"/>
      <c r="I2" s="22"/>
    </row>
    <row r="3" spans="1:9" ht="13.15" customHeight="1">
      <c r="A3" s="66" t="s">
        <v>35</v>
      </c>
      <c r="B3" s="66"/>
      <c r="C3" s="66"/>
      <c r="D3" s="66"/>
      <c r="E3" s="66"/>
      <c r="F3" s="66"/>
      <c r="G3" s="66"/>
      <c r="H3" s="23"/>
      <c r="I3" s="23"/>
    </row>
    <row r="5" spans="1:9" ht="13.15" customHeight="1">
      <c r="E5" t="s">
        <v>15</v>
      </c>
      <c r="G5" s="1">
        <f>-INDEX('Yardi Report'!A:E,MATCH(LEFT(A3,9),'Yardi Report'!A:A,0),3)</f>
        <v>-302.44</v>
      </c>
      <c r="H5" t="str">
        <f>IF(G35=0,"","Out of Balance")</f>
        <v>Out of Balance</v>
      </c>
    </row>
    <row r="7" spans="1:9" ht="13.15" customHeight="1" thickBot="1">
      <c r="B7" s="30" t="s">
        <v>0</v>
      </c>
      <c r="C7" s="30" t="s">
        <v>16</v>
      </c>
      <c r="D7" s="30"/>
      <c r="E7" s="30" t="s">
        <v>1</v>
      </c>
      <c r="F7" s="30"/>
      <c r="G7" s="31" t="s">
        <v>2</v>
      </c>
      <c r="H7" s="32" t="s">
        <v>4</v>
      </c>
    </row>
    <row r="8" spans="1:9">
      <c r="G8" s="33"/>
    </row>
    <row r="9" spans="1:9">
      <c r="B9" s="28"/>
      <c r="C9" s="34">
        <v>45231</v>
      </c>
      <c r="E9" s="18" t="s">
        <v>36</v>
      </c>
      <c r="F9" s="29"/>
      <c r="G9" s="1">
        <f>-1.4-0.49-1.76-1.4-1.4-1.4</f>
        <v>-7.85</v>
      </c>
    </row>
    <row r="10" spans="1:9">
      <c r="B10" s="28"/>
      <c r="C10" s="34">
        <v>45261</v>
      </c>
      <c r="E10" s="18"/>
      <c r="F10" s="29"/>
      <c r="G10" s="1"/>
    </row>
    <row r="11" spans="1:9">
      <c r="B11" s="28"/>
      <c r="C11" s="34">
        <v>45292</v>
      </c>
      <c r="E11" s="18"/>
      <c r="F11" s="29"/>
      <c r="G11" s="1"/>
    </row>
    <row r="12" spans="1:9">
      <c r="B12" s="28"/>
      <c r="C12" s="34">
        <v>45323</v>
      </c>
      <c r="E12" s="18" t="s">
        <v>37</v>
      </c>
      <c r="F12" s="29"/>
      <c r="G12" s="1">
        <f>-1.19-1.8</f>
        <v>-2.99</v>
      </c>
    </row>
    <row r="13" spans="1:9">
      <c r="B13" s="28"/>
      <c r="C13" s="34">
        <v>45352</v>
      </c>
      <c r="E13" s="18" t="s">
        <v>38</v>
      </c>
      <c r="F13" s="29"/>
      <c r="G13" s="1">
        <f>-1.8-0.31-0.52-1.8-1.8</f>
        <v>-6.2299999999999995</v>
      </c>
      <c r="H13" s="4"/>
    </row>
    <row r="14" spans="1:9">
      <c r="B14" s="28"/>
      <c r="C14" s="34">
        <v>45383</v>
      </c>
      <c r="E14" s="18" t="s">
        <v>39</v>
      </c>
      <c r="F14" s="29"/>
      <c r="G14" s="1">
        <f>-1.8-1.8-1.4-1.8-1.8-1.8-1.8-3.6-1.8-1.8-1.8-1.8-1.8</f>
        <v>-24.800000000000004</v>
      </c>
      <c r="H14" s="4"/>
    </row>
    <row r="15" spans="1:9">
      <c r="B15" s="28"/>
      <c r="C15" s="34">
        <v>45436</v>
      </c>
      <c r="E15" s="18" t="s">
        <v>40</v>
      </c>
      <c r="F15" s="29"/>
      <c r="G15" s="1">
        <f>-1.8-1.8-3.6-1.8-1.8-1.8-4.3-3.6-1.8-1.8-3.2</f>
        <v>-27.300000000000004</v>
      </c>
      <c r="H15" s="4"/>
    </row>
    <row r="16" spans="1:9">
      <c r="B16" s="28"/>
      <c r="C16" s="34">
        <v>45467</v>
      </c>
      <c r="E16" s="18" t="s">
        <v>41</v>
      </c>
      <c r="F16" s="29"/>
      <c r="G16" s="1">
        <f>-1.4-1.4-1.8-1.8-1.4-1.8-0.9-1.8-1.8-1.8-1.8-1.8-1.8</f>
        <v>-21.300000000000004</v>
      </c>
      <c r="H16" s="4"/>
    </row>
    <row r="17" spans="2:7">
      <c r="B17" s="28"/>
      <c r="C17" s="34">
        <v>45497</v>
      </c>
      <c r="E17" s="18" t="s">
        <v>42</v>
      </c>
      <c r="F17" s="29"/>
      <c r="G17" s="1">
        <f>-1.8-1.8-0.9-1.8-1.4-1.8-3.6-0.9-1.8</f>
        <v>-15.8</v>
      </c>
    </row>
    <row r="18" spans="2:7">
      <c r="B18" s="28"/>
      <c r="C18" s="34">
        <v>45528</v>
      </c>
      <c r="E18" s="18" t="s">
        <v>43</v>
      </c>
      <c r="F18" s="29"/>
      <c r="G18" s="1">
        <f>-0.9-1.8-1.8-1.8-0.73-1.8-3.6</f>
        <v>-12.43</v>
      </c>
    </row>
    <row r="19" spans="2:7">
      <c r="B19" s="28"/>
      <c r="C19" s="34">
        <v>45559</v>
      </c>
      <c r="E19" s="18" t="s">
        <v>44</v>
      </c>
      <c r="F19" s="29"/>
      <c r="G19" s="1">
        <f>-1.4-1.8-5.4-1.8-1.49-0.9-1.8-2.7</f>
        <v>-17.290000000000003</v>
      </c>
    </row>
    <row r="20" spans="2:7">
      <c r="B20" s="28"/>
      <c r="C20" s="34">
        <v>45589</v>
      </c>
      <c r="E20" s="18" t="s">
        <v>45</v>
      </c>
      <c r="F20" s="29"/>
      <c r="G20" s="1">
        <f>-1.8-1.8-1.8-1.8-1.4-1.8-1.8</f>
        <v>-12.200000000000001</v>
      </c>
    </row>
    <row r="21" spans="2:7">
      <c r="B21" s="28"/>
      <c r="C21" s="34">
        <v>45597</v>
      </c>
      <c r="E21" s="18" t="s">
        <v>46</v>
      </c>
      <c r="F21" s="29"/>
      <c r="G21" s="1">
        <f>-3.6-1.8-1.8-1.8-1.8-1.8</f>
        <v>-12.600000000000001</v>
      </c>
    </row>
    <row r="22" spans="2:7">
      <c r="B22" s="28"/>
      <c r="C22" s="34">
        <v>45657</v>
      </c>
      <c r="E22" s="18" t="s">
        <v>47</v>
      </c>
      <c r="F22" s="29"/>
      <c r="G22" s="1">
        <f>-1.8-5.4-1.8-1.8-1.8-1.8</f>
        <v>-14.400000000000002</v>
      </c>
    </row>
    <row r="23" spans="2:7">
      <c r="B23" s="28"/>
      <c r="C23" s="34"/>
      <c r="E23" s="18"/>
      <c r="F23" s="29"/>
      <c r="G23" s="1"/>
    </row>
    <row r="24" spans="2:7">
      <c r="B24" s="28"/>
      <c r="C24" s="34">
        <v>45658</v>
      </c>
      <c r="E24" s="18" t="s">
        <v>48</v>
      </c>
      <c r="F24" s="29"/>
      <c r="G24" s="1">
        <v>-21.45</v>
      </c>
    </row>
    <row r="25" spans="2:7">
      <c r="B25" s="28"/>
      <c r="C25" s="34">
        <v>45716</v>
      </c>
      <c r="E25" s="18" t="s">
        <v>49</v>
      </c>
      <c r="F25" s="29"/>
      <c r="G25" s="1">
        <f>-1.8-1.4-1.8-1.8</f>
        <v>-6.8</v>
      </c>
    </row>
    <row r="26" spans="2:7">
      <c r="B26" s="28"/>
      <c r="C26" s="34">
        <v>45747</v>
      </c>
      <c r="E26" s="18" t="s">
        <v>50</v>
      </c>
      <c r="F26" s="29"/>
      <c r="G26" s="1">
        <f>-1.8*4</f>
        <v>-7.2</v>
      </c>
    </row>
    <row r="27" spans="2:7">
      <c r="B27" s="28"/>
      <c r="C27" s="34">
        <v>45748</v>
      </c>
      <c r="E27" s="18" t="s">
        <v>51</v>
      </c>
      <c r="F27" s="29"/>
      <c r="G27" s="1">
        <f>-226.84+210.64</f>
        <v>-16.200000000000017</v>
      </c>
    </row>
    <row r="28" spans="2:7">
      <c r="B28" s="28"/>
      <c r="C28" s="34">
        <v>45778</v>
      </c>
      <c r="E28" s="18" t="s">
        <v>52</v>
      </c>
      <c r="F28" s="29"/>
      <c r="G28" s="1">
        <v>-14.4</v>
      </c>
    </row>
    <row r="29" spans="2:7">
      <c r="B29" s="28"/>
      <c r="C29" s="34">
        <v>45809</v>
      </c>
      <c r="E29" s="18" t="s">
        <v>53</v>
      </c>
      <c r="F29" s="29"/>
      <c r="G29" s="1">
        <v>-19.8</v>
      </c>
    </row>
    <row r="30" spans="2:7">
      <c r="B30" s="28"/>
      <c r="C30" s="34">
        <v>45839</v>
      </c>
      <c r="E30" s="18" t="s">
        <v>54</v>
      </c>
      <c r="F30" s="29"/>
      <c r="G30" s="1">
        <v>-18</v>
      </c>
    </row>
    <row r="31" spans="2:7">
      <c r="B31" s="28"/>
      <c r="C31" s="34">
        <v>45870</v>
      </c>
      <c r="E31" s="18" t="s">
        <v>55</v>
      </c>
      <c r="F31" s="29"/>
      <c r="G31" s="1">
        <v>-7.2</v>
      </c>
    </row>
    <row r="32" spans="2:7" ht="13.5" customHeight="1">
      <c r="B32" s="28"/>
      <c r="C32" s="34">
        <v>45901</v>
      </c>
      <c r="E32" s="18" t="s">
        <v>56</v>
      </c>
      <c r="F32" s="29"/>
      <c r="G32" s="1">
        <v>-1.8</v>
      </c>
    </row>
    <row r="33" spans="1:8" ht="13.5" customHeight="1">
      <c r="B33" s="28"/>
      <c r="C33" s="34"/>
      <c r="E33" s="18"/>
      <c r="F33" s="29"/>
      <c r="G33" s="1"/>
    </row>
    <row r="34" spans="1:8" s="1" customFormat="1" ht="13.5" thickBot="1">
      <c r="A34"/>
      <c r="B34"/>
      <c r="C34"/>
      <c r="D34"/>
      <c r="E34"/>
      <c r="F34"/>
      <c r="H34"/>
    </row>
    <row r="35" spans="1:8" s="1" customFormat="1" ht="13.5" thickTop="1">
      <c r="A35"/>
      <c r="B35" s="25"/>
      <c r="C35" s="25"/>
      <c r="D35" s="25"/>
      <c r="E35" s="25" t="s">
        <v>22</v>
      </c>
      <c r="F35" s="25"/>
      <c r="G35" s="26">
        <f>ROUND(G5-SUM(G9:G34),2)</f>
        <v>-14.4</v>
      </c>
      <c r="H35" t="str">
        <f>IF(G35=0,"","Out of Balance")</f>
        <v>Out of Balance</v>
      </c>
    </row>
  </sheetData>
  <mergeCells count="3">
    <mergeCell ref="A1:G1"/>
    <mergeCell ref="A2:G2"/>
    <mergeCell ref="A3:G3"/>
  </mergeCells>
  <conditionalFormatting sqref="H5">
    <cfRule type="expression" dxfId="5" priority="1">
      <formula>$G$35&lt;&gt;0</formula>
    </cfRule>
  </conditionalFormatting>
  <conditionalFormatting sqref="H35">
    <cfRule type="expression" dxfId="4" priority="2">
      <formula>$G$35&lt;&gt;0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346E8B-A6D5-42D7-9BE1-BBC10160D172}">
          <x14:formula1>
            <xm:f>'Account Table'!$E$1:$E$500</xm:f>
          </x14:formula1>
          <xm:sqref>A3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0D89-B4F1-42DC-BF1C-C64918B263B0}">
  <dimension ref="A1:I23"/>
  <sheetViews>
    <sheetView showFormulas="1" topLeftCell="C1" zoomScale="190" zoomScaleNormal="190" workbookViewId="0">
      <selection activeCell="F20" sqref="F20"/>
    </sheetView>
  </sheetViews>
  <sheetFormatPr defaultRowHeight="12.75"/>
  <cols>
    <col min="1" max="1" width="3.5703125" customWidth="1"/>
    <col min="4" max="4" width="1.5703125" customWidth="1"/>
    <col min="5" max="5" width="27.28515625" customWidth="1"/>
    <col min="6" max="6" width="15.2851562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64" t="str">
        <f>Cover!A1</f>
        <v>SS of Crown Point West LLC (cpwest)</v>
      </c>
      <c r="B1" s="64"/>
      <c r="C1" s="64"/>
      <c r="D1" s="64"/>
      <c r="E1" s="64"/>
      <c r="F1" s="64"/>
      <c r="G1" s="64"/>
      <c r="H1" s="22"/>
      <c r="I1" s="22"/>
    </row>
    <row r="2" spans="1:9" ht="15.75">
      <c r="A2" s="65">
        <f>Cover!B2</f>
        <v>45930</v>
      </c>
      <c r="B2" s="65"/>
      <c r="C2" s="65"/>
      <c r="D2" s="65"/>
      <c r="E2" s="65"/>
      <c r="F2" s="65"/>
      <c r="G2" s="65"/>
      <c r="H2" s="22"/>
      <c r="I2" s="22"/>
    </row>
    <row r="3" spans="1:9" ht="13.15" customHeight="1">
      <c r="A3" s="66" t="s">
        <v>57</v>
      </c>
      <c r="B3" s="66"/>
      <c r="C3" s="66"/>
      <c r="D3" s="66"/>
      <c r="E3" s="66"/>
      <c r="F3" s="66"/>
      <c r="G3" s="66"/>
      <c r="H3" s="23"/>
      <c r="I3" s="23"/>
    </row>
    <row r="5" spans="1:9" ht="13.15" customHeight="1">
      <c r="E5" t="s">
        <v>15</v>
      </c>
      <c r="G5" s="1">
        <f>-INDEX('Yardi Report'!A:E,MATCH(LEFT(A3,9),'Yardi Report'!A:A,0),3)</f>
        <v>-23796.06</v>
      </c>
      <c r="H5" t="str">
        <f>IF(G23=0,"","Out of Balance")</f>
        <v/>
      </c>
    </row>
    <row r="7" spans="1:9" ht="13.15" customHeight="1" thickBot="1">
      <c r="B7" s="30" t="s">
        <v>0</v>
      </c>
      <c r="C7" s="30" t="s">
        <v>16</v>
      </c>
      <c r="D7" s="30"/>
      <c r="E7" s="30" t="s">
        <v>1</v>
      </c>
      <c r="F7" s="30"/>
      <c r="G7" s="31" t="s">
        <v>2</v>
      </c>
      <c r="H7" s="32" t="s">
        <v>4</v>
      </c>
    </row>
    <row r="8" spans="1:9">
      <c r="G8" s="33"/>
    </row>
    <row r="9" spans="1:9">
      <c r="B9" s="28">
        <v>45016</v>
      </c>
      <c r="C9" s="34">
        <v>44986</v>
      </c>
      <c r="E9" s="18" t="s">
        <v>58</v>
      </c>
      <c r="F9" s="29"/>
      <c r="G9" s="1">
        <v>-23796.06</v>
      </c>
    </row>
    <row r="10" spans="1:9">
      <c r="B10" s="28"/>
      <c r="C10" s="34"/>
      <c r="E10" s="18"/>
      <c r="F10" s="29"/>
      <c r="G10" s="1"/>
    </row>
    <row r="11" spans="1:9">
      <c r="B11" s="28"/>
      <c r="C11" s="34"/>
      <c r="E11" s="18"/>
      <c r="F11" s="29"/>
      <c r="G11" s="1"/>
    </row>
    <row r="12" spans="1:9">
      <c r="B12" s="28"/>
      <c r="C12" s="34"/>
      <c r="E12" s="18"/>
      <c r="F12" s="29"/>
      <c r="G12" s="1"/>
    </row>
    <row r="13" spans="1:9">
      <c r="B13" s="28"/>
      <c r="C13" s="34"/>
      <c r="E13" s="18"/>
      <c r="F13" s="29"/>
      <c r="G13" s="1"/>
      <c r="H13" s="4"/>
    </row>
    <row r="14" spans="1:9">
      <c r="B14" s="28"/>
      <c r="C14" s="34"/>
      <c r="E14" s="18"/>
      <c r="F14" s="29"/>
      <c r="G14" s="1"/>
      <c r="H14" s="4"/>
    </row>
    <row r="15" spans="1:9">
      <c r="B15" s="28"/>
      <c r="C15" s="34"/>
      <c r="E15" s="18"/>
      <c r="F15" s="29"/>
      <c r="G15" s="1"/>
      <c r="H15" s="4"/>
    </row>
    <row r="16" spans="1:9">
      <c r="B16" s="28"/>
      <c r="C16" s="34"/>
      <c r="E16" s="18"/>
      <c r="F16" s="29"/>
      <c r="G16" s="1"/>
      <c r="H16" s="4"/>
    </row>
    <row r="17" spans="1:8">
      <c r="B17" s="28"/>
      <c r="C17" s="34"/>
      <c r="E17" s="18"/>
      <c r="F17" s="29"/>
      <c r="G17" s="1"/>
    </row>
    <row r="18" spans="1:8">
      <c r="B18" s="28"/>
      <c r="C18" s="34"/>
      <c r="E18" s="18"/>
      <c r="F18" s="29"/>
      <c r="G18" s="1"/>
    </row>
    <row r="19" spans="1:8">
      <c r="B19" s="28"/>
      <c r="C19" s="34"/>
      <c r="E19" s="18"/>
      <c r="F19" s="29"/>
      <c r="G19" s="1"/>
    </row>
    <row r="20" spans="1:8">
      <c r="B20" s="28"/>
      <c r="C20" s="34"/>
      <c r="E20" s="18"/>
      <c r="F20" s="29"/>
      <c r="G20" s="1"/>
    </row>
    <row r="21" spans="1:8">
      <c r="B21" s="28"/>
      <c r="C21" s="34"/>
      <c r="E21" s="18"/>
      <c r="F21" s="29"/>
      <c r="G21" s="1"/>
    </row>
    <row r="22" spans="1:8" s="1" customFormat="1" ht="13.5" thickBot="1">
      <c r="A22"/>
      <c r="B22"/>
      <c r="C22"/>
      <c r="D22"/>
      <c r="E22"/>
      <c r="F22"/>
      <c r="H22"/>
    </row>
    <row r="23" spans="1:8" s="1" customFormat="1" ht="13.5" thickTop="1">
      <c r="A23"/>
      <c r="B23" s="25"/>
      <c r="C23" s="25"/>
      <c r="D23" s="25"/>
      <c r="E23" s="25" t="s">
        <v>22</v>
      </c>
      <c r="F23" s="25"/>
      <c r="G23" s="26">
        <f>ROUND(G5-SUM(G9:G22),2)</f>
        <v>0</v>
      </c>
      <c r="H23" t="str">
        <f>IF(G23=0,"","Out of Balance")</f>
        <v/>
      </c>
    </row>
  </sheetData>
  <mergeCells count="3">
    <mergeCell ref="A1:G1"/>
    <mergeCell ref="A2:G2"/>
    <mergeCell ref="A3:G3"/>
  </mergeCells>
  <conditionalFormatting sqref="H5">
    <cfRule type="expression" dxfId="3" priority="1">
      <formula>$G$23&lt;&gt;0</formula>
    </cfRule>
  </conditionalFormatting>
  <conditionalFormatting sqref="H23">
    <cfRule type="expression" dxfId="2" priority="2">
      <formula>$G$23&lt;&gt;0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A46567C-24EF-4A91-8D65-7E49626CFD24}">
          <x14:formula1>
            <xm:f>'Account Table'!$E$1:$E$500</xm:f>
          </x14:formula1>
          <xm:sqref>A3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E549-7E85-4AE4-B2D3-8507B0CC10D1}">
  <dimension ref="A1:I165"/>
  <sheetViews>
    <sheetView zoomScale="175" zoomScaleNormal="175" workbookViewId="0">
      <pane ySplit="7" topLeftCell="A161" activePane="bottomLeft" state="frozen"/>
      <selection pane="bottomLeft" activeCell="E163" sqref="E163"/>
    </sheetView>
  </sheetViews>
  <sheetFormatPr defaultRowHeight="12.75"/>
  <cols>
    <col min="1" max="1" width="3.5703125" customWidth="1"/>
    <col min="4" max="4" width="1.5703125" customWidth="1"/>
    <col min="5" max="5" width="39.42578125" customWidth="1"/>
    <col min="6" max="6" width="13.2851562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64" t="str">
        <f>Cover!A1</f>
        <v>SS of Crown Point West LLC (cpwest)</v>
      </c>
      <c r="B1" s="64"/>
      <c r="C1" s="64"/>
      <c r="D1" s="64"/>
      <c r="E1" s="64"/>
      <c r="F1" s="64"/>
      <c r="G1" s="64"/>
      <c r="H1" s="22"/>
      <c r="I1" s="22"/>
    </row>
    <row r="2" spans="1:9" ht="15.75">
      <c r="A2" s="65">
        <f>Cover!B2</f>
        <v>45930</v>
      </c>
      <c r="B2" s="65"/>
      <c r="C2" s="65"/>
      <c r="D2" s="65"/>
      <c r="E2" s="65"/>
      <c r="F2" s="65"/>
      <c r="G2" s="65"/>
      <c r="H2" s="22"/>
      <c r="I2" s="22"/>
    </row>
    <row r="3" spans="1:9" ht="13.15" customHeight="1">
      <c r="A3" s="66" t="s">
        <v>59</v>
      </c>
      <c r="B3" s="66"/>
      <c r="C3" s="66"/>
      <c r="D3" s="66"/>
      <c r="E3" s="66"/>
      <c r="F3" s="66"/>
      <c r="G3" s="66"/>
      <c r="H3" s="23"/>
      <c r="I3" s="23"/>
    </row>
    <row r="5" spans="1:9" ht="13.15" customHeight="1">
      <c r="E5" t="s">
        <v>15</v>
      </c>
      <c r="G5" s="1">
        <f>-INDEX('Yardi Report'!A:E,MATCH(LEFT(A3,9),'Yardi Report'!A:A,0),3)</f>
        <v>4029.21</v>
      </c>
      <c r="H5" t="str">
        <f>IF(G165=0,"","Out of Balance")</f>
        <v>Out of Balance</v>
      </c>
    </row>
    <row r="7" spans="1:9" ht="13.15" customHeight="1" thickBot="1">
      <c r="B7" s="19" t="s">
        <v>0</v>
      </c>
      <c r="C7" s="19"/>
      <c r="D7" s="19"/>
      <c r="E7" s="19" t="s">
        <v>1</v>
      </c>
      <c r="F7" s="19"/>
      <c r="G7" s="20" t="s">
        <v>2</v>
      </c>
      <c r="H7" s="27" t="s">
        <v>4</v>
      </c>
    </row>
    <row r="8" spans="1:9" ht="13.5" thickTop="1">
      <c r="G8" s="1"/>
    </row>
    <row r="9" spans="1:9">
      <c r="B9" s="28">
        <v>44957</v>
      </c>
      <c r="C9" s="34">
        <v>44927</v>
      </c>
      <c r="E9" s="18" t="s">
        <v>60</v>
      </c>
      <c r="F9" s="1"/>
      <c r="G9" s="1">
        <v>-221.1</v>
      </c>
      <c r="H9" t="s">
        <v>61</v>
      </c>
    </row>
    <row r="10" spans="1:9">
      <c r="B10" s="28">
        <v>44985</v>
      </c>
      <c r="C10" s="34">
        <v>44958</v>
      </c>
      <c r="E10" s="18" t="s">
        <v>62</v>
      </c>
      <c r="F10" s="1"/>
      <c r="G10" s="1">
        <v>-163.35</v>
      </c>
      <c r="H10" t="s">
        <v>61</v>
      </c>
    </row>
    <row r="11" spans="1:9">
      <c r="B11" s="28"/>
      <c r="C11" s="34"/>
      <c r="E11" s="4"/>
      <c r="F11" s="4"/>
      <c r="G11" s="24"/>
    </row>
    <row r="12" spans="1:9">
      <c r="B12" s="28">
        <v>44895</v>
      </c>
      <c r="C12" s="34">
        <v>44866</v>
      </c>
      <c r="E12" s="18" t="s">
        <v>63</v>
      </c>
      <c r="F12" s="18"/>
      <c r="G12" s="1">
        <v>-99</v>
      </c>
      <c r="H12" t="s">
        <v>64</v>
      </c>
    </row>
    <row r="13" spans="1:9">
      <c r="B13" s="28"/>
      <c r="C13" s="34"/>
      <c r="E13" s="18"/>
      <c r="F13" s="18"/>
      <c r="G13" s="1"/>
    </row>
    <row r="14" spans="1:9">
      <c r="B14" s="28">
        <v>44987</v>
      </c>
      <c r="C14" s="34">
        <v>44986</v>
      </c>
      <c r="E14" s="18" t="s">
        <v>65</v>
      </c>
      <c r="F14" s="1"/>
      <c r="G14" s="1">
        <v>8304.68</v>
      </c>
      <c r="H14" t="s">
        <v>66</v>
      </c>
    </row>
    <row r="15" spans="1:9">
      <c r="B15" s="28">
        <v>45181</v>
      </c>
      <c r="C15" s="34">
        <v>45170</v>
      </c>
      <c r="E15" s="4" t="s">
        <v>67</v>
      </c>
      <c r="F15" s="24"/>
      <c r="G15" s="24">
        <v>186.64</v>
      </c>
      <c r="H15" t="s">
        <v>66</v>
      </c>
    </row>
    <row r="16" spans="1:9">
      <c r="B16" s="28">
        <v>45181</v>
      </c>
      <c r="C16" s="34">
        <v>45170</v>
      </c>
      <c r="E16" s="4" t="s">
        <v>68</v>
      </c>
      <c r="F16" s="24"/>
      <c r="G16" s="24">
        <v>2756.57</v>
      </c>
      <c r="H16" t="s">
        <v>66</v>
      </c>
    </row>
    <row r="17" spans="1:8">
      <c r="B17" s="28">
        <v>45216</v>
      </c>
      <c r="C17" s="34">
        <v>45200</v>
      </c>
      <c r="E17" s="4" t="s">
        <v>69</v>
      </c>
      <c r="F17" s="24"/>
      <c r="G17" s="24">
        <v>1140.6500000000001</v>
      </c>
      <c r="H17" t="s">
        <v>66</v>
      </c>
    </row>
    <row r="18" spans="1:8">
      <c r="B18" s="28">
        <v>45226</v>
      </c>
      <c r="C18" s="34">
        <v>45200</v>
      </c>
      <c r="E18" s="4" t="s">
        <v>70</v>
      </c>
      <c r="F18" s="24"/>
      <c r="G18" s="24">
        <v>600.80999999999995</v>
      </c>
      <c r="H18" t="s">
        <v>66</v>
      </c>
    </row>
    <row r="19" spans="1:8">
      <c r="B19" s="28">
        <v>45230</v>
      </c>
      <c r="C19" s="34">
        <v>45200</v>
      </c>
      <c r="E19" s="4" t="s">
        <v>71</v>
      </c>
      <c r="F19" s="24"/>
      <c r="G19" s="24">
        <v>6038.3</v>
      </c>
      <c r="H19" t="s">
        <v>66</v>
      </c>
    </row>
    <row r="20" spans="1:8">
      <c r="B20" s="28">
        <v>45473</v>
      </c>
      <c r="C20" s="34">
        <v>45444</v>
      </c>
      <c r="E20" s="4" t="s">
        <v>72</v>
      </c>
      <c r="F20" s="24"/>
      <c r="G20" s="24">
        <v>134.56</v>
      </c>
      <c r="H20" t="s">
        <v>66</v>
      </c>
    </row>
    <row r="21" spans="1:8">
      <c r="B21" s="28"/>
      <c r="C21" s="34"/>
      <c r="E21" s="4"/>
      <c r="F21" s="4"/>
      <c r="G21" s="24"/>
    </row>
    <row r="22" spans="1:8">
      <c r="B22" s="28">
        <v>45412</v>
      </c>
      <c r="C22" s="34">
        <v>45383</v>
      </c>
      <c r="E22" s="4" t="s">
        <v>73</v>
      </c>
      <c r="F22" s="4"/>
      <c r="G22" s="24">
        <v>-150</v>
      </c>
      <c r="H22" t="s">
        <v>74</v>
      </c>
    </row>
    <row r="23" spans="1:8">
      <c r="B23" s="28"/>
      <c r="C23" s="34"/>
      <c r="E23" s="4"/>
      <c r="F23" s="4"/>
      <c r="G23" s="24"/>
    </row>
    <row r="24" spans="1:8">
      <c r="B24" s="28">
        <v>44895</v>
      </c>
      <c r="C24" s="34">
        <v>44866</v>
      </c>
      <c r="E24" s="18" t="s">
        <v>63</v>
      </c>
      <c r="F24" s="1"/>
      <c r="G24" s="1">
        <v>-170</v>
      </c>
      <c r="H24" t="s">
        <v>75</v>
      </c>
    </row>
    <row r="25" spans="1:8">
      <c r="B25" s="28">
        <v>44926</v>
      </c>
      <c r="C25" s="34">
        <v>44896</v>
      </c>
      <c r="E25" s="18" t="s">
        <v>76</v>
      </c>
      <c r="F25" s="1"/>
      <c r="G25" s="1">
        <v>-250</v>
      </c>
      <c r="H25" t="s">
        <v>75</v>
      </c>
    </row>
    <row r="26" spans="1:8">
      <c r="B26" s="28">
        <v>44957</v>
      </c>
      <c r="C26" s="34">
        <v>44927</v>
      </c>
      <c r="E26" s="18" t="s">
        <v>77</v>
      </c>
      <c r="F26" s="1"/>
      <c r="G26" s="1">
        <v>-75.680000000000007</v>
      </c>
      <c r="H26" t="s">
        <v>75</v>
      </c>
    </row>
    <row r="27" spans="1:8">
      <c r="A27" s="3"/>
      <c r="B27" s="28">
        <v>44957</v>
      </c>
      <c r="C27" s="34">
        <v>44927</v>
      </c>
      <c r="E27" s="18" t="s">
        <v>78</v>
      </c>
      <c r="F27" s="1"/>
      <c r="G27" s="1">
        <v>-3644.62</v>
      </c>
      <c r="H27" t="s">
        <v>75</v>
      </c>
    </row>
    <row r="28" spans="1:8">
      <c r="B28" s="28">
        <v>45040</v>
      </c>
      <c r="C28" s="34">
        <v>45017</v>
      </c>
      <c r="E28" s="18" t="s">
        <v>79</v>
      </c>
      <c r="F28" s="1"/>
      <c r="G28" s="1">
        <v>-3225.1</v>
      </c>
      <c r="H28" t="s">
        <v>75</v>
      </c>
    </row>
    <row r="29" spans="1:8">
      <c r="B29" s="28">
        <v>45040</v>
      </c>
      <c r="C29" s="34">
        <v>45017</v>
      </c>
      <c r="E29" s="18" t="s">
        <v>80</v>
      </c>
      <c r="F29" s="1"/>
      <c r="G29" s="1">
        <v>-219.31</v>
      </c>
      <c r="H29" t="s">
        <v>75</v>
      </c>
    </row>
    <row r="30" spans="1:8">
      <c r="B30" s="28">
        <v>45138</v>
      </c>
      <c r="C30" s="34">
        <v>45108</v>
      </c>
      <c r="E30" s="4" t="s">
        <v>81</v>
      </c>
      <c r="F30" s="24"/>
      <c r="G30" s="24">
        <v>-1287.3699999999999</v>
      </c>
      <c r="H30" t="s">
        <v>75</v>
      </c>
    </row>
    <row r="31" spans="1:8">
      <c r="B31" s="28">
        <v>45169</v>
      </c>
      <c r="C31" s="34">
        <v>45139</v>
      </c>
      <c r="E31" s="4" t="s">
        <v>82</v>
      </c>
      <c r="F31" s="24"/>
      <c r="G31" s="24">
        <v>-96.59</v>
      </c>
      <c r="H31" t="s">
        <v>75</v>
      </c>
    </row>
    <row r="32" spans="1:8">
      <c r="B32" s="28">
        <v>45169</v>
      </c>
      <c r="C32" s="34">
        <v>45139</v>
      </c>
      <c r="E32" s="4" t="s">
        <v>82</v>
      </c>
      <c r="F32" s="24"/>
      <c r="G32" s="24">
        <v>-1268.0999999999999</v>
      </c>
      <c r="H32" t="s">
        <v>75</v>
      </c>
    </row>
    <row r="33" spans="2:8">
      <c r="B33" s="28"/>
      <c r="C33" s="34"/>
      <c r="E33" s="4"/>
      <c r="F33" s="4"/>
      <c r="G33" s="24"/>
    </row>
    <row r="34" spans="2:8">
      <c r="B34" s="28"/>
      <c r="C34" s="34"/>
      <c r="E34" s="4"/>
      <c r="F34" s="4"/>
      <c r="G34" s="24"/>
    </row>
    <row r="35" spans="2:8">
      <c r="B35" s="28">
        <v>45181</v>
      </c>
      <c r="C35" s="34">
        <v>45200</v>
      </c>
      <c r="E35" s="4" t="s">
        <v>83</v>
      </c>
      <c r="F35" s="24"/>
      <c r="G35" s="24">
        <v>26.74</v>
      </c>
      <c r="H35" t="s">
        <v>84</v>
      </c>
    </row>
    <row r="36" spans="2:8">
      <c r="B36" s="28">
        <v>45181</v>
      </c>
      <c r="C36" s="34">
        <v>45200</v>
      </c>
      <c r="E36" s="4" t="s">
        <v>85</v>
      </c>
      <c r="F36" s="24"/>
      <c r="G36" s="24">
        <v>26.74</v>
      </c>
      <c r="H36" t="s">
        <v>84</v>
      </c>
    </row>
    <row r="37" spans="2:8">
      <c r="B37" s="28"/>
      <c r="C37" s="34"/>
      <c r="E37" s="4"/>
      <c r="F37" s="4"/>
      <c r="G37" s="24"/>
    </row>
    <row r="38" spans="2:8">
      <c r="B38" s="28">
        <v>44895</v>
      </c>
      <c r="C38" s="34">
        <v>44866</v>
      </c>
      <c r="E38" s="18" t="s">
        <v>63</v>
      </c>
      <c r="F38" s="1"/>
      <c r="G38" s="1">
        <v>-360</v>
      </c>
      <c r="H38" t="s">
        <v>86</v>
      </c>
    </row>
    <row r="39" spans="2:8">
      <c r="B39" s="28">
        <v>44926</v>
      </c>
      <c r="C39" s="34">
        <v>44896</v>
      </c>
      <c r="E39" s="18" t="s">
        <v>76</v>
      </c>
      <c r="F39" s="1"/>
      <c r="G39" s="1">
        <v>-109</v>
      </c>
      <c r="H39" t="s">
        <v>86</v>
      </c>
    </row>
    <row r="40" spans="2:8">
      <c r="B40" s="28">
        <v>44957</v>
      </c>
      <c r="C40" s="34">
        <v>44927</v>
      </c>
      <c r="E40" s="18" t="s">
        <v>77</v>
      </c>
      <c r="F40" s="1"/>
      <c r="G40" s="1">
        <v>-55.67</v>
      </c>
      <c r="H40" t="s">
        <v>86</v>
      </c>
    </row>
    <row r="41" spans="2:8">
      <c r="B41" s="28">
        <v>44985</v>
      </c>
      <c r="C41" s="34">
        <v>44958</v>
      </c>
      <c r="E41" s="18" t="s">
        <v>87</v>
      </c>
      <c r="F41" s="1"/>
      <c r="G41" s="1">
        <v>-1000</v>
      </c>
      <c r="H41" t="s">
        <v>86</v>
      </c>
    </row>
    <row r="42" spans="2:8">
      <c r="B42" s="28">
        <v>45040</v>
      </c>
      <c r="C42" s="34">
        <v>45017</v>
      </c>
      <c r="E42" s="18" t="s">
        <v>79</v>
      </c>
      <c r="F42" s="1"/>
      <c r="G42" s="1">
        <v>-634.41</v>
      </c>
      <c r="H42" t="s">
        <v>86</v>
      </c>
    </row>
    <row r="43" spans="2:8">
      <c r="B43" s="28">
        <v>45077</v>
      </c>
      <c r="C43" s="34">
        <v>45047</v>
      </c>
      <c r="E43" s="18" t="s">
        <v>88</v>
      </c>
      <c r="F43" s="1"/>
      <c r="G43" s="1">
        <v>3859.51</v>
      </c>
      <c r="H43" t="s">
        <v>86</v>
      </c>
    </row>
    <row r="44" spans="2:8">
      <c r="B44" s="28">
        <v>45077</v>
      </c>
      <c r="C44" s="34">
        <v>45047</v>
      </c>
      <c r="E44" s="18" t="s">
        <v>88</v>
      </c>
      <c r="F44" s="1"/>
      <c r="G44" s="1">
        <v>219.31</v>
      </c>
      <c r="H44" t="s">
        <v>86</v>
      </c>
    </row>
    <row r="45" spans="2:8">
      <c r="B45" s="28">
        <v>45138</v>
      </c>
      <c r="C45" s="34">
        <v>45108</v>
      </c>
      <c r="E45" s="4" t="s">
        <v>81</v>
      </c>
      <c r="F45" s="24"/>
      <c r="G45" s="24">
        <v>-72.05</v>
      </c>
      <c r="H45" t="s">
        <v>86</v>
      </c>
    </row>
    <row r="46" spans="2:8">
      <c r="B46" s="28">
        <v>45169</v>
      </c>
      <c r="C46" s="34">
        <v>45139</v>
      </c>
      <c r="E46" s="4" t="s">
        <v>82</v>
      </c>
      <c r="F46" s="24"/>
      <c r="G46" s="24">
        <v>-91.4</v>
      </c>
      <c r="H46" t="s">
        <v>86</v>
      </c>
    </row>
    <row r="47" spans="2:8">
      <c r="B47" s="28"/>
      <c r="C47" s="34"/>
      <c r="E47" s="4"/>
      <c r="F47" s="4"/>
      <c r="G47" s="24"/>
    </row>
    <row r="48" spans="2:8">
      <c r="B48" s="28">
        <v>45113</v>
      </c>
      <c r="C48" s="34">
        <v>45108</v>
      </c>
      <c r="E48" s="4" t="s">
        <v>89</v>
      </c>
      <c r="F48" s="24"/>
      <c r="G48" s="24">
        <v>99</v>
      </c>
      <c r="H48" t="s">
        <v>90</v>
      </c>
    </row>
    <row r="49" spans="2:9">
      <c r="B49" s="28">
        <v>45230</v>
      </c>
      <c r="C49" s="34">
        <v>45200</v>
      </c>
      <c r="E49" s="4" t="s">
        <v>91</v>
      </c>
      <c r="F49" s="24"/>
      <c r="G49" s="24">
        <v>-257.01</v>
      </c>
      <c r="H49" t="s">
        <v>90</v>
      </c>
    </row>
    <row r="50" spans="2:9">
      <c r="B50" s="28">
        <v>45230</v>
      </c>
      <c r="C50" s="34">
        <v>45200</v>
      </c>
      <c r="E50" s="4" t="s">
        <v>92</v>
      </c>
      <c r="F50" s="24"/>
      <c r="G50" s="24">
        <v>233.23</v>
      </c>
      <c r="H50" t="s">
        <v>90</v>
      </c>
    </row>
    <row r="51" spans="2:9">
      <c r="B51" s="28">
        <v>45230</v>
      </c>
      <c r="C51" s="34">
        <v>45200</v>
      </c>
      <c r="E51" s="4" t="s">
        <v>92</v>
      </c>
      <c r="F51" s="24"/>
      <c r="G51" s="24">
        <v>29.42</v>
      </c>
      <c r="H51" t="s">
        <v>90</v>
      </c>
    </row>
    <row r="52" spans="2:9">
      <c r="B52" s="28">
        <v>45351</v>
      </c>
      <c r="C52" s="34">
        <v>45323</v>
      </c>
      <c r="E52" s="4" t="s">
        <v>93</v>
      </c>
      <c r="F52" s="24"/>
      <c r="G52" s="24">
        <v>-294.83999999999997</v>
      </c>
      <c r="H52" t="s">
        <v>90</v>
      </c>
      <c r="I52" s="2"/>
    </row>
    <row r="53" spans="2:9">
      <c r="B53" s="28">
        <v>45382</v>
      </c>
      <c r="C53" s="34">
        <v>45352</v>
      </c>
      <c r="E53" s="4" t="s">
        <v>94</v>
      </c>
      <c r="F53" s="24"/>
      <c r="G53" s="24">
        <v>358.9</v>
      </c>
      <c r="H53" t="s">
        <v>90</v>
      </c>
      <c r="I53" s="2"/>
    </row>
    <row r="54" spans="2:9">
      <c r="B54" s="28"/>
      <c r="C54" s="34"/>
      <c r="E54" s="4"/>
      <c r="F54" s="4"/>
      <c r="G54" s="24"/>
      <c r="I54" s="2"/>
    </row>
    <row r="55" spans="2:9">
      <c r="B55" s="28">
        <v>44895</v>
      </c>
      <c r="C55" s="34">
        <v>44866</v>
      </c>
      <c r="E55" s="18" t="s">
        <v>63</v>
      </c>
      <c r="F55" s="1"/>
      <c r="G55" s="1">
        <v>-600</v>
      </c>
      <c r="H55" t="s">
        <v>95</v>
      </c>
      <c r="I55" s="2"/>
    </row>
    <row r="56" spans="2:9">
      <c r="B56" s="28">
        <v>44926</v>
      </c>
      <c r="C56" s="34">
        <v>44896</v>
      </c>
      <c r="E56" s="18" t="s">
        <v>76</v>
      </c>
      <c r="F56" s="1"/>
      <c r="G56" s="1">
        <v>-100</v>
      </c>
      <c r="H56" t="s">
        <v>95</v>
      </c>
      <c r="I56" s="2"/>
    </row>
    <row r="57" spans="2:9">
      <c r="B57" s="28">
        <v>44957</v>
      </c>
      <c r="C57" s="34">
        <v>44927</v>
      </c>
      <c r="E57" s="18" t="s">
        <v>96</v>
      </c>
      <c r="F57" s="1"/>
      <c r="G57" s="1">
        <v>91</v>
      </c>
      <c r="H57" t="s">
        <v>95</v>
      </c>
      <c r="I57" s="2"/>
    </row>
    <row r="58" spans="2:9">
      <c r="B58" s="28">
        <v>44985</v>
      </c>
      <c r="C58" s="34">
        <v>44958</v>
      </c>
      <c r="E58" s="18" t="s">
        <v>96</v>
      </c>
      <c r="F58" s="1"/>
      <c r="G58" s="1">
        <v>393</v>
      </c>
      <c r="H58" t="s">
        <v>95</v>
      </c>
      <c r="I58" s="2"/>
    </row>
    <row r="59" spans="2:9">
      <c r="B59" s="28">
        <v>45016</v>
      </c>
      <c r="C59" s="34">
        <v>44986</v>
      </c>
      <c r="E59" s="18" t="s">
        <v>97</v>
      </c>
      <c r="F59" s="1"/>
      <c r="G59" s="1">
        <v>-145.5</v>
      </c>
      <c r="H59" t="s">
        <v>95</v>
      </c>
      <c r="I59" s="2"/>
    </row>
    <row r="60" spans="2:9">
      <c r="B60" s="28">
        <v>45016</v>
      </c>
      <c r="C60" s="34">
        <v>44986</v>
      </c>
      <c r="E60" s="18" t="s">
        <v>98</v>
      </c>
      <c r="F60" s="1"/>
      <c r="G60" s="1">
        <v>145</v>
      </c>
      <c r="H60" t="s">
        <v>95</v>
      </c>
      <c r="I60" s="2"/>
    </row>
    <row r="61" spans="2:9">
      <c r="B61" s="28">
        <v>45077</v>
      </c>
      <c r="C61" s="34">
        <v>45047</v>
      </c>
      <c r="E61" s="18" t="s">
        <v>99</v>
      </c>
      <c r="F61" s="1"/>
      <c r="G61" s="1">
        <v>-141.53</v>
      </c>
      <c r="H61" t="s">
        <v>95</v>
      </c>
      <c r="I61" s="2"/>
    </row>
    <row r="62" spans="2:9">
      <c r="B62" s="28">
        <v>45107</v>
      </c>
      <c r="C62" s="34">
        <v>45078</v>
      </c>
      <c r="E62" s="18" t="s">
        <v>99</v>
      </c>
      <c r="F62" s="1"/>
      <c r="G62" s="1">
        <v>-142</v>
      </c>
      <c r="H62" t="s">
        <v>95</v>
      </c>
      <c r="I62" s="2"/>
    </row>
    <row r="63" spans="2:9">
      <c r="B63" s="28">
        <v>45169</v>
      </c>
      <c r="C63" s="34">
        <v>45139</v>
      </c>
      <c r="E63" s="4" t="s">
        <v>98</v>
      </c>
      <c r="F63" s="24"/>
      <c r="G63" s="24">
        <v>132.75</v>
      </c>
      <c r="H63" t="s">
        <v>95</v>
      </c>
      <c r="I63" s="2"/>
    </row>
    <row r="64" spans="2:9">
      <c r="B64" s="28">
        <v>45198</v>
      </c>
      <c r="C64" s="34">
        <v>45170</v>
      </c>
      <c r="E64" s="4" t="s">
        <v>100</v>
      </c>
      <c r="F64" s="24"/>
      <c r="G64" s="24">
        <v>-140</v>
      </c>
      <c r="H64" t="s">
        <v>95</v>
      </c>
      <c r="I64" s="2"/>
    </row>
    <row r="65" spans="2:9">
      <c r="B65" s="28"/>
      <c r="C65" s="34"/>
      <c r="E65" s="4"/>
      <c r="F65" s="4"/>
      <c r="G65" s="24"/>
      <c r="I65" s="2"/>
    </row>
    <row r="66" spans="2:9">
      <c r="B66" s="28">
        <v>45138</v>
      </c>
      <c r="C66" s="34">
        <v>45108</v>
      </c>
      <c r="E66" s="4" t="s">
        <v>101</v>
      </c>
      <c r="F66" s="24"/>
      <c r="G66" s="24">
        <v>-460</v>
      </c>
      <c r="H66" t="s">
        <v>102</v>
      </c>
      <c r="I66" s="2"/>
    </row>
    <row r="67" spans="2:9">
      <c r="B67" s="28"/>
      <c r="C67" s="34"/>
      <c r="E67" s="4"/>
      <c r="F67" s="4"/>
      <c r="G67" s="24"/>
      <c r="I67" s="2"/>
    </row>
    <row r="68" spans="2:9">
      <c r="B68" s="28">
        <v>45217</v>
      </c>
      <c r="C68" s="34">
        <v>45200</v>
      </c>
      <c r="E68" s="4" t="s">
        <v>103</v>
      </c>
      <c r="F68" s="4"/>
      <c r="G68" s="24">
        <v>174</v>
      </c>
      <c r="H68" t="s">
        <v>104</v>
      </c>
      <c r="I68" s="2"/>
    </row>
    <row r="69" spans="2:9">
      <c r="B69" s="28"/>
      <c r="C69" s="34"/>
      <c r="E69" s="35"/>
      <c r="F69" s="24"/>
      <c r="G69" s="24"/>
      <c r="I69" s="2"/>
    </row>
    <row r="70" spans="2:9">
      <c r="B70" s="28">
        <v>45657</v>
      </c>
      <c r="C70" s="34">
        <f>B70</f>
        <v>45657</v>
      </c>
      <c r="E70" s="4" t="s">
        <v>105</v>
      </c>
      <c r="F70" s="4"/>
      <c r="G70" s="24">
        <v>-330.76</v>
      </c>
      <c r="H70" t="s">
        <v>106</v>
      </c>
      <c r="I70" s="2"/>
    </row>
    <row r="71" spans="2:9">
      <c r="B71" s="28"/>
      <c r="C71" s="34"/>
      <c r="E71" s="4"/>
      <c r="F71" s="4"/>
      <c r="G71" s="24"/>
      <c r="I71" s="2"/>
    </row>
    <row r="72" spans="2:9">
      <c r="B72" s="28">
        <v>44926</v>
      </c>
      <c r="C72" s="34">
        <v>44896</v>
      </c>
      <c r="E72" s="18" t="s">
        <v>76</v>
      </c>
      <c r="F72" s="1"/>
      <c r="G72" s="1">
        <v>-70</v>
      </c>
      <c r="H72" t="s">
        <v>107</v>
      </c>
      <c r="I72" s="2"/>
    </row>
    <row r="73" spans="2:9">
      <c r="B73" s="28">
        <v>45046</v>
      </c>
      <c r="C73" s="34">
        <v>45017</v>
      </c>
      <c r="E73" s="18" t="s">
        <v>108</v>
      </c>
      <c r="F73" s="1"/>
      <c r="G73" s="1">
        <v>-128.97999999999999</v>
      </c>
      <c r="H73" t="s">
        <v>107</v>
      </c>
      <c r="I73" s="2"/>
    </row>
    <row r="74" spans="2:9">
      <c r="B74" s="28">
        <v>45077</v>
      </c>
      <c r="C74" s="34">
        <v>45047</v>
      </c>
      <c r="E74" s="18" t="s">
        <v>99</v>
      </c>
      <c r="F74" s="1"/>
      <c r="G74" s="1">
        <v>-118.01</v>
      </c>
      <c r="H74" t="s">
        <v>107</v>
      </c>
      <c r="I74" s="2"/>
    </row>
    <row r="75" spans="2:9">
      <c r="B75" s="28">
        <v>45107</v>
      </c>
      <c r="C75" s="34">
        <v>45078</v>
      </c>
      <c r="E75" s="18" t="s">
        <v>99</v>
      </c>
      <c r="F75" s="1"/>
      <c r="G75" s="1">
        <v>-118</v>
      </c>
      <c r="H75" t="s">
        <v>107</v>
      </c>
      <c r="I75" s="2"/>
    </row>
    <row r="76" spans="2:9">
      <c r="B76" s="28">
        <v>45138</v>
      </c>
      <c r="C76" s="34">
        <v>45108</v>
      </c>
      <c r="E76" s="4" t="s">
        <v>109</v>
      </c>
      <c r="F76" s="24"/>
      <c r="G76" s="24">
        <v>-118</v>
      </c>
      <c r="H76" t="s">
        <v>107</v>
      </c>
      <c r="I76" s="2"/>
    </row>
    <row r="77" spans="2:9">
      <c r="B77" s="28">
        <v>45198</v>
      </c>
      <c r="C77" s="34">
        <v>45170</v>
      </c>
      <c r="E77" s="4" t="s">
        <v>100</v>
      </c>
      <c r="F77" s="24"/>
      <c r="G77" s="24">
        <v>-118</v>
      </c>
      <c r="H77" t="s">
        <v>107</v>
      </c>
      <c r="I77" s="2"/>
    </row>
    <row r="78" spans="2:9">
      <c r="B78" s="28">
        <v>45230</v>
      </c>
      <c r="C78" s="34">
        <v>45200</v>
      </c>
      <c r="E78" s="4" t="s">
        <v>99</v>
      </c>
      <c r="F78" s="24"/>
      <c r="G78" s="24">
        <v>-118</v>
      </c>
      <c r="H78" t="s">
        <v>107</v>
      </c>
      <c r="I78" s="2"/>
    </row>
    <row r="79" spans="2:9">
      <c r="B79" s="28">
        <v>45260</v>
      </c>
      <c r="C79" s="34">
        <v>45231</v>
      </c>
      <c r="E79" s="4" t="s">
        <v>99</v>
      </c>
      <c r="F79" s="24"/>
      <c r="G79" s="24">
        <v>-118</v>
      </c>
      <c r="H79" t="s">
        <v>107</v>
      </c>
      <c r="I79" s="2"/>
    </row>
    <row r="80" spans="2:9">
      <c r="B80" s="28">
        <v>45291</v>
      </c>
      <c r="C80" s="34">
        <v>45261</v>
      </c>
      <c r="E80" s="4" t="s">
        <v>99</v>
      </c>
      <c r="F80" s="24"/>
      <c r="G80" s="24">
        <v>-118</v>
      </c>
      <c r="H80" t="s">
        <v>107</v>
      </c>
      <c r="I80" s="2"/>
    </row>
    <row r="81" spans="2:9">
      <c r="B81" s="28"/>
      <c r="C81" s="34"/>
      <c r="E81" s="4"/>
      <c r="F81" s="4"/>
      <c r="G81" s="24"/>
      <c r="I81" s="2"/>
    </row>
    <row r="82" spans="2:9">
      <c r="B82" s="28">
        <v>45107</v>
      </c>
      <c r="C82" s="34">
        <v>45078</v>
      </c>
      <c r="E82" s="18" t="s">
        <v>110</v>
      </c>
      <c r="F82" s="1"/>
      <c r="G82" s="1">
        <v>-95</v>
      </c>
      <c r="H82" t="s">
        <v>111</v>
      </c>
      <c r="I82" s="2"/>
    </row>
    <row r="83" spans="2:9">
      <c r="B83" s="28">
        <v>45138</v>
      </c>
      <c r="C83" s="34">
        <v>45108</v>
      </c>
      <c r="E83" s="4" t="s">
        <v>81</v>
      </c>
      <c r="F83" s="24"/>
      <c r="G83" s="24">
        <v>-95</v>
      </c>
      <c r="H83" t="s">
        <v>111</v>
      </c>
      <c r="I83" s="2"/>
    </row>
    <row r="84" spans="2:9">
      <c r="B84" s="28">
        <v>45230</v>
      </c>
      <c r="C84" s="34">
        <v>45231</v>
      </c>
      <c r="E84" s="4" t="s">
        <v>112</v>
      </c>
      <c r="F84" s="24"/>
      <c r="G84" s="24">
        <v>96.76</v>
      </c>
      <c r="H84" t="s">
        <v>111</v>
      </c>
      <c r="I84" s="2"/>
    </row>
    <row r="85" spans="2:9">
      <c r="B85" s="28"/>
      <c r="C85" s="34"/>
      <c r="E85" s="4"/>
      <c r="F85" s="4"/>
      <c r="G85" s="24"/>
      <c r="I85" s="2"/>
    </row>
    <row r="86" spans="2:9">
      <c r="B86" s="28">
        <v>44957</v>
      </c>
      <c r="C86" s="34">
        <v>44927</v>
      </c>
      <c r="E86" s="18" t="s">
        <v>113</v>
      </c>
      <c r="F86" s="1"/>
      <c r="G86" s="1">
        <v>-56.63</v>
      </c>
      <c r="H86" t="s">
        <v>114</v>
      </c>
      <c r="I86" s="2"/>
    </row>
    <row r="87" spans="2:9">
      <c r="B87" s="28">
        <v>44985</v>
      </c>
      <c r="C87" s="34">
        <v>44958</v>
      </c>
      <c r="E87" s="18" t="s">
        <v>113</v>
      </c>
      <c r="F87" s="1"/>
      <c r="G87" s="1">
        <v>-66.11</v>
      </c>
      <c r="H87" t="s">
        <v>114</v>
      </c>
      <c r="I87" s="2"/>
    </row>
    <row r="88" spans="2:9">
      <c r="B88" s="28">
        <v>45016</v>
      </c>
      <c r="C88" s="34">
        <v>44986</v>
      </c>
      <c r="E88" s="18" t="s">
        <v>113</v>
      </c>
      <c r="F88" s="1"/>
      <c r="G88" s="1">
        <v>-66.11</v>
      </c>
      <c r="H88" t="s">
        <v>114</v>
      </c>
      <c r="I88" s="2"/>
    </row>
    <row r="89" spans="2:9">
      <c r="B89" s="28">
        <v>45046</v>
      </c>
      <c r="C89" s="34">
        <v>45017</v>
      </c>
      <c r="E89" s="18" t="s">
        <v>113</v>
      </c>
      <c r="F89" s="1"/>
      <c r="G89" s="1">
        <v>-66.11</v>
      </c>
      <c r="H89" t="s">
        <v>114</v>
      </c>
      <c r="I89" s="2"/>
    </row>
    <row r="90" spans="2:9">
      <c r="B90" s="28">
        <v>45077</v>
      </c>
      <c r="C90" s="34">
        <v>45047</v>
      </c>
      <c r="E90" s="18" t="s">
        <v>113</v>
      </c>
      <c r="F90" s="1"/>
      <c r="G90" s="1">
        <v>-66.11</v>
      </c>
      <c r="H90" t="s">
        <v>114</v>
      </c>
      <c r="I90" s="2"/>
    </row>
    <row r="91" spans="2:9">
      <c r="B91" s="28">
        <v>45107</v>
      </c>
      <c r="C91" s="34">
        <v>45078</v>
      </c>
      <c r="E91" s="4" t="s">
        <v>113</v>
      </c>
      <c r="F91" s="24"/>
      <c r="G91" s="24">
        <v>-66.11</v>
      </c>
      <c r="H91" t="s">
        <v>114</v>
      </c>
      <c r="I91" s="2"/>
    </row>
    <row r="92" spans="2:9">
      <c r="B92" s="28">
        <v>45138</v>
      </c>
      <c r="C92" s="34">
        <v>45108</v>
      </c>
      <c r="E92" s="4" t="s">
        <v>81</v>
      </c>
      <c r="F92" s="24"/>
      <c r="G92" s="24">
        <v>-66.11</v>
      </c>
      <c r="H92" t="s">
        <v>114</v>
      </c>
      <c r="I92" s="2"/>
    </row>
    <row r="93" spans="2:9">
      <c r="B93" s="28">
        <v>45291</v>
      </c>
      <c r="C93" s="34">
        <v>45261</v>
      </c>
      <c r="E93" s="4" t="s">
        <v>115</v>
      </c>
      <c r="F93" s="24"/>
      <c r="G93" s="24">
        <f>-66.11+13.2+13.2+14.4-12-12</f>
        <v>-49.309999999999995</v>
      </c>
      <c r="H93" t="s">
        <v>114</v>
      </c>
      <c r="I93" s="2"/>
    </row>
    <row r="94" spans="2:9">
      <c r="B94" s="3"/>
      <c r="C94" s="3"/>
      <c r="E94" s="4"/>
      <c r="F94" s="4"/>
      <c r="G94" s="24"/>
      <c r="I94" s="2"/>
    </row>
    <row r="95" spans="2:9">
      <c r="B95" s="28">
        <v>45504</v>
      </c>
      <c r="C95" s="34">
        <v>45474</v>
      </c>
      <c r="E95" s="4" t="s">
        <v>116</v>
      </c>
      <c r="F95" s="24"/>
      <c r="G95" s="24">
        <v>1703.58</v>
      </c>
      <c r="I95" s="2"/>
    </row>
    <row r="96" spans="2:9">
      <c r="B96" s="28">
        <v>45596</v>
      </c>
      <c r="C96" s="34">
        <v>45566</v>
      </c>
      <c r="E96" s="4" t="s">
        <v>117</v>
      </c>
      <c r="F96" s="24"/>
      <c r="G96" s="24">
        <v>-622.16999999999996</v>
      </c>
      <c r="I96" s="2"/>
    </row>
    <row r="97" spans="2:9">
      <c r="B97" s="28">
        <v>45609</v>
      </c>
      <c r="C97" s="34">
        <f>B97</f>
        <v>45609</v>
      </c>
      <c r="E97" s="4" t="s">
        <v>118</v>
      </c>
      <c r="F97" s="24"/>
      <c r="G97" s="24">
        <v>500</v>
      </c>
      <c r="I97" s="2"/>
    </row>
    <row r="98" spans="2:9">
      <c r="B98" s="28"/>
      <c r="C98" s="34"/>
      <c r="E98" s="4"/>
      <c r="F98" s="24"/>
      <c r="G98" s="24"/>
      <c r="I98" s="2"/>
    </row>
    <row r="99" spans="2:9" s="38" customFormat="1" ht="5.45" customHeight="1">
      <c r="B99" s="39"/>
      <c r="C99" s="40"/>
      <c r="E99" s="41"/>
      <c r="F99" s="42"/>
      <c r="G99" s="42"/>
      <c r="I99" s="43"/>
    </row>
    <row r="100" spans="2:9">
      <c r="B100" s="28"/>
      <c r="C100" s="34"/>
      <c r="E100" s="4"/>
      <c r="F100" s="24"/>
      <c r="G100" s="24"/>
      <c r="I100" s="2"/>
    </row>
    <row r="101" spans="2:9">
      <c r="B101" s="28">
        <v>45747</v>
      </c>
      <c r="C101" s="34">
        <f>B101</f>
        <v>45747</v>
      </c>
      <c r="E101" s="21" t="s">
        <v>119</v>
      </c>
      <c r="F101" s="21"/>
      <c r="G101" s="24">
        <v>-268.49</v>
      </c>
      <c r="H101" t="s">
        <v>120</v>
      </c>
      <c r="I101" s="2"/>
    </row>
    <row r="102" spans="2:9">
      <c r="B102" s="28"/>
      <c r="C102" s="34"/>
      <c r="E102" s="21"/>
      <c r="F102" s="21"/>
      <c r="G102" s="24"/>
      <c r="I102" s="2"/>
    </row>
    <row r="103" spans="2:9">
      <c r="B103" s="28">
        <v>45716</v>
      </c>
      <c r="C103" s="34">
        <f>B103</f>
        <v>45716</v>
      </c>
      <c r="E103" s="21" t="s">
        <v>121</v>
      </c>
      <c r="F103" s="21"/>
      <c r="G103" s="24">
        <v>-132</v>
      </c>
      <c r="H103" t="s">
        <v>122</v>
      </c>
      <c r="I103" s="2"/>
    </row>
    <row r="104" spans="2:9">
      <c r="B104" s="28">
        <v>45716</v>
      </c>
      <c r="C104" s="34">
        <f>B104</f>
        <v>45716</v>
      </c>
      <c r="E104" s="21" t="s">
        <v>123</v>
      </c>
      <c r="F104" s="21"/>
      <c r="G104" s="24">
        <v>132</v>
      </c>
      <c r="H104" t="s">
        <v>122</v>
      </c>
      <c r="I104" s="2"/>
    </row>
    <row r="105" spans="2:9">
      <c r="B105" s="28"/>
      <c r="C105" s="34"/>
      <c r="E105" s="21"/>
      <c r="F105" s="21"/>
      <c r="G105" s="24"/>
      <c r="I105" s="2"/>
    </row>
    <row r="106" spans="2:9">
      <c r="B106" s="28">
        <v>45930</v>
      </c>
      <c r="C106" s="34">
        <v>45901</v>
      </c>
      <c r="E106" s="4" t="s">
        <v>124</v>
      </c>
      <c r="F106" s="21"/>
      <c r="G106" s="24">
        <v>-350.61</v>
      </c>
      <c r="H106" t="s">
        <v>106</v>
      </c>
      <c r="I106" s="2"/>
    </row>
    <row r="107" spans="2:9">
      <c r="B107" s="28"/>
      <c r="C107" s="34"/>
      <c r="E107" s="21"/>
      <c r="F107" s="21"/>
      <c r="G107" s="24"/>
      <c r="I107" s="2"/>
    </row>
    <row r="108" spans="2:9">
      <c r="B108" s="28">
        <v>45688</v>
      </c>
      <c r="C108" s="34">
        <f>B108</f>
        <v>45688</v>
      </c>
      <c r="E108" s="21" t="s">
        <v>125</v>
      </c>
      <c r="F108" s="21"/>
      <c r="G108" s="24">
        <v>-818.86</v>
      </c>
      <c r="H108" t="s">
        <v>90</v>
      </c>
      <c r="I108" s="2"/>
    </row>
    <row r="109" spans="2:9" hidden="1">
      <c r="B109" s="28">
        <v>45777</v>
      </c>
      <c r="C109" s="34">
        <v>45748</v>
      </c>
      <c r="E109" s="21" t="s">
        <v>126</v>
      </c>
      <c r="F109" s="21"/>
      <c r="G109" s="24">
        <v>-508.91</v>
      </c>
      <c r="H109" t="s">
        <v>90</v>
      </c>
      <c r="I109" s="2"/>
    </row>
    <row r="110" spans="2:9" hidden="1">
      <c r="B110" s="28">
        <v>45777</v>
      </c>
      <c r="C110" s="34">
        <v>45748</v>
      </c>
      <c r="E110" s="21" t="s">
        <v>127</v>
      </c>
      <c r="F110" s="21"/>
      <c r="G110" s="24">
        <v>-577.41999999999996</v>
      </c>
      <c r="H110" t="s">
        <v>90</v>
      </c>
      <c r="I110" s="2"/>
    </row>
    <row r="111" spans="2:9" hidden="1">
      <c r="B111" s="28">
        <v>45808</v>
      </c>
      <c r="C111" s="34">
        <v>45778</v>
      </c>
      <c r="E111" s="44" t="s">
        <v>128</v>
      </c>
      <c r="F111" s="21"/>
      <c r="G111" s="24">
        <v>-567.26</v>
      </c>
      <c r="H111" t="s">
        <v>90</v>
      </c>
      <c r="I111" s="2"/>
    </row>
    <row r="112" spans="2:9" hidden="1">
      <c r="B112" s="28">
        <v>45808</v>
      </c>
      <c r="C112" s="34">
        <v>45778</v>
      </c>
      <c r="E112" s="44" t="s">
        <v>129</v>
      </c>
      <c r="F112" s="21"/>
      <c r="G112" s="24">
        <v>577.41999999999996</v>
      </c>
      <c r="H112" t="s">
        <v>90</v>
      </c>
      <c r="I112" s="2"/>
    </row>
    <row r="113" spans="2:9" hidden="1">
      <c r="B113" s="28">
        <v>45838</v>
      </c>
      <c r="C113" s="34">
        <v>45809</v>
      </c>
      <c r="E113" s="44" t="s">
        <v>130</v>
      </c>
      <c r="F113" s="21"/>
      <c r="G113" s="24">
        <v>567.26</v>
      </c>
      <c r="H113" t="s">
        <v>90</v>
      </c>
      <c r="I113" s="2"/>
    </row>
    <row r="114" spans="2:9" hidden="1">
      <c r="B114" s="28">
        <v>45838</v>
      </c>
      <c r="C114" s="34">
        <v>45809</v>
      </c>
      <c r="E114" s="44" t="s">
        <v>131</v>
      </c>
      <c r="F114" s="21"/>
      <c r="G114" s="24">
        <v>508.91</v>
      </c>
      <c r="H114" t="s">
        <v>90</v>
      </c>
      <c r="I114" s="2"/>
    </row>
    <row r="115" spans="2:9" hidden="1">
      <c r="B115" s="28">
        <v>45838</v>
      </c>
      <c r="C115" s="34">
        <v>45809</v>
      </c>
      <c r="E115" s="44" t="s">
        <v>132</v>
      </c>
      <c r="F115" s="21"/>
      <c r="G115" s="24">
        <v>574.51</v>
      </c>
      <c r="H115" t="s">
        <v>90</v>
      </c>
      <c r="I115" s="2"/>
    </row>
    <row r="116" spans="2:9" hidden="1">
      <c r="B116" s="28">
        <v>45838</v>
      </c>
      <c r="C116" s="34">
        <v>45809</v>
      </c>
      <c r="E116" s="44" t="s">
        <v>133</v>
      </c>
      <c r="F116" s="21"/>
      <c r="G116" s="24">
        <v>463.4</v>
      </c>
      <c r="H116" t="s">
        <v>90</v>
      </c>
      <c r="I116" s="2"/>
    </row>
    <row r="117" spans="2:9">
      <c r="B117" s="28">
        <v>45838</v>
      </c>
      <c r="C117" s="34">
        <v>45809</v>
      </c>
      <c r="E117" s="44" t="s">
        <v>134</v>
      </c>
      <c r="F117" s="21"/>
      <c r="G117" s="24">
        <v>501.48</v>
      </c>
      <c r="H117" t="s">
        <v>90</v>
      </c>
      <c r="I117" s="2"/>
    </row>
    <row r="118" spans="2:9" hidden="1">
      <c r="B118" s="28">
        <v>45838</v>
      </c>
      <c r="C118" s="34">
        <v>45809</v>
      </c>
      <c r="E118" s="4" t="s">
        <v>135</v>
      </c>
      <c r="F118" s="21"/>
      <c r="G118" s="24">
        <v>-463.4</v>
      </c>
      <c r="H118" t="s">
        <v>90</v>
      </c>
      <c r="I118" s="2"/>
    </row>
    <row r="119" spans="2:9" hidden="1">
      <c r="B119" s="28">
        <v>45838</v>
      </c>
      <c r="C119" s="34">
        <v>45809</v>
      </c>
      <c r="E119" s="4" t="s">
        <v>136</v>
      </c>
      <c r="F119" s="21"/>
      <c r="G119" s="24">
        <v>-574.51</v>
      </c>
      <c r="H119" t="s">
        <v>90</v>
      </c>
      <c r="I119" s="2"/>
    </row>
    <row r="120" spans="2:9" hidden="1">
      <c r="B120" s="28">
        <v>45869</v>
      </c>
      <c r="C120" s="34">
        <v>45839</v>
      </c>
      <c r="E120" s="4" t="s">
        <v>137</v>
      </c>
      <c r="F120" s="21"/>
      <c r="G120" s="24">
        <v>619.96</v>
      </c>
      <c r="H120" t="s">
        <v>90</v>
      </c>
      <c r="I120" s="2"/>
    </row>
    <row r="121" spans="2:9" hidden="1">
      <c r="B121" s="28">
        <v>45869</v>
      </c>
      <c r="C121" s="34">
        <v>45839</v>
      </c>
      <c r="E121" s="4" t="s">
        <v>138</v>
      </c>
      <c r="F121" s="21"/>
      <c r="G121" s="24">
        <v>-619.96</v>
      </c>
      <c r="H121" t="s">
        <v>90</v>
      </c>
      <c r="I121" s="2"/>
    </row>
    <row r="122" spans="2:9" hidden="1">
      <c r="B122" s="28">
        <v>45869</v>
      </c>
      <c r="C122" s="34">
        <v>45839</v>
      </c>
      <c r="E122" s="4" t="s">
        <v>139</v>
      </c>
      <c r="F122" s="21"/>
      <c r="G122" s="24">
        <v>-485.45</v>
      </c>
      <c r="H122" t="s">
        <v>90</v>
      </c>
      <c r="I122" s="2"/>
    </row>
    <row r="123" spans="2:9" hidden="1">
      <c r="B123" s="28">
        <v>45900</v>
      </c>
      <c r="C123" s="34">
        <v>45870</v>
      </c>
      <c r="E123" s="4" t="s">
        <v>140</v>
      </c>
      <c r="F123" s="21"/>
      <c r="G123" s="24">
        <v>485.45</v>
      </c>
      <c r="H123" t="s">
        <v>90</v>
      </c>
      <c r="I123" s="2"/>
    </row>
    <row r="124" spans="2:9" hidden="1">
      <c r="B124" s="28">
        <v>45900</v>
      </c>
      <c r="C124" s="34">
        <v>45870</v>
      </c>
      <c r="E124" s="4" t="s">
        <v>141</v>
      </c>
      <c r="F124" s="21"/>
      <c r="G124" s="24">
        <v>524.25</v>
      </c>
      <c r="H124" t="s">
        <v>90</v>
      </c>
      <c r="I124" s="2"/>
    </row>
    <row r="125" spans="2:9" hidden="1">
      <c r="B125" s="28">
        <v>45900</v>
      </c>
      <c r="C125" s="34">
        <v>45870</v>
      </c>
      <c r="E125" s="4" t="s">
        <v>142</v>
      </c>
      <c r="F125" s="21"/>
      <c r="G125" s="24">
        <v>-524.25</v>
      </c>
      <c r="H125" t="s">
        <v>90</v>
      </c>
      <c r="I125" s="2"/>
    </row>
    <row r="126" spans="2:9">
      <c r="B126" s="28">
        <v>45900</v>
      </c>
      <c r="C126" s="34">
        <v>45870</v>
      </c>
      <c r="E126" s="4" t="s">
        <v>143</v>
      </c>
      <c r="F126" s="21"/>
      <c r="G126" s="24">
        <v>-649.79999999999995</v>
      </c>
      <c r="H126" t="s">
        <v>90</v>
      </c>
      <c r="I126" s="2"/>
    </row>
    <row r="127" spans="2:9">
      <c r="B127" s="28">
        <v>45930</v>
      </c>
      <c r="C127" s="34">
        <v>45901</v>
      </c>
      <c r="E127" s="4" t="s">
        <v>144</v>
      </c>
      <c r="F127" s="21"/>
      <c r="G127" s="24">
        <v>-621.32000000000005</v>
      </c>
      <c r="H127" t="s">
        <v>90</v>
      </c>
      <c r="I127" s="2"/>
    </row>
    <row r="128" spans="2:9">
      <c r="B128" s="28"/>
      <c r="C128" s="34"/>
      <c r="E128" s="4"/>
      <c r="F128" s="21"/>
      <c r="G128" s="24"/>
      <c r="I128" s="2"/>
    </row>
    <row r="129" spans="2:9">
      <c r="B129" s="28">
        <v>45930</v>
      </c>
      <c r="C129" s="34">
        <v>45901</v>
      </c>
      <c r="E129" s="4" t="s">
        <v>145</v>
      </c>
      <c r="F129" s="21"/>
      <c r="G129" s="24">
        <v>-1751</v>
      </c>
      <c r="H129" t="s">
        <v>61</v>
      </c>
      <c r="I129" s="2"/>
    </row>
    <row r="130" spans="2:9">
      <c r="B130" s="28"/>
      <c r="C130" s="34"/>
      <c r="E130" s="4"/>
      <c r="F130" s="21"/>
      <c r="G130" s="24"/>
      <c r="I130" s="2"/>
    </row>
    <row r="131" spans="2:9">
      <c r="B131" s="28">
        <v>45747</v>
      </c>
      <c r="C131" s="34">
        <f>B131</f>
        <v>45747</v>
      </c>
      <c r="E131" s="21" t="s">
        <v>146</v>
      </c>
      <c r="F131" s="21"/>
      <c r="G131" s="24">
        <v>-500</v>
      </c>
      <c r="H131" t="s">
        <v>102</v>
      </c>
      <c r="I131" s="2"/>
    </row>
    <row r="132" spans="2:9">
      <c r="B132" s="28">
        <v>45777</v>
      </c>
      <c r="C132" s="34">
        <v>45748</v>
      </c>
      <c r="E132" s="21" t="s">
        <v>146</v>
      </c>
      <c r="F132" s="21"/>
      <c r="G132" s="24">
        <v>-500</v>
      </c>
      <c r="H132" t="s">
        <v>102</v>
      </c>
      <c r="I132" s="2"/>
    </row>
    <row r="133" spans="2:9">
      <c r="B133" s="28"/>
      <c r="C133" s="34"/>
      <c r="E133" s="21"/>
      <c r="F133" s="21"/>
      <c r="G133" s="24"/>
      <c r="I133" s="2"/>
    </row>
    <row r="134" spans="2:9">
      <c r="B134" s="28">
        <v>45688</v>
      </c>
      <c r="C134" s="34">
        <f>B134</f>
        <v>45688</v>
      </c>
      <c r="E134" s="4" t="s">
        <v>147</v>
      </c>
      <c r="F134" s="4"/>
      <c r="G134" s="24">
        <v>-66.89</v>
      </c>
      <c r="I134" s="2"/>
    </row>
    <row r="135" spans="2:9" hidden="1">
      <c r="B135" s="28">
        <v>45777</v>
      </c>
      <c r="C135" s="34">
        <v>45748</v>
      </c>
      <c r="E135" s="21" t="s">
        <v>148</v>
      </c>
      <c r="F135" s="21"/>
      <c r="G135" s="24">
        <v>-432.8</v>
      </c>
      <c r="I135" s="2"/>
    </row>
    <row r="136" spans="2:9" hidden="1">
      <c r="B136" s="28">
        <v>45808</v>
      </c>
      <c r="C136" s="34">
        <v>45778</v>
      </c>
      <c r="E136" s="44" t="s">
        <v>149</v>
      </c>
      <c r="F136" s="4"/>
      <c r="G136" s="24">
        <v>432.8</v>
      </c>
      <c r="I136" s="2"/>
    </row>
    <row r="137" spans="2:9" hidden="1">
      <c r="B137" s="28">
        <v>45808</v>
      </c>
      <c r="C137" s="34">
        <v>45778</v>
      </c>
      <c r="E137" s="44" t="s">
        <v>150</v>
      </c>
      <c r="F137" s="21"/>
      <c r="G137" s="24">
        <v>-1216.4100000000001</v>
      </c>
      <c r="I137" s="2"/>
    </row>
    <row r="138" spans="2:9" hidden="1">
      <c r="B138" s="28">
        <v>45838</v>
      </c>
      <c r="C138" s="34">
        <v>45809</v>
      </c>
      <c r="E138" s="44" t="s">
        <v>151</v>
      </c>
      <c r="F138" s="21"/>
      <c r="G138" s="24">
        <v>1216.4100000000001</v>
      </c>
      <c r="I138" s="2"/>
    </row>
    <row r="139" spans="2:9" hidden="1">
      <c r="B139" s="28">
        <v>45838</v>
      </c>
      <c r="C139" s="34">
        <v>45809</v>
      </c>
      <c r="E139" s="44" t="s">
        <v>152</v>
      </c>
      <c r="F139" s="21"/>
      <c r="G139" s="24">
        <v>-703.65</v>
      </c>
      <c r="I139" s="2"/>
    </row>
    <row r="140" spans="2:9" hidden="1">
      <c r="B140" s="28">
        <v>45869</v>
      </c>
      <c r="C140" s="34">
        <v>45839</v>
      </c>
      <c r="E140" s="4" t="s">
        <v>153</v>
      </c>
      <c r="F140" s="21"/>
      <c r="G140" s="24">
        <v>703.65</v>
      </c>
      <c r="I140" s="2"/>
    </row>
    <row r="141" spans="2:9">
      <c r="B141" s="28">
        <v>45869</v>
      </c>
      <c r="C141" s="34">
        <v>45839</v>
      </c>
      <c r="E141" s="4" t="s">
        <v>154</v>
      </c>
      <c r="F141" s="21"/>
      <c r="G141" s="24">
        <v>-1051.01</v>
      </c>
      <c r="I141" s="2"/>
    </row>
    <row r="142" spans="2:9">
      <c r="B142" s="28">
        <v>45900</v>
      </c>
      <c r="C142" s="34">
        <v>45870</v>
      </c>
      <c r="E142" s="4" t="s">
        <v>155</v>
      </c>
      <c r="F142" s="21"/>
      <c r="G142" s="24">
        <v>-1078.5999999999999</v>
      </c>
      <c r="I142" s="2"/>
    </row>
    <row r="143" spans="2:9">
      <c r="B143" s="28">
        <v>45930</v>
      </c>
      <c r="C143" s="34">
        <v>45901</v>
      </c>
      <c r="E143" s="4" t="s">
        <v>156</v>
      </c>
      <c r="F143" s="21"/>
      <c r="G143" s="24">
        <v>1051.01</v>
      </c>
      <c r="I143" s="2"/>
    </row>
    <row r="144" spans="2:9">
      <c r="B144" s="28">
        <v>45930</v>
      </c>
      <c r="C144" s="34">
        <v>45901</v>
      </c>
      <c r="E144" s="4" t="s">
        <v>157</v>
      </c>
      <c r="F144" s="21"/>
      <c r="G144" s="24">
        <v>-1071.03</v>
      </c>
      <c r="I144" s="2"/>
    </row>
    <row r="145" spans="2:9">
      <c r="B145" s="28"/>
      <c r="C145" s="34"/>
      <c r="E145" s="4"/>
      <c r="F145" s="21"/>
      <c r="G145" s="24"/>
      <c r="I145" s="2"/>
    </row>
    <row r="146" spans="2:9">
      <c r="B146" s="28">
        <v>45808</v>
      </c>
      <c r="C146" s="34">
        <v>45778</v>
      </c>
      <c r="E146" s="4" t="s">
        <v>158</v>
      </c>
      <c r="F146" s="21"/>
      <c r="G146" s="24">
        <v>2325.59</v>
      </c>
      <c r="I146" s="2"/>
    </row>
    <row r="147" spans="2:9">
      <c r="B147" s="28"/>
      <c r="C147" s="34"/>
      <c r="E147" s="4"/>
      <c r="F147" s="21"/>
      <c r="G147" s="24"/>
      <c r="I147" s="2"/>
    </row>
    <row r="148" spans="2:9">
      <c r="B148" s="28">
        <v>45808</v>
      </c>
      <c r="C148" s="34">
        <v>45778</v>
      </c>
      <c r="E148" s="44" t="s">
        <v>159</v>
      </c>
      <c r="F148" s="21"/>
      <c r="G148" s="24">
        <v>-188</v>
      </c>
      <c r="I148" s="2"/>
    </row>
    <row r="149" spans="2:9">
      <c r="B149" s="28">
        <v>45838</v>
      </c>
      <c r="C149" s="34">
        <v>45778</v>
      </c>
      <c r="E149" s="44" t="s">
        <v>159</v>
      </c>
      <c r="F149" s="21"/>
      <c r="G149" s="24">
        <v>-188</v>
      </c>
      <c r="I149" s="2"/>
    </row>
    <row r="150" spans="2:9">
      <c r="B150" s="28">
        <v>45930</v>
      </c>
      <c r="C150" s="34">
        <v>45901</v>
      </c>
      <c r="E150" s="4" t="s">
        <v>159</v>
      </c>
      <c r="F150" s="21"/>
      <c r="G150" s="24">
        <v>-188</v>
      </c>
      <c r="I150" s="2"/>
    </row>
    <row r="151" spans="2:9">
      <c r="B151" s="28"/>
      <c r="C151" s="34"/>
      <c r="E151" s="44"/>
      <c r="F151" s="21"/>
      <c r="G151" s="24"/>
      <c r="I151" s="2"/>
    </row>
    <row r="152" spans="2:9">
      <c r="B152" s="28">
        <v>45808</v>
      </c>
      <c r="C152" s="34">
        <v>45778</v>
      </c>
      <c r="E152" s="44" t="s">
        <v>160</v>
      </c>
      <c r="F152" s="21"/>
      <c r="G152" s="24">
        <v>-13.2</v>
      </c>
      <c r="H152" t="s">
        <v>114</v>
      </c>
      <c r="I152" s="2"/>
    </row>
    <row r="153" spans="2:9" hidden="1">
      <c r="B153" s="28">
        <v>45838</v>
      </c>
      <c r="C153" s="34">
        <v>45809</v>
      </c>
      <c r="E153" s="44" t="s">
        <v>161</v>
      </c>
      <c r="F153" s="21"/>
      <c r="G153" s="24">
        <v>-12</v>
      </c>
      <c r="H153" t="s">
        <v>114</v>
      </c>
      <c r="I153" s="2"/>
    </row>
    <row r="154" spans="2:9" hidden="1">
      <c r="B154" s="28">
        <v>45869</v>
      </c>
      <c r="C154" s="34">
        <v>45839</v>
      </c>
      <c r="E154" s="4" t="s">
        <v>162</v>
      </c>
      <c r="F154" s="21"/>
      <c r="G154" s="24">
        <v>12</v>
      </c>
      <c r="H154" t="s">
        <v>114</v>
      </c>
      <c r="I154" s="2"/>
    </row>
    <row r="155" spans="2:9">
      <c r="B155" s="28"/>
      <c r="C155" s="34"/>
      <c r="E155" s="21"/>
      <c r="F155" s="21"/>
      <c r="G155" s="24"/>
      <c r="I155" s="2"/>
    </row>
    <row r="156" spans="2:9">
      <c r="B156" s="28">
        <v>45838</v>
      </c>
      <c r="C156" s="34">
        <v>45809</v>
      </c>
      <c r="E156" s="44" t="s">
        <v>163</v>
      </c>
      <c r="F156" s="21"/>
      <c r="G156" s="24">
        <v>-96.48</v>
      </c>
      <c r="H156" t="s">
        <v>164</v>
      </c>
      <c r="I156" s="2"/>
    </row>
    <row r="157" spans="2:9">
      <c r="B157" s="28">
        <v>45900</v>
      </c>
      <c r="C157" s="34">
        <v>45870</v>
      </c>
      <c r="E157" s="4" t="s">
        <v>165</v>
      </c>
      <c r="F157" s="21"/>
      <c r="G157" s="24">
        <v>-97.65</v>
      </c>
      <c r="H157" t="s">
        <v>164</v>
      </c>
      <c r="I157" s="2"/>
    </row>
    <row r="158" spans="2:9">
      <c r="B158" s="28"/>
      <c r="C158" s="34"/>
      <c r="E158" s="4"/>
      <c r="F158" s="21"/>
      <c r="G158" s="24"/>
      <c r="I158" s="2"/>
    </row>
    <row r="159" spans="2:9">
      <c r="B159" s="28">
        <v>45838</v>
      </c>
      <c r="C159" s="34">
        <v>45809</v>
      </c>
      <c r="E159" s="21" t="s">
        <v>166</v>
      </c>
      <c r="F159" s="21"/>
      <c r="G159" s="24">
        <v>-1090</v>
      </c>
      <c r="H159" t="s">
        <v>86</v>
      </c>
      <c r="I159" s="2"/>
    </row>
    <row r="160" spans="2:9">
      <c r="B160" s="28"/>
      <c r="C160" s="34"/>
      <c r="E160" s="21"/>
      <c r="F160" s="21"/>
      <c r="G160" s="24"/>
      <c r="I160" s="2"/>
    </row>
    <row r="161" spans="2:9">
      <c r="B161" s="28">
        <v>45930</v>
      </c>
      <c r="C161" s="34">
        <v>45901</v>
      </c>
      <c r="E161" s="4" t="s">
        <v>167</v>
      </c>
      <c r="F161" s="21"/>
      <c r="G161" s="24">
        <v>-199</v>
      </c>
      <c r="I161" s="2"/>
    </row>
    <row r="162" spans="2:9">
      <c r="B162" s="28">
        <v>45930</v>
      </c>
      <c r="C162" s="34">
        <v>45901</v>
      </c>
      <c r="E162" s="4" t="s">
        <v>168</v>
      </c>
      <c r="F162" s="21"/>
      <c r="G162" s="24">
        <v>196.5</v>
      </c>
      <c r="I162" s="2"/>
    </row>
    <row r="163" spans="2:9">
      <c r="B163" s="28"/>
      <c r="C163" s="34"/>
      <c r="E163" s="21"/>
      <c r="F163" s="21"/>
      <c r="G163" s="24"/>
      <c r="I163" s="2"/>
    </row>
    <row r="164" spans="2:9" ht="13.5" thickBot="1">
      <c r="G164" s="1"/>
    </row>
    <row r="165" spans="2:9" ht="13.5" thickTop="1">
      <c r="B165" s="25"/>
      <c r="C165" s="25"/>
      <c r="D165" s="25"/>
      <c r="E165" s="25" t="s">
        <v>22</v>
      </c>
      <c r="F165" s="25"/>
      <c r="G165" s="26">
        <f>ROUND(G5-SUM(G9:G164),2)</f>
        <v>1635.57</v>
      </c>
      <c r="H165" t="str">
        <f>IF(G165=0,"","Out of Balance")</f>
        <v>Out of Balance</v>
      </c>
    </row>
  </sheetData>
  <sortState xmlns:xlrd2="http://schemas.microsoft.com/office/spreadsheetml/2017/richdata2" ref="B101:H136">
    <sortCondition ref="H101:H136"/>
    <sortCondition ref="C101:C136"/>
  </sortState>
  <mergeCells count="3">
    <mergeCell ref="A1:G1"/>
    <mergeCell ref="A2:G2"/>
    <mergeCell ref="A3:G3"/>
  </mergeCells>
  <conditionalFormatting sqref="H5">
    <cfRule type="expression" dxfId="1" priority="1">
      <formula>$G$165&lt;&gt;0</formula>
    </cfRule>
  </conditionalFormatting>
  <conditionalFormatting sqref="H165">
    <cfRule type="expression" dxfId="0" priority="3">
      <formula>$G$165&lt;&gt;0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986AA62-1255-4C91-BCA5-82AF7296BFE6}">
          <x14:formula1>
            <xm:f>'Account Table'!$E$1:$E$500</xm:f>
          </x14:formula1>
          <xm:sqref>A3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4578-227A-4825-9EB7-B7DED2BD5F08}">
  <dimension ref="C4:L32"/>
  <sheetViews>
    <sheetView topLeftCell="A8" zoomScale="160" zoomScaleNormal="160" workbookViewId="0">
      <selection activeCell="K21" sqref="K21"/>
    </sheetView>
  </sheetViews>
  <sheetFormatPr defaultRowHeight="12.75"/>
  <cols>
    <col min="8" max="8" width="12.140625" bestFit="1" customWidth="1"/>
  </cols>
  <sheetData>
    <row r="4" spans="3:8">
      <c r="C4" s="3">
        <v>45626</v>
      </c>
      <c r="E4" s="4" t="s">
        <v>169</v>
      </c>
      <c r="H4" s="1">
        <v>-318</v>
      </c>
    </row>
    <row r="5" spans="3:8">
      <c r="C5" s="3">
        <v>45626</v>
      </c>
      <c r="E5" s="4" t="s">
        <v>170</v>
      </c>
      <c r="H5" s="1">
        <v>-847</v>
      </c>
    </row>
    <row r="6" spans="3:8">
      <c r="C6" s="3">
        <v>45626</v>
      </c>
      <c r="E6" s="4" t="s">
        <v>171</v>
      </c>
      <c r="H6" s="1">
        <v>-212</v>
      </c>
    </row>
    <row r="7" spans="3:8">
      <c r="C7" s="3">
        <v>45657</v>
      </c>
      <c r="E7" s="4" t="s">
        <v>172</v>
      </c>
      <c r="H7" s="1">
        <v>-325</v>
      </c>
    </row>
    <row r="8" spans="3:8">
      <c r="C8" s="3">
        <v>45657</v>
      </c>
      <c r="E8" s="4" t="s">
        <v>173</v>
      </c>
      <c r="H8" s="1">
        <v>-850</v>
      </c>
    </row>
    <row r="9" spans="3:8">
      <c r="C9" s="3">
        <v>45657</v>
      </c>
      <c r="E9" s="4" t="s">
        <v>174</v>
      </c>
      <c r="H9" s="1">
        <v>-215</v>
      </c>
    </row>
    <row r="10" spans="3:8">
      <c r="C10" s="3">
        <v>45322</v>
      </c>
      <c r="E10" s="4" t="s">
        <v>175</v>
      </c>
      <c r="F10" s="5"/>
      <c r="H10" s="2">
        <v>790</v>
      </c>
    </row>
    <row r="11" spans="3:8">
      <c r="C11" s="3">
        <v>45382</v>
      </c>
      <c r="E11" s="4" t="s">
        <v>176</v>
      </c>
      <c r="H11" s="1">
        <v>-1694</v>
      </c>
    </row>
    <row r="12" spans="3:8">
      <c r="C12" s="3">
        <v>45382</v>
      </c>
      <c r="E12" s="4" t="s">
        <v>177</v>
      </c>
      <c r="H12" s="1">
        <v>-645</v>
      </c>
    </row>
    <row r="13" spans="3:8">
      <c r="C13" s="3">
        <v>45412</v>
      </c>
      <c r="E13" s="4" t="s">
        <v>178</v>
      </c>
      <c r="H13" s="1">
        <v>-1062</v>
      </c>
    </row>
    <row r="14" spans="3:8">
      <c r="C14" s="3">
        <v>45443</v>
      </c>
      <c r="E14" s="4" t="s">
        <v>179</v>
      </c>
      <c r="H14" s="1">
        <v>-1062</v>
      </c>
    </row>
    <row r="15" spans="3:8">
      <c r="C15" s="3">
        <v>45473</v>
      </c>
      <c r="E15" s="4" t="s">
        <v>180</v>
      </c>
      <c r="H15" s="1">
        <v>-1062</v>
      </c>
    </row>
    <row r="16" spans="3:8">
      <c r="C16" s="3">
        <v>45495</v>
      </c>
      <c r="E16" s="4" t="s">
        <v>181</v>
      </c>
      <c r="H16" s="1">
        <v>339.04</v>
      </c>
    </row>
    <row r="17" spans="3:12">
      <c r="C17" s="3">
        <v>45495</v>
      </c>
      <c r="E17" s="4" t="s">
        <v>182</v>
      </c>
      <c r="H17" s="1">
        <v>61.97</v>
      </c>
    </row>
    <row r="18" spans="3:12">
      <c r="C18" s="3">
        <v>45504</v>
      </c>
      <c r="E18" s="4" t="s">
        <v>183</v>
      </c>
      <c r="H18" s="1">
        <v>-1200</v>
      </c>
    </row>
    <row r="19" spans="3:12">
      <c r="C19" s="3">
        <v>45504</v>
      </c>
      <c r="E19" s="4" t="s">
        <v>184</v>
      </c>
      <c r="H19" s="1">
        <v>-1062</v>
      </c>
    </row>
    <row r="20" spans="3:12">
      <c r="C20" s="3">
        <v>45535</v>
      </c>
      <c r="E20" s="4" t="s">
        <v>185</v>
      </c>
      <c r="H20" s="1">
        <v>-1200</v>
      </c>
    </row>
    <row r="21" spans="3:12">
      <c r="C21" s="3">
        <v>45535</v>
      </c>
      <c r="E21" s="4" t="s">
        <v>186</v>
      </c>
      <c r="H21" s="1">
        <v>-1062</v>
      </c>
    </row>
    <row r="23" spans="3:12">
      <c r="H23" s="6">
        <f>SUM(H4:H21)</f>
        <v>-11624.99</v>
      </c>
      <c r="L23">
        <v>7461.68</v>
      </c>
    </row>
    <row r="25" spans="3:12">
      <c r="H25" s="1">
        <v>11727.63</v>
      </c>
    </row>
    <row r="26" spans="3:12">
      <c r="H26" s="1"/>
    </row>
    <row r="27" spans="3:12">
      <c r="H27" s="6">
        <f>+H25+H23</f>
        <v>102.63999999999942</v>
      </c>
    </row>
    <row r="28" spans="3:12">
      <c r="H28" s="6"/>
    </row>
    <row r="29" spans="3:12">
      <c r="H29">
        <v>-330.98</v>
      </c>
    </row>
    <row r="30" spans="3:12">
      <c r="H30">
        <v>228.34</v>
      </c>
    </row>
    <row r="32" spans="3:12">
      <c r="H32" s="6">
        <f>+H30+H29+H27</f>
        <v>-5.9685589803848416E-13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E83"/>
  <sheetViews>
    <sheetView showGridLines="0" tabSelected="1" topLeftCell="A18" zoomScale="130" zoomScaleNormal="130" workbookViewId="0">
      <selection activeCell="L19" sqref="L19"/>
    </sheetView>
  </sheetViews>
  <sheetFormatPr defaultColWidth="9.140625" defaultRowHeight="12.75"/>
  <cols>
    <col min="1" max="1" width="15.7109375" customWidth="1"/>
    <col min="2" max="2" width="37.140625" customWidth="1"/>
    <col min="3" max="5" width="20.7109375" customWidth="1"/>
  </cols>
  <sheetData>
    <row r="1" spans="1:5" ht="15" customHeight="1">
      <c r="A1" s="69" t="s">
        <v>187</v>
      </c>
      <c r="B1" s="69"/>
      <c r="C1" s="69"/>
      <c r="D1" s="69"/>
      <c r="E1" s="69"/>
    </row>
    <row r="2" spans="1:5" ht="15.75" customHeight="1">
      <c r="A2" s="70" t="s">
        <v>188</v>
      </c>
      <c r="B2" s="70"/>
      <c r="C2" s="70"/>
      <c r="D2" s="70"/>
      <c r="E2" s="70"/>
    </row>
    <row r="3" spans="1:5" ht="15" customHeight="1">
      <c r="A3" s="69" t="s">
        <v>189</v>
      </c>
      <c r="B3" s="69"/>
      <c r="C3" s="69"/>
      <c r="D3" s="69"/>
      <c r="E3" s="69"/>
    </row>
    <row r="4" spans="1:5" ht="15" customHeight="1">
      <c r="A4" s="69" t="s">
        <v>190</v>
      </c>
      <c r="B4" s="69"/>
      <c r="C4" s="69"/>
      <c r="D4" s="69"/>
      <c r="E4" s="69"/>
    </row>
    <row r="5" spans="1:5" ht="15" customHeight="1">
      <c r="A5" s="45"/>
      <c r="B5" s="46"/>
      <c r="C5" s="45" t="s">
        <v>191</v>
      </c>
      <c r="D5" s="45" t="s">
        <v>192</v>
      </c>
      <c r="E5" s="45" t="s">
        <v>193</v>
      </c>
    </row>
    <row r="6" spans="1:5" ht="15" customHeight="1">
      <c r="A6" s="47"/>
      <c r="B6" s="48"/>
      <c r="C6" s="47" t="s">
        <v>194</v>
      </c>
      <c r="D6" s="47" t="s">
        <v>191</v>
      </c>
      <c r="E6" s="47" t="s">
        <v>195</v>
      </c>
    </row>
    <row r="7" spans="1:5" ht="15" customHeight="1">
      <c r="A7" s="49" t="s">
        <v>196</v>
      </c>
      <c r="B7" s="50" t="s">
        <v>197</v>
      </c>
      <c r="C7" s="51"/>
      <c r="D7" s="51"/>
      <c r="E7" s="51"/>
    </row>
    <row r="8" spans="1:5" ht="15" customHeight="1">
      <c r="A8" s="71"/>
      <c r="B8" s="71"/>
      <c r="C8" s="71"/>
      <c r="D8" s="71"/>
      <c r="E8" s="71"/>
    </row>
    <row r="9" spans="1:5" ht="15" customHeight="1">
      <c r="A9" s="52" t="s">
        <v>198</v>
      </c>
      <c r="B9" s="53" t="s">
        <v>199</v>
      </c>
      <c r="C9" s="54"/>
      <c r="D9" s="54"/>
      <c r="E9" s="54"/>
    </row>
    <row r="10" spans="1:5" ht="15" customHeight="1">
      <c r="A10" s="52" t="s">
        <v>200</v>
      </c>
      <c r="B10" s="53" t="s">
        <v>201</v>
      </c>
      <c r="C10" s="55">
        <v>10156.64</v>
      </c>
      <c r="D10" s="55">
        <v>10377.32</v>
      </c>
      <c r="E10" s="55">
        <v>-220.68</v>
      </c>
    </row>
    <row r="11" spans="1:5" ht="15" customHeight="1">
      <c r="A11" s="52" t="s">
        <v>202</v>
      </c>
      <c r="B11" s="53" t="s">
        <v>203</v>
      </c>
      <c r="C11" s="56">
        <v>-23118.74</v>
      </c>
      <c r="D11" s="56">
        <v>-16724.16</v>
      </c>
      <c r="E11" s="56">
        <v>-6394.58</v>
      </c>
    </row>
    <row r="12" spans="1:5" ht="15" customHeight="1">
      <c r="A12" s="52" t="s">
        <v>204</v>
      </c>
      <c r="B12" s="53" t="s">
        <v>205</v>
      </c>
      <c r="C12" s="57">
        <v>-12962.1</v>
      </c>
      <c r="D12" s="57">
        <v>-6346.84</v>
      </c>
      <c r="E12" s="57">
        <v>-6615.26</v>
      </c>
    </row>
    <row r="13" spans="1:5" ht="15" customHeight="1">
      <c r="A13" s="71"/>
      <c r="B13" s="71"/>
      <c r="C13" s="71"/>
      <c r="D13" s="71"/>
      <c r="E13" s="71"/>
    </row>
    <row r="14" spans="1:5" ht="15" customHeight="1">
      <c r="A14" s="52" t="s">
        <v>206</v>
      </c>
      <c r="B14" s="53" t="s">
        <v>207</v>
      </c>
      <c r="C14" s="54"/>
      <c r="D14" s="54"/>
      <c r="E14" s="54"/>
    </row>
    <row r="15" spans="1:5" ht="15" customHeight="1">
      <c r="A15" s="52" t="s">
        <v>208</v>
      </c>
      <c r="B15" s="53" t="s">
        <v>209</v>
      </c>
      <c r="C15" s="55">
        <v>97318.38</v>
      </c>
      <c r="D15" s="55">
        <v>8846.7800000000007</v>
      </c>
      <c r="E15" s="55">
        <v>88471.6</v>
      </c>
    </row>
    <row r="16" spans="1:5" ht="15" customHeight="1">
      <c r="A16" s="52" t="s">
        <v>210</v>
      </c>
      <c r="B16" s="53" t="s">
        <v>211</v>
      </c>
      <c r="C16" s="55">
        <v>8420</v>
      </c>
      <c r="D16" s="55">
        <v>8420</v>
      </c>
      <c r="E16" s="55">
        <v>0</v>
      </c>
    </row>
    <row r="17" spans="1:5" ht="15" customHeight="1">
      <c r="A17" s="52" t="s">
        <v>212</v>
      </c>
      <c r="B17" s="53" t="s">
        <v>213</v>
      </c>
      <c r="C17" s="55">
        <v>250000</v>
      </c>
      <c r="D17" s="55">
        <v>250000</v>
      </c>
      <c r="E17" s="55">
        <v>0</v>
      </c>
    </row>
    <row r="18" spans="1:5" ht="15" customHeight="1">
      <c r="A18" s="52" t="s">
        <v>214</v>
      </c>
      <c r="B18" s="53" t="s">
        <v>215</v>
      </c>
      <c r="C18" s="56">
        <v>155108</v>
      </c>
      <c r="D18" s="56">
        <v>210998</v>
      </c>
      <c r="E18" s="56">
        <v>-55890</v>
      </c>
    </row>
    <row r="19" spans="1:5" ht="15" customHeight="1">
      <c r="A19" s="52" t="s">
        <v>216</v>
      </c>
      <c r="B19" s="53" t="s">
        <v>217</v>
      </c>
      <c r="C19" s="57">
        <v>510846.38</v>
      </c>
      <c r="D19" s="57">
        <v>478264.78</v>
      </c>
      <c r="E19" s="57">
        <v>32581.599999999999</v>
      </c>
    </row>
    <row r="20" spans="1:5" ht="15" customHeight="1">
      <c r="A20" s="71"/>
      <c r="B20" s="71"/>
      <c r="C20" s="71"/>
      <c r="D20" s="71"/>
      <c r="E20" s="71"/>
    </row>
    <row r="21" spans="1:5" ht="15" customHeight="1">
      <c r="A21" s="52" t="s">
        <v>218</v>
      </c>
      <c r="B21" s="53" t="s">
        <v>219</v>
      </c>
      <c r="C21" s="55">
        <v>85567.45</v>
      </c>
      <c r="D21" s="55">
        <v>51212.33</v>
      </c>
      <c r="E21" s="55">
        <v>34355.120000000003</v>
      </c>
    </row>
    <row r="22" spans="1:5" ht="15" customHeight="1">
      <c r="A22" s="71"/>
      <c r="B22" s="71"/>
      <c r="C22" s="71"/>
      <c r="D22" s="71"/>
      <c r="E22" s="71"/>
    </row>
    <row r="23" spans="1:5" ht="15" customHeight="1">
      <c r="A23" s="52" t="s">
        <v>220</v>
      </c>
      <c r="B23" s="53" t="s">
        <v>221</v>
      </c>
      <c r="C23" s="54"/>
      <c r="D23" s="54"/>
      <c r="E23" s="54"/>
    </row>
    <row r="24" spans="1:5" ht="15" customHeight="1">
      <c r="A24" s="52" t="s">
        <v>222</v>
      </c>
      <c r="B24" s="53" t="s">
        <v>223</v>
      </c>
      <c r="C24" s="56">
        <v>460.54</v>
      </c>
      <c r="D24" s="56">
        <v>11820</v>
      </c>
      <c r="E24" s="56">
        <v>-11359.46</v>
      </c>
    </row>
    <row r="25" spans="1:5" ht="15" customHeight="1">
      <c r="A25" s="52" t="s">
        <v>224</v>
      </c>
      <c r="B25" s="53" t="s">
        <v>225</v>
      </c>
      <c r="C25" s="57">
        <v>460.54</v>
      </c>
      <c r="D25" s="57">
        <v>11820</v>
      </c>
      <c r="E25" s="57">
        <v>-11359.46</v>
      </c>
    </row>
    <row r="26" spans="1:5" ht="15" customHeight="1">
      <c r="A26" s="71"/>
      <c r="B26" s="71"/>
      <c r="C26" s="71"/>
      <c r="D26" s="71"/>
      <c r="E26" s="71"/>
    </row>
    <row r="27" spans="1:5" ht="15" customHeight="1">
      <c r="A27" s="52" t="s">
        <v>226</v>
      </c>
      <c r="B27" s="53" t="s">
        <v>227</v>
      </c>
      <c r="C27" s="54"/>
      <c r="D27" s="54"/>
      <c r="E27" s="54"/>
    </row>
    <row r="28" spans="1:5" ht="15" customHeight="1">
      <c r="A28" s="52" t="s">
        <v>228</v>
      </c>
      <c r="B28" s="53" t="s">
        <v>229</v>
      </c>
      <c r="C28" s="55">
        <v>568379.07999999996</v>
      </c>
      <c r="D28" s="55">
        <v>568379.07999999996</v>
      </c>
      <c r="E28" s="55">
        <v>0</v>
      </c>
    </row>
    <row r="29" spans="1:5" ht="15" customHeight="1">
      <c r="A29" s="52" t="s">
        <v>230</v>
      </c>
      <c r="B29" s="53" t="s">
        <v>231</v>
      </c>
      <c r="C29" s="55">
        <v>7558516.9500000002</v>
      </c>
      <c r="D29" s="55">
        <v>7558516.9500000002</v>
      </c>
      <c r="E29" s="55">
        <v>0</v>
      </c>
    </row>
    <row r="30" spans="1:5" ht="15" customHeight="1">
      <c r="A30" s="52" t="s">
        <v>232</v>
      </c>
      <c r="B30" s="53" t="s">
        <v>233</v>
      </c>
      <c r="C30" s="55">
        <v>11143.25</v>
      </c>
      <c r="D30" s="55">
        <v>11143.25</v>
      </c>
      <c r="E30" s="55">
        <v>0</v>
      </c>
    </row>
    <row r="31" spans="1:5" ht="15" customHeight="1">
      <c r="A31" s="52" t="s">
        <v>234</v>
      </c>
      <c r="B31" s="53" t="s">
        <v>235</v>
      </c>
      <c r="C31" s="55">
        <v>1650650.01</v>
      </c>
      <c r="D31" s="55">
        <v>1650650.01</v>
      </c>
      <c r="E31" s="55">
        <v>0</v>
      </c>
    </row>
    <row r="32" spans="1:5" ht="15" customHeight="1">
      <c r="A32" s="52" t="s">
        <v>236</v>
      </c>
      <c r="B32" s="53" t="s">
        <v>237</v>
      </c>
      <c r="C32" s="55">
        <v>97738.25</v>
      </c>
      <c r="D32" s="55">
        <v>97738.25</v>
      </c>
      <c r="E32" s="55">
        <v>0</v>
      </c>
    </row>
    <row r="33" spans="1:5" ht="15" customHeight="1">
      <c r="A33" s="52" t="s">
        <v>238</v>
      </c>
      <c r="B33" s="53" t="s">
        <v>239</v>
      </c>
      <c r="C33" s="55">
        <v>-408726</v>
      </c>
      <c r="D33" s="55">
        <v>-408726</v>
      </c>
      <c r="E33" s="55">
        <v>0</v>
      </c>
    </row>
    <row r="34" spans="1:5" ht="15" customHeight="1">
      <c r="A34" s="52" t="s">
        <v>240</v>
      </c>
      <c r="B34" s="53" t="s">
        <v>241</v>
      </c>
      <c r="C34" s="55">
        <v>4458</v>
      </c>
      <c r="D34" s="55">
        <v>4458</v>
      </c>
      <c r="E34" s="55">
        <v>0</v>
      </c>
    </row>
    <row r="35" spans="1:5" ht="15" customHeight="1">
      <c r="A35" s="52" t="s">
        <v>242</v>
      </c>
      <c r="B35" s="53" t="s">
        <v>243</v>
      </c>
      <c r="C35" s="55">
        <v>-27511</v>
      </c>
      <c r="D35" s="55">
        <v>-27511</v>
      </c>
      <c r="E35" s="55">
        <v>0</v>
      </c>
    </row>
    <row r="36" spans="1:5" ht="15" customHeight="1">
      <c r="A36" s="52" t="s">
        <v>244</v>
      </c>
      <c r="B36" s="53" t="s">
        <v>245</v>
      </c>
      <c r="C36" s="55">
        <v>-35838</v>
      </c>
      <c r="D36" s="55">
        <v>-35838</v>
      </c>
      <c r="E36" s="55">
        <v>0</v>
      </c>
    </row>
    <row r="37" spans="1:5" ht="15" customHeight="1">
      <c r="A37" s="71"/>
      <c r="B37" s="71"/>
      <c r="C37" s="71"/>
      <c r="D37" s="71"/>
      <c r="E37" s="71"/>
    </row>
    <row r="38" spans="1:5" ht="15" customHeight="1">
      <c r="A38" s="52" t="s">
        <v>246</v>
      </c>
      <c r="B38" s="53" t="s">
        <v>247</v>
      </c>
      <c r="C38" s="54"/>
      <c r="D38" s="54"/>
      <c r="E38" s="54"/>
    </row>
    <row r="39" spans="1:5" ht="15" customHeight="1">
      <c r="A39" s="52" t="s">
        <v>248</v>
      </c>
      <c r="B39" s="53" t="s">
        <v>249</v>
      </c>
      <c r="C39" s="55">
        <v>1200</v>
      </c>
      <c r="D39" s="55">
        <v>0</v>
      </c>
      <c r="E39" s="55">
        <v>1200</v>
      </c>
    </row>
    <row r="40" spans="1:5" ht="15" customHeight="1">
      <c r="A40" s="52" t="s">
        <v>250</v>
      </c>
      <c r="B40" s="53" t="s">
        <v>251</v>
      </c>
      <c r="C40" s="58"/>
      <c r="D40" s="58"/>
      <c r="E40" s="58"/>
    </row>
    <row r="41" spans="1:5" ht="15" customHeight="1">
      <c r="A41" s="52" t="s">
        <v>252</v>
      </c>
      <c r="B41" s="53" t="s">
        <v>253</v>
      </c>
      <c r="C41" s="59">
        <v>1200</v>
      </c>
      <c r="D41" s="59">
        <v>0</v>
      </c>
      <c r="E41" s="59">
        <v>1200</v>
      </c>
    </row>
    <row r="42" spans="1:5" ht="15" customHeight="1">
      <c r="A42" s="52" t="s">
        <v>254</v>
      </c>
      <c r="B42" s="53" t="s">
        <v>255</v>
      </c>
      <c r="C42" s="57">
        <v>9411094.5399999991</v>
      </c>
      <c r="D42" s="57">
        <v>9409894.5399999991</v>
      </c>
      <c r="E42" s="57">
        <v>1200</v>
      </c>
    </row>
    <row r="43" spans="1:5" ht="15" customHeight="1">
      <c r="A43" s="71"/>
      <c r="B43" s="71"/>
      <c r="C43" s="72"/>
      <c r="D43" s="72"/>
      <c r="E43" s="72"/>
    </row>
    <row r="44" spans="1:5" ht="15" customHeight="1">
      <c r="A44" s="60" t="s">
        <v>256</v>
      </c>
      <c r="B44" s="61" t="s">
        <v>257</v>
      </c>
      <c r="C44" s="62">
        <v>9995006.8100000005</v>
      </c>
      <c r="D44" s="62">
        <v>9944844.8100000005</v>
      </c>
      <c r="E44" s="62">
        <v>50162</v>
      </c>
    </row>
    <row r="45" spans="1:5" ht="15" customHeight="1">
      <c r="A45" s="71"/>
      <c r="B45" s="71"/>
      <c r="C45" s="73"/>
      <c r="D45" s="73"/>
      <c r="E45" s="73"/>
    </row>
    <row r="46" spans="1:5" ht="15" customHeight="1">
      <c r="A46" s="60" t="s">
        <v>258</v>
      </c>
      <c r="B46" s="61" t="s">
        <v>259</v>
      </c>
      <c r="C46" s="63"/>
      <c r="D46" s="63"/>
      <c r="E46" s="63"/>
    </row>
    <row r="47" spans="1:5" ht="15" customHeight="1">
      <c r="A47" s="71"/>
      <c r="B47" s="71"/>
      <c r="C47" s="71"/>
      <c r="D47" s="71"/>
      <c r="E47" s="71"/>
    </row>
    <row r="48" spans="1:5" ht="15" customHeight="1">
      <c r="A48" s="52" t="s">
        <v>260</v>
      </c>
      <c r="B48" s="53" t="s">
        <v>261</v>
      </c>
      <c r="C48" s="54"/>
      <c r="D48" s="54"/>
      <c r="E48" s="54"/>
    </row>
    <row r="49" spans="1:5" ht="15" customHeight="1">
      <c r="A49" s="52" t="s">
        <v>262</v>
      </c>
      <c r="B49" s="53" t="s">
        <v>263</v>
      </c>
      <c r="C49" s="55">
        <v>5905995.8399999999</v>
      </c>
      <c r="D49" s="55">
        <v>6063747.0999999996</v>
      </c>
      <c r="E49" s="55">
        <v>-157751.26</v>
      </c>
    </row>
    <row r="50" spans="1:5" ht="15" customHeight="1">
      <c r="A50" s="52" t="s">
        <v>264</v>
      </c>
      <c r="B50" s="53" t="s">
        <v>265</v>
      </c>
      <c r="C50" s="55">
        <v>-2199</v>
      </c>
      <c r="D50" s="55">
        <v>0</v>
      </c>
      <c r="E50" s="55">
        <v>-2199</v>
      </c>
    </row>
    <row r="51" spans="1:5" ht="15" customHeight="1">
      <c r="A51" s="52" t="s">
        <v>266</v>
      </c>
      <c r="B51" s="53" t="s">
        <v>267</v>
      </c>
      <c r="C51" s="55">
        <v>22670.39</v>
      </c>
      <c r="D51" s="55">
        <v>-13696.66</v>
      </c>
      <c r="E51" s="55">
        <v>36367.050000000003</v>
      </c>
    </row>
    <row r="52" spans="1:5" ht="15" customHeight="1">
      <c r="A52" s="52" t="s">
        <v>268</v>
      </c>
      <c r="B52" s="53" t="s">
        <v>269</v>
      </c>
      <c r="C52" s="55">
        <v>-1026.2</v>
      </c>
      <c r="D52" s="55">
        <v>-1026.2</v>
      </c>
      <c r="E52" s="55">
        <v>0</v>
      </c>
    </row>
    <row r="53" spans="1:5" ht="15" customHeight="1">
      <c r="A53" s="52" t="s">
        <v>270</v>
      </c>
      <c r="B53" s="53" t="s">
        <v>271</v>
      </c>
      <c r="C53" s="55">
        <v>73548.92</v>
      </c>
      <c r="D53" s="55">
        <v>11886.44</v>
      </c>
      <c r="E53" s="55">
        <v>61662.48</v>
      </c>
    </row>
    <row r="54" spans="1:5" ht="15" customHeight="1">
      <c r="A54" s="52" t="s">
        <v>272</v>
      </c>
      <c r="B54" s="53" t="s">
        <v>273</v>
      </c>
      <c r="C54" s="55">
        <v>6550.01</v>
      </c>
      <c r="D54" s="55">
        <v>11277.91</v>
      </c>
      <c r="E54" s="55">
        <v>-4727.8999999999996</v>
      </c>
    </row>
    <row r="55" spans="1:5" ht="15" customHeight="1">
      <c r="A55" s="52" t="s">
        <v>274</v>
      </c>
      <c r="B55" s="53" t="s">
        <v>275</v>
      </c>
      <c r="C55" s="55">
        <v>875</v>
      </c>
      <c r="D55" s="55">
        <v>195</v>
      </c>
      <c r="E55" s="55">
        <v>680</v>
      </c>
    </row>
    <row r="56" spans="1:5" ht="15" customHeight="1">
      <c r="A56" s="52" t="s">
        <v>276</v>
      </c>
      <c r="B56" s="53" t="s">
        <v>277</v>
      </c>
      <c r="C56" s="55">
        <v>-1150</v>
      </c>
      <c r="D56" s="55">
        <v>-2000</v>
      </c>
      <c r="E56" s="55">
        <v>850</v>
      </c>
    </row>
    <row r="57" spans="1:5" ht="15" customHeight="1">
      <c r="A57" s="71"/>
      <c r="B57" s="71"/>
      <c r="C57" s="71"/>
      <c r="D57" s="71"/>
      <c r="E57" s="71"/>
    </row>
    <row r="58" spans="1:5" ht="15" customHeight="1">
      <c r="A58" s="52" t="s">
        <v>278</v>
      </c>
      <c r="B58" s="53" t="s">
        <v>279</v>
      </c>
      <c r="C58" s="54"/>
      <c r="D58" s="54"/>
      <c r="E58" s="54"/>
    </row>
    <row r="59" spans="1:5" ht="15" customHeight="1">
      <c r="A59" s="52" t="s">
        <v>280</v>
      </c>
      <c r="B59" s="53" t="s">
        <v>281</v>
      </c>
      <c r="C59" s="55">
        <v>130665.65</v>
      </c>
      <c r="D59" s="55">
        <v>47915.65</v>
      </c>
      <c r="E59" s="55">
        <v>82750</v>
      </c>
    </row>
    <row r="60" spans="1:5" ht="15" customHeight="1">
      <c r="A60" s="52" t="s">
        <v>282</v>
      </c>
      <c r="B60" s="53" t="s">
        <v>283</v>
      </c>
      <c r="C60" s="56">
        <v>302.44</v>
      </c>
      <c r="D60" s="56">
        <v>175.19</v>
      </c>
      <c r="E60" s="56">
        <v>127.25</v>
      </c>
    </row>
    <row r="61" spans="1:5" ht="15" customHeight="1">
      <c r="A61" s="52" t="s">
        <v>284</v>
      </c>
      <c r="B61" s="53" t="s">
        <v>285</v>
      </c>
      <c r="C61" s="57">
        <v>130968.09</v>
      </c>
      <c r="D61" s="57">
        <v>48090.84</v>
      </c>
      <c r="E61" s="57">
        <v>82877.25</v>
      </c>
    </row>
    <row r="62" spans="1:5" ht="15" customHeight="1">
      <c r="A62" s="52" t="s">
        <v>286</v>
      </c>
      <c r="B62" s="53" t="s">
        <v>287</v>
      </c>
      <c r="C62" s="55">
        <v>23796.06</v>
      </c>
      <c r="D62" s="55">
        <v>23796.06</v>
      </c>
      <c r="E62" s="55">
        <v>0</v>
      </c>
    </row>
    <row r="63" spans="1:5" ht="15" customHeight="1">
      <c r="A63" s="52" t="s">
        <v>288</v>
      </c>
      <c r="B63" s="53" t="s">
        <v>289</v>
      </c>
      <c r="C63" s="55">
        <v>-4029.21</v>
      </c>
      <c r="D63" s="55">
        <v>-7302.17</v>
      </c>
      <c r="E63" s="55">
        <v>3272.96</v>
      </c>
    </row>
    <row r="64" spans="1:5" ht="15" customHeight="1">
      <c r="A64" s="52" t="s">
        <v>290</v>
      </c>
      <c r="B64" s="53" t="s">
        <v>291</v>
      </c>
      <c r="C64" s="56">
        <v>0</v>
      </c>
      <c r="D64" s="56">
        <v>273.01</v>
      </c>
      <c r="E64" s="56">
        <v>-273.01</v>
      </c>
    </row>
    <row r="65" spans="1:5" ht="15" customHeight="1">
      <c r="A65" s="52" t="s">
        <v>292</v>
      </c>
      <c r="B65" s="53" t="s">
        <v>293</v>
      </c>
      <c r="C65" s="57">
        <v>6155999.9000000004</v>
      </c>
      <c r="D65" s="57">
        <v>6135241.3300000001</v>
      </c>
      <c r="E65" s="57">
        <v>20758.57</v>
      </c>
    </row>
    <row r="66" spans="1:5" ht="15" customHeight="1">
      <c r="A66" s="71"/>
      <c r="B66" s="71"/>
      <c r="C66" s="71"/>
      <c r="D66" s="71"/>
      <c r="E66" s="71"/>
    </row>
    <row r="67" spans="1:5" ht="15" customHeight="1">
      <c r="A67" s="52" t="s">
        <v>294</v>
      </c>
      <c r="B67" s="53" t="s">
        <v>295</v>
      </c>
      <c r="C67" s="54"/>
      <c r="D67" s="54"/>
      <c r="E67" s="54"/>
    </row>
    <row r="68" spans="1:5" ht="15" customHeight="1">
      <c r="A68" s="71"/>
      <c r="B68" s="71"/>
      <c r="C68" s="71"/>
      <c r="D68" s="71"/>
      <c r="E68" s="71"/>
    </row>
    <row r="69" spans="1:5" ht="15" customHeight="1">
      <c r="A69" s="52" t="s">
        <v>296</v>
      </c>
      <c r="B69" s="53" t="s">
        <v>297</v>
      </c>
      <c r="C69" s="55">
        <v>4197431.25</v>
      </c>
      <c r="D69" s="55">
        <v>4197431.25</v>
      </c>
      <c r="E69" s="55">
        <v>0</v>
      </c>
    </row>
    <row r="70" spans="1:5" ht="15" customHeight="1">
      <c r="A70" s="52" t="s">
        <v>298</v>
      </c>
      <c r="B70" s="53" t="s">
        <v>299</v>
      </c>
      <c r="C70" s="56">
        <v>-355000</v>
      </c>
      <c r="D70" s="56">
        <v>-355000</v>
      </c>
      <c r="E70" s="56">
        <v>0</v>
      </c>
    </row>
    <row r="71" spans="1:5" ht="15" customHeight="1">
      <c r="A71" s="52" t="s">
        <v>300</v>
      </c>
      <c r="B71" s="53" t="s">
        <v>301</v>
      </c>
      <c r="C71" s="57">
        <v>3842431.25</v>
      </c>
      <c r="D71" s="57">
        <v>3842431.25</v>
      </c>
      <c r="E71" s="57">
        <v>0</v>
      </c>
    </row>
    <row r="72" spans="1:5" ht="15" customHeight="1">
      <c r="A72" s="71"/>
      <c r="B72" s="71"/>
      <c r="C72" s="71"/>
      <c r="D72" s="71"/>
      <c r="E72" s="71"/>
    </row>
    <row r="73" spans="1:5" ht="15" customHeight="1">
      <c r="A73" s="52" t="s">
        <v>302</v>
      </c>
      <c r="B73" s="53" t="s">
        <v>303</v>
      </c>
      <c r="C73" s="56">
        <v>-3424.34</v>
      </c>
      <c r="D73" s="56">
        <v>-32827.769999999997</v>
      </c>
      <c r="E73" s="56">
        <v>29403.43</v>
      </c>
    </row>
    <row r="74" spans="1:5" ht="15" customHeight="1">
      <c r="A74" s="52" t="s">
        <v>304</v>
      </c>
      <c r="B74" s="53" t="s">
        <v>305</v>
      </c>
      <c r="C74" s="57">
        <v>3839006.91</v>
      </c>
      <c r="D74" s="57">
        <v>3809603.48</v>
      </c>
      <c r="E74" s="57">
        <v>29403.43</v>
      </c>
    </row>
    <row r="75" spans="1:5" ht="15" customHeight="1">
      <c r="A75" s="71"/>
      <c r="B75" s="71"/>
      <c r="C75" s="72"/>
      <c r="D75" s="72"/>
      <c r="E75" s="72"/>
    </row>
    <row r="76" spans="1:5" ht="15" customHeight="1" thickBot="1">
      <c r="A76" s="60" t="s">
        <v>306</v>
      </c>
      <c r="B76" s="61" t="s">
        <v>307</v>
      </c>
      <c r="C76" s="62">
        <v>9995006.8100000005</v>
      </c>
      <c r="D76" s="62">
        <v>9944844.8100000005</v>
      </c>
      <c r="E76" s="62">
        <v>50162</v>
      </c>
    </row>
    <row r="77" spans="1:5" ht="15" customHeight="1" thickTop="1"/>
    <row r="78" spans="1:5" ht="15" customHeight="1"/>
    <row r="79" spans="1:5" ht="15" customHeight="1"/>
    <row r="80" spans="1:5" ht="15" customHeight="1"/>
    <row r="81" customFormat="1" ht="15" customHeight="1"/>
    <row r="82" customFormat="1" ht="15" customHeight="1"/>
    <row r="83" customFormat="1" ht="15" customHeight="1"/>
  </sheetData>
  <mergeCells count="18">
    <mergeCell ref="A45:E45"/>
    <mergeCell ref="A47:E47"/>
    <mergeCell ref="A75:E75"/>
    <mergeCell ref="A66:E66"/>
    <mergeCell ref="A68:E68"/>
    <mergeCell ref="A72:E72"/>
    <mergeCell ref="A1:E1"/>
    <mergeCell ref="A2:E2"/>
    <mergeCell ref="A3:E3"/>
    <mergeCell ref="A4:E4"/>
    <mergeCell ref="A13:E13"/>
    <mergeCell ref="A20:E20"/>
    <mergeCell ref="A22:E22"/>
    <mergeCell ref="A8:E8"/>
    <mergeCell ref="A26:E26"/>
    <mergeCell ref="A57:E57"/>
    <mergeCell ref="A37:E37"/>
    <mergeCell ref="A43:E43"/>
  </mergeCells>
  <pageMargins left="0.7" right="0.7" top="0.7" bottom="0.7" header="0.5" footer="0.5"/>
  <pageSetup scale="80" fitToHeight="990" orientation="portrait" useFirstPageNumber="1" r:id="rId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BA3A-2725-4063-8C55-CD8A92A2B788}">
  <dimension ref="A1:L1334"/>
  <sheetViews>
    <sheetView topLeftCell="A466" zoomScale="160" zoomScaleNormal="160" workbookViewId="0">
      <selection activeCell="B473" sqref="B473"/>
    </sheetView>
  </sheetViews>
  <sheetFormatPr defaultRowHeight="12.75"/>
  <cols>
    <col min="1" max="1" width="8.7109375" bestFit="1" customWidth="1"/>
    <col min="2" max="2" width="36.28515625" customWidth="1"/>
    <col min="3" max="3" width="7.5703125" bestFit="1" customWidth="1"/>
    <col min="4" max="5" width="5.28515625" bestFit="1" customWidth="1"/>
    <col min="6" max="6" width="6.85546875" bestFit="1" customWidth="1"/>
    <col min="7" max="7" width="4.85546875" bestFit="1" customWidth="1"/>
    <col min="8" max="11" width="8.7109375" bestFit="1" customWidth="1"/>
    <col min="12" max="12" width="26.85546875" bestFit="1" customWidth="1"/>
  </cols>
  <sheetData>
    <row r="1" spans="1:12" ht="15">
      <c r="A1" s="67" t="s">
        <v>308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>
      <c r="A3" s="7"/>
      <c r="B3" s="7"/>
      <c r="C3" s="7"/>
      <c r="D3" s="7"/>
      <c r="E3" s="7"/>
      <c r="F3" s="8"/>
      <c r="G3" s="8"/>
      <c r="H3" s="7"/>
      <c r="I3" s="7"/>
      <c r="J3" s="7"/>
      <c r="K3" s="7"/>
      <c r="L3" s="7"/>
    </row>
    <row r="4" spans="1:12">
      <c r="A4" s="9"/>
      <c r="B4" s="9"/>
      <c r="C4" s="9"/>
      <c r="D4" s="9"/>
      <c r="E4" s="9"/>
      <c r="F4" s="10"/>
      <c r="G4" s="10"/>
      <c r="H4" s="9"/>
      <c r="I4" s="9"/>
      <c r="J4" s="9"/>
      <c r="K4" s="9"/>
      <c r="L4" s="9"/>
    </row>
    <row r="5" spans="1:12">
      <c r="A5" s="9" t="s">
        <v>309</v>
      </c>
      <c r="B5" s="9" t="s">
        <v>310</v>
      </c>
      <c r="C5" s="9" t="s">
        <v>311</v>
      </c>
      <c r="D5" s="9" t="s">
        <v>312</v>
      </c>
      <c r="E5" s="9" t="s">
        <v>313</v>
      </c>
      <c r="F5" s="10"/>
      <c r="G5" s="10" t="s">
        <v>314</v>
      </c>
      <c r="H5" s="9" t="s">
        <v>315</v>
      </c>
      <c r="I5" s="9" t="s">
        <v>316</v>
      </c>
      <c r="J5" s="9" t="s">
        <v>317</v>
      </c>
      <c r="K5" s="9" t="s">
        <v>318</v>
      </c>
      <c r="L5" s="9" t="s">
        <v>319</v>
      </c>
    </row>
    <row r="6" spans="1:12">
      <c r="A6" s="9"/>
      <c r="B6" s="9"/>
      <c r="C6" s="9" t="s">
        <v>191</v>
      </c>
      <c r="D6" s="9" t="s">
        <v>320</v>
      </c>
      <c r="E6" s="9" t="s">
        <v>320</v>
      </c>
      <c r="F6" s="10" t="s">
        <v>321</v>
      </c>
      <c r="G6" s="10" t="s">
        <v>322</v>
      </c>
      <c r="H6" s="9" t="s">
        <v>309</v>
      </c>
      <c r="I6" s="9" t="s">
        <v>309</v>
      </c>
      <c r="J6" s="9" t="s">
        <v>309</v>
      </c>
      <c r="K6" s="9" t="s">
        <v>309</v>
      </c>
      <c r="L6" s="9"/>
    </row>
    <row r="7" spans="1:12">
      <c r="A7" s="11" t="s">
        <v>196</v>
      </c>
      <c r="B7" s="11" t="s">
        <v>323</v>
      </c>
      <c r="C7" s="11" t="s">
        <v>324</v>
      </c>
      <c r="D7" s="11" t="s">
        <v>325</v>
      </c>
      <c r="E7" s="11" t="s">
        <v>326</v>
      </c>
      <c r="F7" s="12">
        <v>1</v>
      </c>
      <c r="G7" s="12">
        <v>1</v>
      </c>
      <c r="H7" s="11"/>
      <c r="I7" s="11"/>
      <c r="J7" s="11"/>
      <c r="K7" s="11"/>
      <c r="L7" s="11"/>
    </row>
    <row r="8" spans="1:12">
      <c r="A8" s="4" t="s">
        <v>198</v>
      </c>
      <c r="B8" s="4" t="s">
        <v>327</v>
      </c>
      <c r="C8" s="4" t="s">
        <v>324</v>
      </c>
      <c r="D8" s="4" t="s">
        <v>325</v>
      </c>
      <c r="E8" s="4" t="s">
        <v>326</v>
      </c>
      <c r="F8" s="13">
        <v>1</v>
      </c>
      <c r="G8" s="13">
        <v>2</v>
      </c>
      <c r="H8" s="4"/>
      <c r="I8" s="4"/>
      <c r="J8" s="4"/>
      <c r="K8" s="4"/>
      <c r="L8" s="4"/>
    </row>
    <row r="9" spans="1:12">
      <c r="A9" s="4" t="s">
        <v>328</v>
      </c>
      <c r="B9" s="4" t="s">
        <v>329</v>
      </c>
      <c r="C9" s="4" t="s">
        <v>324</v>
      </c>
      <c r="D9" s="4" t="s">
        <v>330</v>
      </c>
      <c r="E9" s="4" t="s">
        <v>326</v>
      </c>
      <c r="F9" s="13">
        <v>1</v>
      </c>
      <c r="G9" s="13">
        <v>1</v>
      </c>
      <c r="H9" s="4"/>
      <c r="I9" s="4"/>
      <c r="J9" s="4"/>
      <c r="K9" s="4"/>
      <c r="L9" s="4" t="s">
        <v>331</v>
      </c>
    </row>
    <row r="10" spans="1:12">
      <c r="A10" s="4" t="s">
        <v>332</v>
      </c>
      <c r="B10" s="4" t="s">
        <v>333</v>
      </c>
      <c r="C10" s="4" t="s">
        <v>324</v>
      </c>
      <c r="D10" s="4" t="s">
        <v>330</v>
      </c>
      <c r="E10" s="4" t="s">
        <v>326</v>
      </c>
      <c r="F10" s="13">
        <v>1</v>
      </c>
      <c r="G10" s="13">
        <v>1</v>
      </c>
      <c r="H10" s="4"/>
      <c r="I10" s="4"/>
      <c r="J10" s="4"/>
      <c r="K10" s="4" t="s">
        <v>204</v>
      </c>
      <c r="L10" s="4" t="s">
        <v>331</v>
      </c>
    </row>
    <row r="11" spans="1:12">
      <c r="A11" s="4" t="s">
        <v>334</v>
      </c>
      <c r="B11" s="4" t="s">
        <v>335</v>
      </c>
      <c r="C11" s="4" t="s">
        <v>324</v>
      </c>
      <c r="D11" s="4" t="s">
        <v>330</v>
      </c>
      <c r="E11" s="4" t="s">
        <v>326</v>
      </c>
      <c r="F11" s="13">
        <v>1</v>
      </c>
      <c r="G11" s="13">
        <v>1</v>
      </c>
      <c r="H11" s="4"/>
      <c r="I11" s="4"/>
      <c r="J11" s="4"/>
      <c r="K11" s="4" t="s">
        <v>204</v>
      </c>
      <c r="L11" s="4" t="s">
        <v>331</v>
      </c>
    </row>
    <row r="12" spans="1:12">
      <c r="A12" s="4" t="s">
        <v>336</v>
      </c>
      <c r="B12" s="4" t="s">
        <v>337</v>
      </c>
      <c r="C12" s="4" t="s">
        <v>324</v>
      </c>
      <c r="D12" s="4" t="s">
        <v>330</v>
      </c>
      <c r="E12" s="4" t="s">
        <v>326</v>
      </c>
      <c r="F12" s="13">
        <v>1</v>
      </c>
      <c r="G12" s="13">
        <v>1</v>
      </c>
      <c r="H12" s="4"/>
      <c r="I12" s="4"/>
      <c r="J12" s="4"/>
      <c r="K12" s="4" t="s">
        <v>204</v>
      </c>
      <c r="L12" s="4" t="s">
        <v>331</v>
      </c>
    </row>
    <row r="13" spans="1:12">
      <c r="A13" s="4" t="s">
        <v>338</v>
      </c>
      <c r="B13" s="4" t="s">
        <v>339</v>
      </c>
      <c r="C13" s="4" t="s">
        <v>324</v>
      </c>
      <c r="D13" s="4" t="s">
        <v>330</v>
      </c>
      <c r="E13" s="4" t="s">
        <v>326</v>
      </c>
      <c r="F13" s="13">
        <v>1</v>
      </c>
      <c r="G13" s="13">
        <v>1</v>
      </c>
      <c r="H13" s="4"/>
      <c r="I13" s="4"/>
      <c r="J13" s="4"/>
      <c r="K13" s="4" t="s">
        <v>204</v>
      </c>
      <c r="L13" s="4" t="s">
        <v>331</v>
      </c>
    </row>
    <row r="14" spans="1:12">
      <c r="A14" s="4" t="s">
        <v>340</v>
      </c>
      <c r="B14" s="4" t="s">
        <v>341</v>
      </c>
      <c r="C14" s="4" t="s">
        <v>324</v>
      </c>
      <c r="D14" s="4" t="s">
        <v>330</v>
      </c>
      <c r="E14" s="4" t="s">
        <v>326</v>
      </c>
      <c r="F14" s="13">
        <v>1</v>
      </c>
      <c r="G14" s="13">
        <v>1</v>
      </c>
      <c r="H14" s="4"/>
      <c r="I14" s="4"/>
      <c r="J14" s="4"/>
      <c r="K14" s="4" t="s">
        <v>204</v>
      </c>
      <c r="L14" s="4" t="s">
        <v>331</v>
      </c>
    </row>
    <row r="15" spans="1:12">
      <c r="A15" s="4" t="s">
        <v>342</v>
      </c>
      <c r="B15" s="4" t="s">
        <v>343</v>
      </c>
      <c r="C15" s="4" t="s">
        <v>324</v>
      </c>
      <c r="D15" s="4" t="s">
        <v>330</v>
      </c>
      <c r="E15" s="4" t="s">
        <v>326</v>
      </c>
      <c r="F15" s="13">
        <v>1</v>
      </c>
      <c r="G15" s="13">
        <v>1</v>
      </c>
      <c r="H15" s="4"/>
      <c r="I15" s="4"/>
      <c r="J15" s="4"/>
      <c r="K15" s="4" t="s">
        <v>204</v>
      </c>
      <c r="L15" s="4" t="s">
        <v>331</v>
      </c>
    </row>
    <row r="16" spans="1:12">
      <c r="A16" s="4" t="s">
        <v>344</v>
      </c>
      <c r="B16" s="4" t="s">
        <v>345</v>
      </c>
      <c r="C16" s="4" t="s">
        <v>324</v>
      </c>
      <c r="D16" s="4" t="s">
        <v>330</v>
      </c>
      <c r="E16" s="4" t="s">
        <v>326</v>
      </c>
      <c r="F16" s="13">
        <v>1</v>
      </c>
      <c r="G16" s="13">
        <v>1</v>
      </c>
      <c r="H16" s="4"/>
      <c r="I16" s="4"/>
      <c r="J16" s="4"/>
      <c r="K16" s="4" t="s">
        <v>204</v>
      </c>
      <c r="L16" s="4" t="s">
        <v>331</v>
      </c>
    </row>
    <row r="17" spans="1:12">
      <c r="A17" s="4" t="s">
        <v>346</v>
      </c>
      <c r="B17" s="4" t="s">
        <v>347</v>
      </c>
      <c r="C17" s="4" t="s">
        <v>324</v>
      </c>
      <c r="D17" s="4" t="s">
        <v>330</v>
      </c>
      <c r="E17" s="4" t="s">
        <v>326</v>
      </c>
      <c r="F17" s="13">
        <v>1</v>
      </c>
      <c r="G17" s="13">
        <v>1</v>
      </c>
      <c r="H17" s="4"/>
      <c r="I17" s="4"/>
      <c r="J17" s="4"/>
      <c r="K17" s="4" t="s">
        <v>204</v>
      </c>
      <c r="L17" s="4" t="s">
        <v>331</v>
      </c>
    </row>
    <row r="18" spans="1:12">
      <c r="A18" s="4" t="s">
        <v>348</v>
      </c>
      <c r="B18" s="4" t="s">
        <v>349</v>
      </c>
      <c r="C18" s="4" t="s">
        <v>324</v>
      </c>
      <c r="D18" s="4" t="s">
        <v>330</v>
      </c>
      <c r="E18" s="4" t="s">
        <v>326</v>
      </c>
      <c r="F18" s="13">
        <v>1</v>
      </c>
      <c r="G18" s="13">
        <v>1</v>
      </c>
      <c r="H18" s="4"/>
      <c r="I18" s="4"/>
      <c r="J18" s="4"/>
      <c r="K18" s="4" t="s">
        <v>204</v>
      </c>
      <c r="L18" s="4" t="s">
        <v>331</v>
      </c>
    </row>
    <row r="19" spans="1:12">
      <c r="A19" s="4" t="s">
        <v>350</v>
      </c>
      <c r="B19" s="4" t="s">
        <v>351</v>
      </c>
      <c r="C19" s="4" t="s">
        <v>324</v>
      </c>
      <c r="D19" s="4" t="s">
        <v>330</v>
      </c>
      <c r="E19" s="4" t="s">
        <v>326</v>
      </c>
      <c r="F19" s="13">
        <v>1</v>
      </c>
      <c r="G19" s="13">
        <v>1</v>
      </c>
      <c r="H19" s="4"/>
      <c r="I19" s="4"/>
      <c r="J19" s="4"/>
      <c r="K19" s="4" t="s">
        <v>204</v>
      </c>
      <c r="L19" s="4" t="s">
        <v>331</v>
      </c>
    </row>
    <row r="20" spans="1:12">
      <c r="A20" s="4" t="s">
        <v>352</v>
      </c>
      <c r="B20" s="4" t="s">
        <v>353</v>
      </c>
      <c r="C20" s="4" t="s">
        <v>324</v>
      </c>
      <c r="D20" s="4" t="s">
        <v>330</v>
      </c>
      <c r="E20" s="4" t="s">
        <v>326</v>
      </c>
      <c r="F20" s="13">
        <v>1</v>
      </c>
      <c r="G20" s="13">
        <v>1</v>
      </c>
      <c r="H20" s="4"/>
      <c r="I20" s="4"/>
      <c r="J20" s="4"/>
      <c r="K20" s="4" t="s">
        <v>204</v>
      </c>
      <c r="L20" s="4" t="s">
        <v>331</v>
      </c>
    </row>
    <row r="21" spans="1:12">
      <c r="A21" s="4" t="s">
        <v>354</v>
      </c>
      <c r="B21" s="4" t="s">
        <v>355</v>
      </c>
      <c r="C21" s="4" t="s">
        <v>324</v>
      </c>
      <c r="D21" s="4" t="s">
        <v>330</v>
      </c>
      <c r="E21" s="4" t="s">
        <v>326</v>
      </c>
      <c r="F21" s="13">
        <v>1</v>
      </c>
      <c r="G21" s="13">
        <v>1</v>
      </c>
      <c r="H21" s="4"/>
      <c r="I21" s="4"/>
      <c r="J21" s="4"/>
      <c r="K21" s="4" t="s">
        <v>204</v>
      </c>
      <c r="L21" s="4" t="s">
        <v>331</v>
      </c>
    </row>
    <row r="22" spans="1:12">
      <c r="A22" s="4" t="s">
        <v>356</v>
      </c>
      <c r="B22" s="4" t="s">
        <v>357</v>
      </c>
      <c r="C22" s="4" t="s">
        <v>324</v>
      </c>
      <c r="D22" s="4" t="s">
        <v>330</v>
      </c>
      <c r="E22" s="4" t="s">
        <v>326</v>
      </c>
      <c r="F22" s="13">
        <v>1</v>
      </c>
      <c r="G22" s="13">
        <v>1</v>
      </c>
      <c r="H22" s="4"/>
      <c r="I22" s="4"/>
      <c r="J22" s="4"/>
      <c r="K22" s="4" t="s">
        <v>204</v>
      </c>
      <c r="L22" s="4" t="s">
        <v>331</v>
      </c>
    </row>
    <row r="23" spans="1:12">
      <c r="A23" s="4" t="s">
        <v>358</v>
      </c>
      <c r="B23" s="4" t="s">
        <v>359</v>
      </c>
      <c r="C23" s="4" t="s">
        <v>324</v>
      </c>
      <c r="D23" s="4" t="s">
        <v>330</v>
      </c>
      <c r="E23" s="4" t="s">
        <v>326</v>
      </c>
      <c r="F23" s="13">
        <v>1</v>
      </c>
      <c r="G23" s="13">
        <v>1</v>
      </c>
      <c r="H23" s="4"/>
      <c r="I23" s="4"/>
      <c r="J23" s="4"/>
      <c r="K23" s="4" t="s">
        <v>204</v>
      </c>
      <c r="L23" s="4" t="s">
        <v>331</v>
      </c>
    </row>
    <row r="24" spans="1:12">
      <c r="A24" s="4" t="s">
        <v>360</v>
      </c>
      <c r="B24" s="4" t="s">
        <v>361</v>
      </c>
      <c r="C24" s="4" t="s">
        <v>324</v>
      </c>
      <c r="D24" s="4" t="s">
        <v>330</v>
      </c>
      <c r="E24" s="4" t="s">
        <v>326</v>
      </c>
      <c r="F24" s="13">
        <v>1</v>
      </c>
      <c r="G24" s="13">
        <v>1</v>
      </c>
      <c r="H24" s="4"/>
      <c r="I24" s="4"/>
      <c r="J24" s="4"/>
      <c r="K24" s="4" t="s">
        <v>204</v>
      </c>
      <c r="L24" s="4" t="s">
        <v>331</v>
      </c>
    </row>
    <row r="25" spans="1:12">
      <c r="A25" s="4" t="s">
        <v>362</v>
      </c>
      <c r="B25" s="4" t="s">
        <v>363</v>
      </c>
      <c r="C25" s="4" t="s">
        <v>324</v>
      </c>
      <c r="D25" s="4" t="s">
        <v>330</v>
      </c>
      <c r="E25" s="4" t="s">
        <v>326</v>
      </c>
      <c r="F25" s="13">
        <v>1</v>
      </c>
      <c r="G25" s="13">
        <v>1</v>
      </c>
      <c r="H25" s="4"/>
      <c r="I25" s="4"/>
      <c r="J25" s="4"/>
      <c r="K25" s="4" t="s">
        <v>204</v>
      </c>
      <c r="L25" s="4" t="s">
        <v>331</v>
      </c>
    </row>
    <row r="26" spans="1:12">
      <c r="A26" s="4" t="s">
        <v>364</v>
      </c>
      <c r="B26" s="4" t="s">
        <v>365</v>
      </c>
      <c r="C26" s="4" t="s">
        <v>324</v>
      </c>
      <c r="D26" s="4" t="s">
        <v>330</v>
      </c>
      <c r="E26" s="4" t="s">
        <v>326</v>
      </c>
      <c r="F26" s="13">
        <v>1</v>
      </c>
      <c r="G26" s="13">
        <v>1</v>
      </c>
      <c r="H26" s="4"/>
      <c r="I26" s="4"/>
      <c r="J26" s="4"/>
      <c r="K26" s="4" t="s">
        <v>204</v>
      </c>
      <c r="L26" s="4" t="s">
        <v>331</v>
      </c>
    </row>
    <row r="27" spans="1:12">
      <c r="A27" s="4" t="s">
        <v>366</v>
      </c>
      <c r="B27" s="4" t="s">
        <v>367</v>
      </c>
      <c r="C27" s="4" t="s">
        <v>324</v>
      </c>
      <c r="D27" s="4" t="s">
        <v>330</v>
      </c>
      <c r="E27" s="4" t="s">
        <v>326</v>
      </c>
      <c r="F27" s="13">
        <v>1</v>
      </c>
      <c r="G27" s="13">
        <v>1</v>
      </c>
      <c r="H27" s="4"/>
      <c r="I27" s="4"/>
      <c r="J27" s="4"/>
      <c r="K27" s="4" t="s">
        <v>204</v>
      </c>
      <c r="L27" s="4" t="s">
        <v>331</v>
      </c>
    </row>
    <row r="28" spans="1:12">
      <c r="A28" s="4" t="s">
        <v>368</v>
      </c>
      <c r="B28" s="4" t="s">
        <v>369</v>
      </c>
      <c r="C28" s="4" t="s">
        <v>324</v>
      </c>
      <c r="D28" s="4" t="s">
        <v>330</v>
      </c>
      <c r="E28" s="4" t="s">
        <v>326</v>
      </c>
      <c r="F28" s="13">
        <v>1</v>
      </c>
      <c r="G28" s="13">
        <v>1</v>
      </c>
      <c r="H28" s="4"/>
      <c r="I28" s="4"/>
      <c r="J28" s="4"/>
      <c r="K28" s="4" t="s">
        <v>204</v>
      </c>
      <c r="L28" s="4" t="s">
        <v>331</v>
      </c>
    </row>
    <row r="29" spans="1:12">
      <c r="A29" s="4" t="s">
        <v>370</v>
      </c>
      <c r="B29" s="4" t="s">
        <v>371</v>
      </c>
      <c r="C29" s="4" t="s">
        <v>324</v>
      </c>
      <c r="D29" s="4" t="s">
        <v>330</v>
      </c>
      <c r="E29" s="4" t="s">
        <v>326</v>
      </c>
      <c r="F29" s="13">
        <v>1</v>
      </c>
      <c r="G29" s="13">
        <v>1</v>
      </c>
      <c r="H29" s="4"/>
      <c r="I29" s="4"/>
      <c r="J29" s="4"/>
      <c r="K29" s="4" t="s">
        <v>204</v>
      </c>
      <c r="L29" s="4" t="s">
        <v>331</v>
      </c>
    </row>
    <row r="30" spans="1:12">
      <c r="A30" s="4" t="s">
        <v>372</v>
      </c>
      <c r="B30" s="4" t="s">
        <v>373</v>
      </c>
      <c r="C30" s="4" t="s">
        <v>324</v>
      </c>
      <c r="D30" s="4" t="s">
        <v>330</v>
      </c>
      <c r="E30" s="4" t="s">
        <v>326</v>
      </c>
      <c r="F30" s="13">
        <v>1</v>
      </c>
      <c r="G30" s="13">
        <v>1</v>
      </c>
      <c r="H30" s="4"/>
      <c r="I30" s="4"/>
      <c r="J30" s="4"/>
      <c r="K30" s="4" t="s">
        <v>204</v>
      </c>
      <c r="L30" s="4" t="s">
        <v>331</v>
      </c>
    </row>
    <row r="31" spans="1:12">
      <c r="A31" s="4" t="s">
        <v>374</v>
      </c>
      <c r="B31" s="4" t="s">
        <v>375</v>
      </c>
      <c r="C31" s="4" t="s">
        <v>324</v>
      </c>
      <c r="D31" s="4" t="s">
        <v>330</v>
      </c>
      <c r="E31" s="4" t="s">
        <v>326</v>
      </c>
      <c r="F31" s="13">
        <v>1</v>
      </c>
      <c r="G31" s="13">
        <v>1</v>
      </c>
      <c r="H31" s="4"/>
      <c r="I31" s="4"/>
      <c r="J31" s="4"/>
      <c r="K31" s="4" t="s">
        <v>204</v>
      </c>
      <c r="L31" s="4" t="s">
        <v>331</v>
      </c>
    </row>
    <row r="32" spans="1:12">
      <c r="A32" s="4" t="s">
        <v>376</v>
      </c>
      <c r="B32" s="4" t="s">
        <v>377</v>
      </c>
      <c r="C32" s="4" t="s">
        <v>324</v>
      </c>
      <c r="D32" s="4" t="s">
        <v>330</v>
      </c>
      <c r="E32" s="4" t="s">
        <v>326</v>
      </c>
      <c r="F32" s="13">
        <v>1</v>
      </c>
      <c r="G32" s="13">
        <v>1</v>
      </c>
      <c r="H32" s="4"/>
      <c r="I32" s="4"/>
      <c r="J32" s="4"/>
      <c r="K32" s="4" t="s">
        <v>204</v>
      </c>
      <c r="L32" s="4" t="s">
        <v>331</v>
      </c>
    </row>
    <row r="33" spans="1:12">
      <c r="A33" s="4" t="s">
        <v>378</v>
      </c>
      <c r="B33" s="4" t="s">
        <v>379</v>
      </c>
      <c r="C33" s="4" t="s">
        <v>324</v>
      </c>
      <c r="D33" s="4" t="s">
        <v>330</v>
      </c>
      <c r="E33" s="4" t="s">
        <v>326</v>
      </c>
      <c r="F33" s="13">
        <v>1</v>
      </c>
      <c r="G33" s="13">
        <v>1</v>
      </c>
      <c r="H33" s="4"/>
      <c r="I33" s="4"/>
      <c r="J33" s="4"/>
      <c r="K33" s="4" t="s">
        <v>204</v>
      </c>
      <c r="L33" s="4" t="s">
        <v>331</v>
      </c>
    </row>
    <row r="34" spans="1:12">
      <c r="A34" s="4" t="s">
        <v>380</v>
      </c>
      <c r="B34" s="4" t="s">
        <v>381</v>
      </c>
      <c r="C34" s="4" t="s">
        <v>324</v>
      </c>
      <c r="D34" s="4" t="s">
        <v>330</v>
      </c>
      <c r="E34" s="4" t="s">
        <v>326</v>
      </c>
      <c r="F34" s="13">
        <v>1</v>
      </c>
      <c r="G34" s="13">
        <v>1</v>
      </c>
      <c r="H34" s="4"/>
      <c r="I34" s="4"/>
      <c r="J34" s="4"/>
      <c r="K34" s="4" t="s">
        <v>204</v>
      </c>
      <c r="L34" s="4" t="s">
        <v>331</v>
      </c>
    </row>
    <row r="35" spans="1:12">
      <c r="A35" s="4" t="s">
        <v>382</v>
      </c>
      <c r="B35" s="4" t="s">
        <v>383</v>
      </c>
      <c r="C35" s="4" t="s">
        <v>324</v>
      </c>
      <c r="D35" s="4" t="s">
        <v>330</v>
      </c>
      <c r="E35" s="4" t="s">
        <v>326</v>
      </c>
      <c r="F35" s="13">
        <v>1</v>
      </c>
      <c r="G35" s="13">
        <v>1</v>
      </c>
      <c r="H35" s="4"/>
      <c r="I35" s="4"/>
      <c r="J35" s="4"/>
      <c r="K35" s="4" t="s">
        <v>204</v>
      </c>
      <c r="L35" s="4" t="s">
        <v>331</v>
      </c>
    </row>
    <row r="36" spans="1:12">
      <c r="A36" s="4" t="s">
        <v>384</v>
      </c>
      <c r="B36" s="4" t="s">
        <v>385</v>
      </c>
      <c r="C36" s="4" t="s">
        <v>324</v>
      </c>
      <c r="D36" s="4" t="s">
        <v>330</v>
      </c>
      <c r="E36" s="4" t="s">
        <v>326</v>
      </c>
      <c r="F36" s="13">
        <v>1</v>
      </c>
      <c r="G36" s="13">
        <v>1</v>
      </c>
      <c r="H36" s="4"/>
      <c r="I36" s="4"/>
      <c r="J36" s="4"/>
      <c r="K36" s="4" t="s">
        <v>204</v>
      </c>
      <c r="L36" s="4" t="s">
        <v>331</v>
      </c>
    </row>
    <row r="37" spans="1:12">
      <c r="A37" s="4" t="s">
        <v>386</v>
      </c>
      <c r="B37" s="4" t="s">
        <v>387</v>
      </c>
      <c r="C37" s="4" t="s">
        <v>324</v>
      </c>
      <c r="D37" s="4" t="s">
        <v>330</v>
      </c>
      <c r="E37" s="4" t="s">
        <v>326</v>
      </c>
      <c r="F37" s="13">
        <v>1</v>
      </c>
      <c r="G37" s="13">
        <v>1</v>
      </c>
      <c r="H37" s="4"/>
      <c r="I37" s="4"/>
      <c r="J37" s="4"/>
      <c r="K37" s="4" t="s">
        <v>204</v>
      </c>
      <c r="L37" s="4" t="s">
        <v>331</v>
      </c>
    </row>
    <row r="38" spans="1:12">
      <c r="A38" s="4" t="s">
        <v>388</v>
      </c>
      <c r="B38" s="4" t="s">
        <v>389</v>
      </c>
      <c r="C38" s="4" t="s">
        <v>324</v>
      </c>
      <c r="D38" s="4" t="s">
        <v>330</v>
      </c>
      <c r="E38" s="4" t="s">
        <v>326</v>
      </c>
      <c r="F38" s="13">
        <v>1</v>
      </c>
      <c r="G38" s="13">
        <v>1</v>
      </c>
      <c r="H38" s="4"/>
      <c r="I38" s="4"/>
      <c r="J38" s="4"/>
      <c r="K38" s="4" t="s">
        <v>204</v>
      </c>
      <c r="L38" s="4" t="s">
        <v>331</v>
      </c>
    </row>
    <row r="39" spans="1:12">
      <c r="A39" s="4" t="s">
        <v>390</v>
      </c>
      <c r="B39" s="4" t="s">
        <v>391</v>
      </c>
      <c r="C39" s="4" t="s">
        <v>324</v>
      </c>
      <c r="D39" s="4" t="s">
        <v>330</v>
      </c>
      <c r="E39" s="4" t="s">
        <v>326</v>
      </c>
      <c r="F39" s="13">
        <v>1</v>
      </c>
      <c r="G39" s="13">
        <v>1</v>
      </c>
      <c r="H39" s="4"/>
      <c r="I39" s="4"/>
      <c r="J39" s="4"/>
      <c r="K39" s="4" t="s">
        <v>204</v>
      </c>
      <c r="L39" s="4" t="s">
        <v>331</v>
      </c>
    </row>
    <row r="40" spans="1:12">
      <c r="A40" s="4" t="s">
        <v>392</v>
      </c>
      <c r="B40" s="4" t="s">
        <v>393</v>
      </c>
      <c r="C40" s="4" t="s">
        <v>324</v>
      </c>
      <c r="D40" s="4" t="s">
        <v>330</v>
      </c>
      <c r="E40" s="4" t="s">
        <v>326</v>
      </c>
      <c r="F40" s="13">
        <v>1</v>
      </c>
      <c r="G40" s="13">
        <v>1</v>
      </c>
      <c r="H40" s="4"/>
      <c r="I40" s="4"/>
      <c r="J40" s="4"/>
      <c r="K40" s="4" t="s">
        <v>204</v>
      </c>
      <c r="L40" s="4" t="s">
        <v>331</v>
      </c>
    </row>
    <row r="41" spans="1:12">
      <c r="A41" s="4" t="s">
        <v>394</v>
      </c>
      <c r="B41" s="4" t="s">
        <v>395</v>
      </c>
      <c r="C41" s="4" t="s">
        <v>324</v>
      </c>
      <c r="D41" s="4" t="s">
        <v>330</v>
      </c>
      <c r="E41" s="4" t="s">
        <v>326</v>
      </c>
      <c r="F41" s="13">
        <v>1</v>
      </c>
      <c r="G41" s="13">
        <v>1</v>
      </c>
      <c r="H41" s="4"/>
      <c r="I41" s="4"/>
      <c r="J41" s="4"/>
      <c r="K41" s="4" t="s">
        <v>204</v>
      </c>
      <c r="L41" s="4" t="s">
        <v>331</v>
      </c>
    </row>
    <row r="42" spans="1:12">
      <c r="A42" s="4" t="s">
        <v>396</v>
      </c>
      <c r="B42" s="4" t="s">
        <v>397</v>
      </c>
      <c r="C42" s="4" t="s">
        <v>324</v>
      </c>
      <c r="D42" s="4" t="s">
        <v>330</v>
      </c>
      <c r="E42" s="4" t="s">
        <v>326</v>
      </c>
      <c r="F42" s="13">
        <v>1</v>
      </c>
      <c r="G42" s="13">
        <v>1</v>
      </c>
      <c r="H42" s="4"/>
      <c r="I42" s="4"/>
      <c r="J42" s="4"/>
      <c r="K42" s="4" t="s">
        <v>204</v>
      </c>
      <c r="L42" s="4" t="s">
        <v>331</v>
      </c>
    </row>
    <row r="43" spans="1:12">
      <c r="A43" s="4" t="s">
        <v>398</v>
      </c>
      <c r="B43" s="4" t="s">
        <v>399</v>
      </c>
      <c r="C43" s="4" t="s">
        <v>324</v>
      </c>
      <c r="D43" s="4" t="s">
        <v>330</v>
      </c>
      <c r="E43" s="4" t="s">
        <v>326</v>
      </c>
      <c r="F43" s="13">
        <v>1</v>
      </c>
      <c r="G43" s="13">
        <v>1</v>
      </c>
      <c r="H43" s="4"/>
      <c r="I43" s="4"/>
      <c r="J43" s="4"/>
      <c r="K43" s="4" t="s">
        <v>204</v>
      </c>
      <c r="L43" s="4" t="s">
        <v>331</v>
      </c>
    </row>
    <row r="44" spans="1:12">
      <c r="A44" s="4" t="s">
        <v>400</v>
      </c>
      <c r="B44" s="4" t="s">
        <v>401</v>
      </c>
      <c r="C44" s="4" t="s">
        <v>324</v>
      </c>
      <c r="D44" s="4" t="s">
        <v>330</v>
      </c>
      <c r="E44" s="4" t="s">
        <v>326</v>
      </c>
      <c r="F44" s="13">
        <v>1</v>
      </c>
      <c r="G44" s="13">
        <v>1</v>
      </c>
      <c r="H44" s="4"/>
      <c r="I44" s="4"/>
      <c r="J44" s="4"/>
      <c r="K44" s="4" t="s">
        <v>204</v>
      </c>
      <c r="L44" s="4" t="s">
        <v>331</v>
      </c>
    </row>
    <row r="45" spans="1:12">
      <c r="A45" s="4" t="s">
        <v>402</v>
      </c>
      <c r="B45" s="4" t="s">
        <v>403</v>
      </c>
      <c r="C45" s="4" t="s">
        <v>324</v>
      </c>
      <c r="D45" s="4" t="s">
        <v>330</v>
      </c>
      <c r="E45" s="4" t="s">
        <v>326</v>
      </c>
      <c r="F45" s="13">
        <v>1</v>
      </c>
      <c r="G45" s="13">
        <v>1</v>
      </c>
      <c r="H45" s="4"/>
      <c r="I45" s="4"/>
      <c r="J45" s="4"/>
      <c r="K45" s="4" t="s">
        <v>204</v>
      </c>
      <c r="L45" s="4" t="s">
        <v>331</v>
      </c>
    </row>
    <row r="46" spans="1:12">
      <c r="A46" s="4" t="s">
        <v>404</v>
      </c>
      <c r="B46" s="4" t="s">
        <v>405</v>
      </c>
      <c r="C46" s="4" t="s">
        <v>324</v>
      </c>
      <c r="D46" s="4" t="s">
        <v>330</v>
      </c>
      <c r="E46" s="4" t="s">
        <v>326</v>
      </c>
      <c r="F46" s="13">
        <v>1</v>
      </c>
      <c r="G46" s="13">
        <v>1</v>
      </c>
      <c r="H46" s="4"/>
      <c r="I46" s="4"/>
      <c r="J46" s="4"/>
      <c r="K46" s="4" t="s">
        <v>204</v>
      </c>
      <c r="L46" s="4" t="s">
        <v>331</v>
      </c>
    </row>
    <row r="47" spans="1:12">
      <c r="A47" s="4" t="s">
        <v>406</v>
      </c>
      <c r="B47" s="4" t="s">
        <v>407</v>
      </c>
      <c r="C47" s="4" t="s">
        <v>324</v>
      </c>
      <c r="D47" s="4" t="s">
        <v>330</v>
      </c>
      <c r="E47" s="4" t="s">
        <v>326</v>
      </c>
      <c r="F47" s="13">
        <v>1</v>
      </c>
      <c r="G47" s="13">
        <v>1</v>
      </c>
      <c r="H47" s="4"/>
      <c r="I47" s="4"/>
      <c r="J47" s="4"/>
      <c r="K47" s="4" t="s">
        <v>204</v>
      </c>
      <c r="L47" s="4" t="s">
        <v>331</v>
      </c>
    </row>
    <row r="48" spans="1:12">
      <c r="A48" s="4" t="s">
        <v>408</v>
      </c>
      <c r="B48" s="4" t="s">
        <v>409</v>
      </c>
      <c r="C48" s="4" t="s">
        <v>324</v>
      </c>
      <c r="D48" s="4" t="s">
        <v>330</v>
      </c>
      <c r="E48" s="4" t="s">
        <v>326</v>
      </c>
      <c r="F48" s="13">
        <v>1</v>
      </c>
      <c r="G48" s="13">
        <v>1</v>
      </c>
      <c r="H48" s="4"/>
      <c r="I48" s="4"/>
      <c r="J48" s="4"/>
      <c r="K48" s="4" t="s">
        <v>204</v>
      </c>
      <c r="L48" s="4" t="s">
        <v>331</v>
      </c>
    </row>
    <row r="49" spans="1:12">
      <c r="A49" s="4" t="s">
        <v>410</v>
      </c>
      <c r="B49" s="4" t="s">
        <v>411</v>
      </c>
      <c r="C49" s="4" t="s">
        <v>324</v>
      </c>
      <c r="D49" s="4" t="s">
        <v>330</v>
      </c>
      <c r="E49" s="4" t="s">
        <v>326</v>
      </c>
      <c r="F49" s="13">
        <v>1</v>
      </c>
      <c r="G49" s="13">
        <v>1</v>
      </c>
      <c r="H49" s="4"/>
      <c r="I49" s="4"/>
      <c r="J49" s="4"/>
      <c r="K49" s="4" t="s">
        <v>204</v>
      </c>
      <c r="L49" s="4" t="s">
        <v>331</v>
      </c>
    </row>
    <row r="50" spans="1:12">
      <c r="A50" s="4" t="s">
        <v>412</v>
      </c>
      <c r="B50" s="4" t="s">
        <v>413</v>
      </c>
      <c r="C50" s="4" t="s">
        <v>324</v>
      </c>
      <c r="D50" s="4" t="s">
        <v>330</v>
      </c>
      <c r="E50" s="4" t="s">
        <v>326</v>
      </c>
      <c r="F50" s="13">
        <v>1</v>
      </c>
      <c r="G50" s="13">
        <v>1</v>
      </c>
      <c r="H50" s="4"/>
      <c r="I50" s="4"/>
      <c r="J50" s="4"/>
      <c r="K50" s="4" t="s">
        <v>204</v>
      </c>
      <c r="L50" s="4" t="s">
        <v>331</v>
      </c>
    </row>
    <row r="51" spans="1:12">
      <c r="A51" s="4" t="s">
        <v>414</v>
      </c>
      <c r="B51" s="4" t="s">
        <v>415</v>
      </c>
      <c r="C51" s="4" t="s">
        <v>324</v>
      </c>
      <c r="D51" s="4" t="s">
        <v>330</v>
      </c>
      <c r="E51" s="4" t="s">
        <v>326</v>
      </c>
      <c r="F51" s="13">
        <v>1</v>
      </c>
      <c r="G51" s="13">
        <v>1</v>
      </c>
      <c r="H51" s="4"/>
      <c r="I51" s="4"/>
      <c r="J51" s="4"/>
      <c r="K51" s="4" t="s">
        <v>204</v>
      </c>
      <c r="L51" s="4" t="s">
        <v>331</v>
      </c>
    </row>
    <row r="52" spans="1:12">
      <c r="A52" s="4" t="s">
        <v>416</v>
      </c>
      <c r="B52" s="4" t="s">
        <v>417</v>
      </c>
      <c r="C52" s="4" t="s">
        <v>324</v>
      </c>
      <c r="D52" s="4" t="s">
        <v>330</v>
      </c>
      <c r="E52" s="4" t="s">
        <v>326</v>
      </c>
      <c r="F52" s="13">
        <v>1</v>
      </c>
      <c r="G52" s="13">
        <v>1</v>
      </c>
      <c r="H52" s="4"/>
      <c r="I52" s="4"/>
      <c r="J52" s="4"/>
      <c r="K52" s="4" t="s">
        <v>204</v>
      </c>
      <c r="L52" s="4" t="s">
        <v>331</v>
      </c>
    </row>
    <row r="53" spans="1:12">
      <c r="A53" s="4" t="s">
        <v>418</v>
      </c>
      <c r="B53" s="4" t="s">
        <v>419</v>
      </c>
      <c r="C53" s="4" t="s">
        <v>324</v>
      </c>
      <c r="D53" s="4" t="s">
        <v>330</v>
      </c>
      <c r="E53" s="4" t="s">
        <v>326</v>
      </c>
      <c r="F53" s="13">
        <v>1</v>
      </c>
      <c r="G53" s="13">
        <v>1</v>
      </c>
      <c r="H53" s="4"/>
      <c r="I53" s="4"/>
      <c r="J53" s="4"/>
      <c r="K53" s="4" t="s">
        <v>204</v>
      </c>
      <c r="L53" s="4" t="s">
        <v>331</v>
      </c>
    </row>
    <row r="54" spans="1:12">
      <c r="A54" s="4" t="s">
        <v>420</v>
      </c>
      <c r="B54" s="4" t="s">
        <v>421</v>
      </c>
      <c r="C54" s="4" t="s">
        <v>324</v>
      </c>
      <c r="D54" s="4" t="s">
        <v>330</v>
      </c>
      <c r="E54" s="4" t="s">
        <v>326</v>
      </c>
      <c r="F54" s="13">
        <v>1</v>
      </c>
      <c r="G54" s="13">
        <v>1</v>
      </c>
      <c r="H54" s="4"/>
      <c r="I54" s="4"/>
      <c r="J54" s="4"/>
      <c r="K54" s="4" t="s">
        <v>204</v>
      </c>
      <c r="L54" s="4" t="s">
        <v>331</v>
      </c>
    </row>
    <row r="55" spans="1:12">
      <c r="A55" s="4" t="s">
        <v>422</v>
      </c>
      <c r="B55" s="4" t="s">
        <v>423</v>
      </c>
      <c r="C55" s="4" t="s">
        <v>324</v>
      </c>
      <c r="D55" s="4" t="s">
        <v>330</v>
      </c>
      <c r="E55" s="4" t="s">
        <v>326</v>
      </c>
      <c r="F55" s="13">
        <v>1</v>
      </c>
      <c r="G55" s="13">
        <v>1</v>
      </c>
      <c r="H55" s="4"/>
      <c r="I55" s="4"/>
      <c r="J55" s="4"/>
      <c r="K55" s="4" t="s">
        <v>204</v>
      </c>
      <c r="L55" s="4" t="s">
        <v>331</v>
      </c>
    </row>
    <row r="56" spans="1:12">
      <c r="A56" s="4" t="s">
        <v>424</v>
      </c>
      <c r="B56" s="4" t="s">
        <v>425</v>
      </c>
      <c r="C56" s="4" t="s">
        <v>324</v>
      </c>
      <c r="D56" s="4" t="s">
        <v>330</v>
      </c>
      <c r="E56" s="4" t="s">
        <v>326</v>
      </c>
      <c r="F56" s="13">
        <v>1</v>
      </c>
      <c r="G56" s="13">
        <v>1</v>
      </c>
      <c r="H56" s="4"/>
      <c r="I56" s="4"/>
      <c r="J56" s="4"/>
      <c r="K56" s="4" t="s">
        <v>204</v>
      </c>
      <c r="L56" s="4" t="s">
        <v>331</v>
      </c>
    </row>
    <row r="57" spans="1:12">
      <c r="A57" s="4" t="s">
        <v>426</v>
      </c>
      <c r="B57" s="4" t="s">
        <v>427</v>
      </c>
      <c r="C57" s="4" t="s">
        <v>324</v>
      </c>
      <c r="D57" s="4" t="s">
        <v>330</v>
      </c>
      <c r="E57" s="4" t="s">
        <v>326</v>
      </c>
      <c r="F57" s="13">
        <v>1</v>
      </c>
      <c r="G57" s="13">
        <v>1</v>
      </c>
      <c r="H57" s="4"/>
      <c r="I57" s="4"/>
      <c r="J57" s="4"/>
      <c r="K57" s="4" t="s">
        <v>204</v>
      </c>
      <c r="L57" s="4" t="s">
        <v>331</v>
      </c>
    </row>
    <row r="58" spans="1:12">
      <c r="A58" s="4" t="s">
        <v>428</v>
      </c>
      <c r="B58" s="4" t="s">
        <v>429</v>
      </c>
      <c r="C58" s="4" t="s">
        <v>324</v>
      </c>
      <c r="D58" s="4" t="s">
        <v>330</v>
      </c>
      <c r="E58" s="4" t="s">
        <v>326</v>
      </c>
      <c r="F58" s="13">
        <v>1</v>
      </c>
      <c r="G58" s="13">
        <v>1</v>
      </c>
      <c r="H58" s="4"/>
      <c r="I58" s="4"/>
      <c r="J58" s="4"/>
      <c r="K58" s="4" t="s">
        <v>204</v>
      </c>
      <c r="L58" s="4" t="s">
        <v>331</v>
      </c>
    </row>
    <row r="59" spans="1:12">
      <c r="A59" s="4" t="s">
        <v>430</v>
      </c>
      <c r="B59" s="4" t="s">
        <v>431</v>
      </c>
      <c r="C59" s="4" t="s">
        <v>324</v>
      </c>
      <c r="D59" s="4" t="s">
        <v>330</v>
      </c>
      <c r="E59" s="4" t="s">
        <v>326</v>
      </c>
      <c r="F59" s="13">
        <v>1</v>
      </c>
      <c r="G59" s="13">
        <v>1</v>
      </c>
      <c r="H59" s="4"/>
      <c r="I59" s="4"/>
      <c r="J59" s="4"/>
      <c r="K59" s="4" t="s">
        <v>204</v>
      </c>
      <c r="L59" s="4" t="s">
        <v>331</v>
      </c>
    </row>
    <row r="60" spans="1:12">
      <c r="A60" s="4" t="s">
        <v>432</v>
      </c>
      <c r="B60" s="4" t="s">
        <v>433</v>
      </c>
      <c r="C60" s="4" t="s">
        <v>324</v>
      </c>
      <c r="D60" s="4" t="s">
        <v>330</v>
      </c>
      <c r="E60" s="4" t="s">
        <v>326</v>
      </c>
      <c r="F60" s="13">
        <v>1</v>
      </c>
      <c r="G60" s="13">
        <v>1</v>
      </c>
      <c r="H60" s="4"/>
      <c r="I60" s="4"/>
      <c r="J60" s="4"/>
      <c r="K60" s="4" t="s">
        <v>204</v>
      </c>
      <c r="L60" s="4" t="s">
        <v>331</v>
      </c>
    </row>
    <row r="61" spans="1:12">
      <c r="A61" s="4" t="s">
        <v>434</v>
      </c>
      <c r="B61" s="4" t="s">
        <v>435</v>
      </c>
      <c r="C61" s="4" t="s">
        <v>324</v>
      </c>
      <c r="D61" s="4" t="s">
        <v>330</v>
      </c>
      <c r="E61" s="4" t="s">
        <v>326</v>
      </c>
      <c r="F61" s="13">
        <v>1</v>
      </c>
      <c r="G61" s="13">
        <v>1</v>
      </c>
      <c r="H61" s="4"/>
      <c r="I61" s="4"/>
      <c r="J61" s="4"/>
      <c r="K61" s="4" t="s">
        <v>204</v>
      </c>
      <c r="L61" s="4" t="s">
        <v>331</v>
      </c>
    </row>
    <row r="62" spans="1:12">
      <c r="A62" s="4" t="s">
        <v>436</v>
      </c>
      <c r="B62" s="4" t="s">
        <v>437</v>
      </c>
      <c r="C62" s="4" t="s">
        <v>324</v>
      </c>
      <c r="D62" s="4" t="s">
        <v>330</v>
      </c>
      <c r="E62" s="4" t="s">
        <v>326</v>
      </c>
      <c r="F62" s="13">
        <v>1</v>
      </c>
      <c r="G62" s="13">
        <v>1</v>
      </c>
      <c r="H62" s="4"/>
      <c r="I62" s="4"/>
      <c r="J62" s="4"/>
      <c r="K62" s="4" t="s">
        <v>204</v>
      </c>
      <c r="L62" s="4" t="s">
        <v>438</v>
      </c>
    </row>
    <row r="63" spans="1:12">
      <c r="A63" s="4" t="s">
        <v>439</v>
      </c>
      <c r="B63" s="4" t="s">
        <v>440</v>
      </c>
      <c r="C63" s="4" t="s">
        <v>324</v>
      </c>
      <c r="D63" s="4" t="s">
        <v>330</v>
      </c>
      <c r="E63" s="4" t="s">
        <v>326</v>
      </c>
      <c r="F63" s="13">
        <v>1</v>
      </c>
      <c r="G63" s="13">
        <v>1</v>
      </c>
      <c r="H63" s="4"/>
      <c r="I63" s="4"/>
      <c r="J63" s="4"/>
      <c r="K63" s="4" t="s">
        <v>204</v>
      </c>
      <c r="L63" s="4" t="s">
        <v>331</v>
      </c>
    </row>
    <row r="64" spans="1:12">
      <c r="A64" s="4" t="s">
        <v>441</v>
      </c>
      <c r="B64" s="4" t="s">
        <v>442</v>
      </c>
      <c r="C64" s="4" t="s">
        <v>324</v>
      </c>
      <c r="D64" s="4" t="s">
        <v>330</v>
      </c>
      <c r="E64" s="4" t="s">
        <v>326</v>
      </c>
      <c r="F64" s="13">
        <v>1</v>
      </c>
      <c r="G64" s="13">
        <v>1</v>
      </c>
      <c r="H64" s="4"/>
      <c r="I64" s="4"/>
      <c r="J64" s="4"/>
      <c r="K64" s="4" t="s">
        <v>204</v>
      </c>
      <c r="L64" s="4" t="s">
        <v>331</v>
      </c>
    </row>
    <row r="65" spans="1:12">
      <c r="A65" s="4" t="s">
        <v>443</v>
      </c>
      <c r="B65" s="4" t="s">
        <v>444</v>
      </c>
      <c r="C65" s="4" t="s">
        <v>324</v>
      </c>
      <c r="D65" s="4" t="s">
        <v>330</v>
      </c>
      <c r="E65" s="4" t="s">
        <v>326</v>
      </c>
      <c r="F65" s="13">
        <v>1</v>
      </c>
      <c r="G65" s="13">
        <v>1</v>
      </c>
      <c r="H65" s="4"/>
      <c r="I65" s="4"/>
      <c r="J65" s="4"/>
      <c r="K65" s="4" t="s">
        <v>204</v>
      </c>
      <c r="L65" s="4" t="s">
        <v>331</v>
      </c>
    </row>
    <row r="66" spans="1:12">
      <c r="A66" s="4" t="s">
        <v>445</v>
      </c>
      <c r="B66" s="4" t="s">
        <v>446</v>
      </c>
      <c r="C66" s="4" t="s">
        <v>324</v>
      </c>
      <c r="D66" s="4" t="s">
        <v>330</v>
      </c>
      <c r="E66" s="4" t="s">
        <v>326</v>
      </c>
      <c r="F66" s="13">
        <v>1</v>
      </c>
      <c r="G66" s="13">
        <v>1</v>
      </c>
      <c r="H66" s="4"/>
      <c r="I66" s="4"/>
      <c r="J66" s="4"/>
      <c r="K66" s="4" t="s">
        <v>204</v>
      </c>
      <c r="L66" s="4" t="s">
        <v>331</v>
      </c>
    </row>
    <row r="67" spans="1:12">
      <c r="A67" s="4" t="s">
        <v>447</v>
      </c>
      <c r="B67" s="4" t="s">
        <v>448</v>
      </c>
      <c r="C67" s="4" t="s">
        <v>324</v>
      </c>
      <c r="D67" s="4" t="s">
        <v>330</v>
      </c>
      <c r="E67" s="4" t="s">
        <v>326</v>
      </c>
      <c r="F67" s="13">
        <v>1</v>
      </c>
      <c r="G67" s="13">
        <v>1</v>
      </c>
      <c r="H67" s="4"/>
      <c r="I67" s="4"/>
      <c r="J67" s="4"/>
      <c r="K67" s="4" t="s">
        <v>204</v>
      </c>
      <c r="L67" s="4" t="s">
        <v>331</v>
      </c>
    </row>
    <row r="68" spans="1:12">
      <c r="A68" s="4" t="s">
        <v>449</v>
      </c>
      <c r="B68" s="4" t="s">
        <v>450</v>
      </c>
      <c r="C68" s="4" t="s">
        <v>324</v>
      </c>
      <c r="D68" s="4" t="s">
        <v>330</v>
      </c>
      <c r="E68" s="4" t="s">
        <v>326</v>
      </c>
      <c r="F68" s="13">
        <v>1</v>
      </c>
      <c r="G68" s="13">
        <v>1</v>
      </c>
      <c r="H68" s="4"/>
      <c r="I68" s="4"/>
      <c r="J68" s="4"/>
      <c r="K68" s="4" t="s">
        <v>204</v>
      </c>
      <c r="L68" s="4" t="s">
        <v>331</v>
      </c>
    </row>
    <row r="69" spans="1:12">
      <c r="A69" s="4" t="s">
        <v>451</v>
      </c>
      <c r="B69" s="4" t="s">
        <v>452</v>
      </c>
      <c r="C69" s="4" t="s">
        <v>324</v>
      </c>
      <c r="D69" s="4" t="s">
        <v>330</v>
      </c>
      <c r="E69" s="4" t="s">
        <v>326</v>
      </c>
      <c r="F69" s="13">
        <v>1</v>
      </c>
      <c r="G69" s="13">
        <v>1</v>
      </c>
      <c r="H69" s="4"/>
      <c r="I69" s="4"/>
      <c r="J69" s="4"/>
      <c r="K69" s="4" t="s">
        <v>204</v>
      </c>
      <c r="L69" s="4" t="s">
        <v>331</v>
      </c>
    </row>
    <row r="70" spans="1:12">
      <c r="A70" s="4" t="s">
        <v>453</v>
      </c>
      <c r="B70" s="4" t="s">
        <v>454</v>
      </c>
      <c r="C70" s="4" t="s">
        <v>324</v>
      </c>
      <c r="D70" s="4" t="s">
        <v>330</v>
      </c>
      <c r="E70" s="4" t="s">
        <v>326</v>
      </c>
      <c r="F70" s="13">
        <v>0</v>
      </c>
      <c r="G70" s="13">
        <v>1</v>
      </c>
      <c r="H70" s="4"/>
      <c r="I70" s="4"/>
      <c r="J70" s="4"/>
      <c r="K70" s="4" t="s">
        <v>204</v>
      </c>
      <c r="L70" s="4" t="s">
        <v>331</v>
      </c>
    </row>
    <row r="71" spans="1:12">
      <c r="A71" s="4" t="s">
        <v>455</v>
      </c>
      <c r="B71" s="4" t="s">
        <v>456</v>
      </c>
      <c r="C71" s="4" t="s">
        <v>324</v>
      </c>
      <c r="D71" s="4" t="s">
        <v>330</v>
      </c>
      <c r="E71" s="4" t="s">
        <v>326</v>
      </c>
      <c r="F71" s="13">
        <v>1</v>
      </c>
      <c r="G71" s="13">
        <v>1</v>
      </c>
      <c r="H71" s="4"/>
      <c r="I71" s="4"/>
      <c r="J71" s="4"/>
      <c r="K71" s="4" t="s">
        <v>204</v>
      </c>
      <c r="L71" s="4" t="s">
        <v>331</v>
      </c>
    </row>
    <row r="72" spans="1:12">
      <c r="A72" s="4" t="s">
        <v>457</v>
      </c>
      <c r="B72" s="4" t="s">
        <v>458</v>
      </c>
      <c r="C72" s="4" t="s">
        <v>324</v>
      </c>
      <c r="D72" s="4" t="s">
        <v>330</v>
      </c>
      <c r="E72" s="4" t="s">
        <v>326</v>
      </c>
      <c r="F72" s="13">
        <v>1</v>
      </c>
      <c r="G72" s="13">
        <v>1</v>
      </c>
      <c r="H72" s="4"/>
      <c r="I72" s="4"/>
      <c r="J72" s="4"/>
      <c r="K72" s="4" t="s">
        <v>204</v>
      </c>
      <c r="L72" s="4" t="s">
        <v>331</v>
      </c>
    </row>
    <row r="73" spans="1:12">
      <c r="A73" s="4" t="s">
        <v>459</v>
      </c>
      <c r="B73" s="4" t="s">
        <v>460</v>
      </c>
      <c r="C73" s="4" t="s">
        <v>324</v>
      </c>
      <c r="D73" s="4" t="s">
        <v>330</v>
      </c>
      <c r="E73" s="4" t="s">
        <v>326</v>
      </c>
      <c r="F73" s="13">
        <v>1</v>
      </c>
      <c r="G73" s="13">
        <v>1</v>
      </c>
      <c r="H73" s="4"/>
      <c r="I73" s="4"/>
      <c r="J73" s="4"/>
      <c r="K73" s="4" t="s">
        <v>204</v>
      </c>
      <c r="L73" s="4" t="s">
        <v>331</v>
      </c>
    </row>
    <row r="74" spans="1:12">
      <c r="A74" s="4" t="s">
        <v>461</v>
      </c>
      <c r="B74" s="4" t="s">
        <v>462</v>
      </c>
      <c r="C74" s="4" t="s">
        <v>324</v>
      </c>
      <c r="D74" s="4" t="s">
        <v>330</v>
      </c>
      <c r="E74" s="4" t="s">
        <v>326</v>
      </c>
      <c r="F74" s="13">
        <v>1</v>
      </c>
      <c r="G74" s="13">
        <v>1</v>
      </c>
      <c r="H74" s="4"/>
      <c r="I74" s="4"/>
      <c r="J74" s="4"/>
      <c r="K74" s="4" t="s">
        <v>204</v>
      </c>
      <c r="L74" s="4" t="s">
        <v>331</v>
      </c>
    </row>
    <row r="75" spans="1:12">
      <c r="A75" s="4" t="s">
        <v>463</v>
      </c>
      <c r="B75" s="4" t="s">
        <v>464</v>
      </c>
      <c r="C75" s="4" t="s">
        <v>324</v>
      </c>
      <c r="D75" s="4" t="s">
        <v>330</v>
      </c>
      <c r="E75" s="4" t="s">
        <v>326</v>
      </c>
      <c r="F75" s="13">
        <v>1</v>
      </c>
      <c r="G75" s="13">
        <v>1</v>
      </c>
      <c r="H75" s="4"/>
      <c r="I75" s="4"/>
      <c r="J75" s="4"/>
      <c r="K75" s="4" t="s">
        <v>204</v>
      </c>
      <c r="L75" s="4" t="s">
        <v>331</v>
      </c>
    </row>
    <row r="76" spans="1:12">
      <c r="A76" s="4" t="s">
        <v>465</v>
      </c>
      <c r="B76" s="4" t="s">
        <v>466</v>
      </c>
      <c r="C76" s="4" t="s">
        <v>324</v>
      </c>
      <c r="D76" s="4" t="s">
        <v>330</v>
      </c>
      <c r="E76" s="4" t="s">
        <v>326</v>
      </c>
      <c r="F76" s="13">
        <v>1</v>
      </c>
      <c r="G76" s="13">
        <v>1</v>
      </c>
      <c r="H76" s="4"/>
      <c r="I76" s="4"/>
      <c r="J76" s="4"/>
      <c r="K76" s="4" t="s">
        <v>204</v>
      </c>
      <c r="L76" s="4" t="s">
        <v>331</v>
      </c>
    </row>
    <row r="77" spans="1:12">
      <c r="A77" s="4" t="s">
        <v>467</v>
      </c>
      <c r="B77" s="4" t="s">
        <v>468</v>
      </c>
      <c r="C77" s="4" t="s">
        <v>324</v>
      </c>
      <c r="D77" s="4" t="s">
        <v>330</v>
      </c>
      <c r="E77" s="4" t="s">
        <v>326</v>
      </c>
      <c r="F77" s="13">
        <v>1</v>
      </c>
      <c r="G77" s="13">
        <v>1</v>
      </c>
      <c r="H77" s="4"/>
      <c r="I77" s="4"/>
      <c r="J77" s="4"/>
      <c r="K77" s="4" t="s">
        <v>204</v>
      </c>
      <c r="L77" s="4" t="s">
        <v>331</v>
      </c>
    </row>
    <row r="78" spans="1:12">
      <c r="A78" s="4" t="s">
        <v>469</v>
      </c>
      <c r="B78" s="4" t="s">
        <v>470</v>
      </c>
      <c r="C78" s="4" t="s">
        <v>324</v>
      </c>
      <c r="D78" s="4" t="s">
        <v>330</v>
      </c>
      <c r="E78" s="4" t="s">
        <v>326</v>
      </c>
      <c r="F78" s="13">
        <v>1</v>
      </c>
      <c r="G78" s="13">
        <v>1</v>
      </c>
      <c r="H78" s="4"/>
      <c r="I78" s="4"/>
      <c r="J78" s="4"/>
      <c r="K78" s="4" t="s">
        <v>204</v>
      </c>
      <c r="L78" s="4" t="s">
        <v>331</v>
      </c>
    </row>
    <row r="79" spans="1:12">
      <c r="A79" s="4" t="s">
        <v>471</v>
      </c>
      <c r="B79" s="4" t="s">
        <v>472</v>
      </c>
      <c r="C79" s="4" t="s">
        <v>324</v>
      </c>
      <c r="D79" s="4" t="s">
        <v>330</v>
      </c>
      <c r="E79" s="4" t="s">
        <v>326</v>
      </c>
      <c r="F79" s="13">
        <v>1</v>
      </c>
      <c r="G79" s="13">
        <v>1</v>
      </c>
      <c r="H79" s="4"/>
      <c r="I79" s="4"/>
      <c r="J79" s="4"/>
      <c r="K79" s="4" t="s">
        <v>204</v>
      </c>
      <c r="L79" s="4" t="s">
        <v>331</v>
      </c>
    </row>
    <row r="80" spans="1:12">
      <c r="A80" s="4" t="s">
        <v>473</v>
      </c>
      <c r="B80" s="4" t="s">
        <v>474</v>
      </c>
      <c r="C80" s="4" t="s">
        <v>324</v>
      </c>
      <c r="D80" s="4" t="s">
        <v>330</v>
      </c>
      <c r="E80" s="4" t="s">
        <v>326</v>
      </c>
      <c r="F80" s="13">
        <v>1</v>
      </c>
      <c r="G80" s="13">
        <v>1</v>
      </c>
      <c r="H80" s="4"/>
      <c r="I80" s="4"/>
      <c r="J80" s="4"/>
      <c r="K80" s="4" t="s">
        <v>204</v>
      </c>
      <c r="L80" s="4" t="s">
        <v>331</v>
      </c>
    </row>
    <row r="81" spans="1:12">
      <c r="A81" s="4" t="s">
        <v>475</v>
      </c>
      <c r="B81" s="4" t="s">
        <v>476</v>
      </c>
      <c r="C81" s="4" t="s">
        <v>324</v>
      </c>
      <c r="D81" s="4" t="s">
        <v>330</v>
      </c>
      <c r="E81" s="4" t="s">
        <v>326</v>
      </c>
      <c r="F81" s="13">
        <v>1</v>
      </c>
      <c r="G81" s="13">
        <v>1</v>
      </c>
      <c r="H81" s="4"/>
      <c r="I81" s="4"/>
      <c r="J81" s="4"/>
      <c r="K81" s="4" t="s">
        <v>204</v>
      </c>
      <c r="L81" s="4" t="s">
        <v>331</v>
      </c>
    </row>
    <row r="82" spans="1:12">
      <c r="A82" s="4" t="s">
        <v>477</v>
      </c>
      <c r="B82" s="4" t="s">
        <v>478</v>
      </c>
      <c r="C82" s="4" t="s">
        <v>324</v>
      </c>
      <c r="D82" s="4" t="s">
        <v>330</v>
      </c>
      <c r="E82" s="4" t="s">
        <v>326</v>
      </c>
      <c r="F82" s="13">
        <v>1</v>
      </c>
      <c r="G82" s="13">
        <v>1</v>
      </c>
      <c r="H82" s="4"/>
      <c r="I82" s="4"/>
      <c r="J82" s="4"/>
      <c r="K82" s="4" t="s">
        <v>204</v>
      </c>
      <c r="L82" s="4" t="s">
        <v>331</v>
      </c>
    </row>
    <row r="83" spans="1:12">
      <c r="A83" s="4" t="s">
        <v>479</v>
      </c>
      <c r="B83" s="4" t="s">
        <v>480</v>
      </c>
      <c r="C83" s="4" t="s">
        <v>324</v>
      </c>
      <c r="D83" s="4" t="s">
        <v>330</v>
      </c>
      <c r="E83" s="4" t="s">
        <v>326</v>
      </c>
      <c r="F83" s="13">
        <v>1</v>
      </c>
      <c r="G83" s="13">
        <v>1</v>
      </c>
      <c r="H83" s="4"/>
      <c r="I83" s="4"/>
      <c r="J83" s="4"/>
      <c r="K83" s="4" t="s">
        <v>204</v>
      </c>
      <c r="L83" s="4" t="s">
        <v>331</v>
      </c>
    </row>
    <row r="84" spans="1:12">
      <c r="A84" s="4" t="s">
        <v>481</v>
      </c>
      <c r="B84" s="4" t="s">
        <v>482</v>
      </c>
      <c r="C84" s="4" t="s">
        <v>324</v>
      </c>
      <c r="D84" s="4" t="s">
        <v>330</v>
      </c>
      <c r="E84" s="4" t="s">
        <v>326</v>
      </c>
      <c r="F84" s="13">
        <v>1</v>
      </c>
      <c r="G84" s="13">
        <v>1</v>
      </c>
      <c r="H84" s="4"/>
      <c r="I84" s="4"/>
      <c r="J84" s="4"/>
      <c r="K84" s="4" t="s">
        <v>204</v>
      </c>
      <c r="L84" s="4" t="s">
        <v>331</v>
      </c>
    </row>
    <row r="85" spans="1:12">
      <c r="A85" s="4" t="s">
        <v>483</v>
      </c>
      <c r="B85" s="4" t="s">
        <v>484</v>
      </c>
      <c r="C85" s="4" t="s">
        <v>324</v>
      </c>
      <c r="D85" s="4" t="s">
        <v>330</v>
      </c>
      <c r="E85" s="4" t="s">
        <v>326</v>
      </c>
      <c r="F85" s="13">
        <v>1</v>
      </c>
      <c r="G85" s="13">
        <v>1</v>
      </c>
      <c r="H85" s="4"/>
      <c r="I85" s="4"/>
      <c r="J85" s="4"/>
      <c r="K85" s="4" t="s">
        <v>204</v>
      </c>
      <c r="L85" s="4" t="s">
        <v>331</v>
      </c>
    </row>
    <row r="86" spans="1:12">
      <c r="A86" s="4" t="s">
        <v>485</v>
      </c>
      <c r="B86" s="4" t="s">
        <v>486</v>
      </c>
      <c r="C86" s="4" t="s">
        <v>324</v>
      </c>
      <c r="D86" s="4" t="s">
        <v>330</v>
      </c>
      <c r="E86" s="4" t="s">
        <v>326</v>
      </c>
      <c r="F86" s="13">
        <v>1</v>
      </c>
      <c r="G86" s="13">
        <v>1</v>
      </c>
      <c r="H86" s="4"/>
      <c r="I86" s="4"/>
      <c r="J86" s="4"/>
      <c r="K86" s="4" t="s">
        <v>204</v>
      </c>
      <c r="L86" s="4" t="s">
        <v>331</v>
      </c>
    </row>
    <row r="87" spans="1:12">
      <c r="A87" s="4" t="s">
        <v>487</v>
      </c>
      <c r="B87" s="4" t="s">
        <v>488</v>
      </c>
      <c r="C87" s="4" t="s">
        <v>324</v>
      </c>
      <c r="D87" s="4" t="s">
        <v>330</v>
      </c>
      <c r="E87" s="4" t="s">
        <v>326</v>
      </c>
      <c r="F87" s="13">
        <v>1</v>
      </c>
      <c r="G87" s="13">
        <v>1</v>
      </c>
      <c r="H87" s="4"/>
      <c r="I87" s="4"/>
      <c r="J87" s="4"/>
      <c r="K87" s="4" t="s">
        <v>204</v>
      </c>
      <c r="L87" s="4" t="s">
        <v>331</v>
      </c>
    </row>
    <row r="88" spans="1:12">
      <c r="A88" s="4" t="s">
        <v>489</v>
      </c>
      <c r="B88" s="4" t="s">
        <v>490</v>
      </c>
      <c r="C88" s="4" t="s">
        <v>324</v>
      </c>
      <c r="D88" s="4" t="s">
        <v>330</v>
      </c>
      <c r="E88" s="4" t="s">
        <v>326</v>
      </c>
      <c r="F88" s="13">
        <v>1</v>
      </c>
      <c r="G88" s="13">
        <v>1</v>
      </c>
      <c r="H88" s="4"/>
      <c r="I88" s="4"/>
      <c r="J88" s="4"/>
      <c r="K88" s="4" t="s">
        <v>204</v>
      </c>
      <c r="L88" s="4" t="s">
        <v>331</v>
      </c>
    </row>
    <row r="89" spans="1:12">
      <c r="A89" s="4" t="s">
        <v>491</v>
      </c>
      <c r="B89" s="4" t="s">
        <v>492</v>
      </c>
      <c r="C89" s="4" t="s">
        <v>324</v>
      </c>
      <c r="D89" s="4" t="s">
        <v>330</v>
      </c>
      <c r="E89" s="4" t="s">
        <v>326</v>
      </c>
      <c r="F89" s="13">
        <v>1</v>
      </c>
      <c r="G89" s="13">
        <v>1</v>
      </c>
      <c r="H89" s="4"/>
      <c r="I89" s="4"/>
      <c r="J89" s="4"/>
      <c r="K89" s="4" t="s">
        <v>204</v>
      </c>
      <c r="L89" s="4" t="s">
        <v>331</v>
      </c>
    </row>
    <row r="90" spans="1:12">
      <c r="A90" s="4" t="s">
        <v>493</v>
      </c>
      <c r="B90" s="4" t="s">
        <v>494</v>
      </c>
      <c r="C90" s="4" t="s">
        <v>324</v>
      </c>
      <c r="D90" s="4" t="s">
        <v>330</v>
      </c>
      <c r="E90" s="4" t="s">
        <v>326</v>
      </c>
      <c r="F90" s="13">
        <v>1</v>
      </c>
      <c r="G90" s="13">
        <v>1</v>
      </c>
      <c r="H90" s="4"/>
      <c r="I90" s="4"/>
      <c r="J90" s="4"/>
      <c r="K90" s="4" t="s">
        <v>204</v>
      </c>
      <c r="L90" s="4" t="s">
        <v>331</v>
      </c>
    </row>
    <row r="91" spans="1:12">
      <c r="A91" s="4" t="s">
        <v>495</v>
      </c>
      <c r="B91" s="4" t="s">
        <v>496</v>
      </c>
      <c r="C91" s="4" t="s">
        <v>324</v>
      </c>
      <c r="D91" s="4" t="s">
        <v>330</v>
      </c>
      <c r="E91" s="4" t="s">
        <v>326</v>
      </c>
      <c r="F91" s="13">
        <v>1</v>
      </c>
      <c r="G91" s="13">
        <v>1</v>
      </c>
      <c r="H91" s="4"/>
      <c r="I91" s="4"/>
      <c r="J91" s="4"/>
      <c r="K91" s="4" t="s">
        <v>204</v>
      </c>
      <c r="L91" s="4" t="s">
        <v>331</v>
      </c>
    </row>
    <row r="92" spans="1:12">
      <c r="A92" s="4" t="s">
        <v>497</v>
      </c>
      <c r="B92" s="4" t="s">
        <v>498</v>
      </c>
      <c r="C92" s="4" t="s">
        <v>324</v>
      </c>
      <c r="D92" s="4" t="s">
        <v>330</v>
      </c>
      <c r="E92" s="4" t="s">
        <v>326</v>
      </c>
      <c r="F92" s="13">
        <v>1</v>
      </c>
      <c r="G92" s="13">
        <v>1</v>
      </c>
      <c r="H92" s="4"/>
      <c r="I92" s="4"/>
      <c r="J92" s="4"/>
      <c r="K92" s="4" t="s">
        <v>204</v>
      </c>
      <c r="L92" s="4" t="s">
        <v>331</v>
      </c>
    </row>
    <row r="93" spans="1:12">
      <c r="A93" s="4" t="s">
        <v>499</v>
      </c>
      <c r="B93" s="4" t="s">
        <v>500</v>
      </c>
      <c r="C93" s="4" t="s">
        <v>324</v>
      </c>
      <c r="D93" s="4" t="s">
        <v>330</v>
      </c>
      <c r="E93" s="4" t="s">
        <v>326</v>
      </c>
      <c r="F93" s="13">
        <v>1</v>
      </c>
      <c r="G93" s="13">
        <v>1</v>
      </c>
      <c r="H93" s="4"/>
      <c r="I93" s="4"/>
      <c r="J93" s="4"/>
      <c r="K93" s="4" t="s">
        <v>204</v>
      </c>
      <c r="L93" s="4" t="s">
        <v>331</v>
      </c>
    </row>
    <row r="94" spans="1:12">
      <c r="A94" s="4" t="s">
        <v>501</v>
      </c>
      <c r="B94" s="4" t="s">
        <v>502</v>
      </c>
      <c r="C94" s="4" t="s">
        <v>324</v>
      </c>
      <c r="D94" s="4" t="s">
        <v>330</v>
      </c>
      <c r="E94" s="4" t="s">
        <v>326</v>
      </c>
      <c r="F94" s="13">
        <v>0</v>
      </c>
      <c r="G94" s="13">
        <v>1</v>
      </c>
      <c r="H94" s="4"/>
      <c r="I94" s="4"/>
      <c r="J94" s="4"/>
      <c r="K94" s="4" t="s">
        <v>204</v>
      </c>
      <c r="L94" s="4" t="s">
        <v>331</v>
      </c>
    </row>
    <row r="95" spans="1:12">
      <c r="A95" s="4" t="s">
        <v>503</v>
      </c>
      <c r="B95" s="4" t="s">
        <v>504</v>
      </c>
      <c r="C95" s="4" t="s">
        <v>324</v>
      </c>
      <c r="D95" s="4" t="s">
        <v>330</v>
      </c>
      <c r="E95" s="4" t="s">
        <v>326</v>
      </c>
      <c r="F95" s="13">
        <v>1</v>
      </c>
      <c r="G95" s="13">
        <v>1</v>
      </c>
      <c r="H95" s="4"/>
      <c r="I95" s="4"/>
      <c r="J95" s="4"/>
      <c r="K95" s="4" t="s">
        <v>204</v>
      </c>
      <c r="L95" s="4" t="s">
        <v>331</v>
      </c>
    </row>
    <row r="96" spans="1:12">
      <c r="A96" s="4" t="s">
        <v>505</v>
      </c>
      <c r="B96" s="4" t="s">
        <v>506</v>
      </c>
      <c r="C96" s="4" t="s">
        <v>324</v>
      </c>
      <c r="D96" s="4" t="s">
        <v>330</v>
      </c>
      <c r="E96" s="4" t="s">
        <v>326</v>
      </c>
      <c r="F96" s="13">
        <v>1</v>
      </c>
      <c r="G96" s="13">
        <v>1</v>
      </c>
      <c r="H96" s="4"/>
      <c r="I96" s="4"/>
      <c r="J96" s="4"/>
      <c r="K96" s="4" t="s">
        <v>204</v>
      </c>
      <c r="L96" s="4" t="s">
        <v>331</v>
      </c>
    </row>
    <row r="97" spans="1:12">
      <c r="A97" s="4" t="s">
        <v>507</v>
      </c>
      <c r="B97" s="4" t="s">
        <v>508</v>
      </c>
      <c r="C97" s="4" t="s">
        <v>324</v>
      </c>
      <c r="D97" s="4" t="s">
        <v>330</v>
      </c>
      <c r="E97" s="4" t="s">
        <v>326</v>
      </c>
      <c r="F97" s="13">
        <v>1</v>
      </c>
      <c r="G97" s="13">
        <v>1</v>
      </c>
      <c r="H97" s="4"/>
      <c r="I97" s="4"/>
      <c r="J97" s="4"/>
      <c r="K97" s="4" t="s">
        <v>204</v>
      </c>
      <c r="L97" s="4" t="s">
        <v>331</v>
      </c>
    </row>
    <row r="98" spans="1:12">
      <c r="A98" s="4" t="s">
        <v>509</v>
      </c>
      <c r="B98" s="4" t="s">
        <v>510</v>
      </c>
      <c r="C98" s="4" t="s">
        <v>324</v>
      </c>
      <c r="D98" s="4" t="s">
        <v>330</v>
      </c>
      <c r="E98" s="4" t="s">
        <v>326</v>
      </c>
      <c r="F98" s="13">
        <v>1</v>
      </c>
      <c r="G98" s="13">
        <v>1</v>
      </c>
      <c r="H98" s="4"/>
      <c r="I98" s="4"/>
      <c r="J98" s="4"/>
      <c r="K98" s="4" t="s">
        <v>204</v>
      </c>
      <c r="L98" s="4" t="s">
        <v>331</v>
      </c>
    </row>
    <row r="99" spans="1:12">
      <c r="A99" s="4" t="s">
        <v>511</v>
      </c>
      <c r="B99" s="4" t="s">
        <v>512</v>
      </c>
      <c r="C99" s="4" t="s">
        <v>324</v>
      </c>
      <c r="D99" s="4" t="s">
        <v>330</v>
      </c>
      <c r="E99" s="4" t="s">
        <v>326</v>
      </c>
      <c r="F99" s="13">
        <v>1</v>
      </c>
      <c r="G99" s="13">
        <v>1</v>
      </c>
      <c r="H99" s="4"/>
      <c r="I99" s="4"/>
      <c r="J99" s="4"/>
      <c r="K99" s="4" t="s">
        <v>204</v>
      </c>
      <c r="L99" s="4" t="s">
        <v>331</v>
      </c>
    </row>
    <row r="100" spans="1:12">
      <c r="A100" s="4" t="s">
        <v>513</v>
      </c>
      <c r="B100" s="4" t="s">
        <v>514</v>
      </c>
      <c r="C100" s="4" t="s">
        <v>324</v>
      </c>
      <c r="D100" s="4" t="s">
        <v>330</v>
      </c>
      <c r="E100" s="4" t="s">
        <v>326</v>
      </c>
      <c r="F100" s="13">
        <v>1</v>
      </c>
      <c r="G100" s="13">
        <v>1</v>
      </c>
      <c r="H100" s="4"/>
      <c r="I100" s="4"/>
      <c r="J100" s="4"/>
      <c r="K100" s="4" t="s">
        <v>204</v>
      </c>
      <c r="L100" s="4" t="s">
        <v>331</v>
      </c>
    </row>
    <row r="101" spans="1:12">
      <c r="A101" s="4" t="s">
        <v>515</v>
      </c>
      <c r="B101" s="4" t="s">
        <v>516</v>
      </c>
      <c r="C101" s="4" t="s">
        <v>324</v>
      </c>
      <c r="D101" s="4" t="s">
        <v>330</v>
      </c>
      <c r="E101" s="4" t="s">
        <v>326</v>
      </c>
      <c r="F101" s="13">
        <v>1</v>
      </c>
      <c r="G101" s="13">
        <v>1</v>
      </c>
      <c r="H101" s="4"/>
      <c r="I101" s="4"/>
      <c r="J101" s="4"/>
      <c r="K101" s="4" t="s">
        <v>204</v>
      </c>
      <c r="L101" s="4" t="s">
        <v>331</v>
      </c>
    </row>
    <row r="102" spans="1:12">
      <c r="A102" s="4" t="s">
        <v>517</v>
      </c>
      <c r="B102" s="4" t="s">
        <v>518</v>
      </c>
      <c r="C102" s="4" t="s">
        <v>324</v>
      </c>
      <c r="D102" s="4" t="s">
        <v>330</v>
      </c>
      <c r="E102" s="4" t="s">
        <v>326</v>
      </c>
      <c r="F102" s="13">
        <v>1</v>
      </c>
      <c r="G102" s="13">
        <v>1</v>
      </c>
      <c r="H102" s="4"/>
      <c r="I102" s="4"/>
      <c r="J102" s="4"/>
      <c r="K102" s="4" t="s">
        <v>204</v>
      </c>
      <c r="L102" s="4" t="s">
        <v>331</v>
      </c>
    </row>
    <row r="103" spans="1:12">
      <c r="A103" s="4" t="s">
        <v>519</v>
      </c>
      <c r="B103" s="4" t="s">
        <v>520</v>
      </c>
      <c r="C103" s="4" t="s">
        <v>324</v>
      </c>
      <c r="D103" s="4" t="s">
        <v>330</v>
      </c>
      <c r="E103" s="4" t="s">
        <v>326</v>
      </c>
      <c r="F103" s="13">
        <v>1</v>
      </c>
      <c r="G103" s="13">
        <v>1</v>
      </c>
      <c r="H103" s="4"/>
      <c r="I103" s="4"/>
      <c r="J103" s="4"/>
      <c r="K103" s="4" t="s">
        <v>204</v>
      </c>
      <c r="L103" s="4" t="s">
        <v>331</v>
      </c>
    </row>
    <row r="104" spans="1:12">
      <c r="A104" s="4" t="s">
        <v>521</v>
      </c>
      <c r="B104" s="4" t="s">
        <v>522</v>
      </c>
      <c r="C104" s="4" t="s">
        <v>324</v>
      </c>
      <c r="D104" s="4" t="s">
        <v>330</v>
      </c>
      <c r="E104" s="4" t="s">
        <v>326</v>
      </c>
      <c r="F104" s="13">
        <v>1</v>
      </c>
      <c r="G104" s="13">
        <v>1</v>
      </c>
      <c r="H104" s="4"/>
      <c r="I104" s="4"/>
      <c r="J104" s="4"/>
      <c r="K104" s="4" t="s">
        <v>204</v>
      </c>
      <c r="L104" s="4" t="s">
        <v>331</v>
      </c>
    </row>
    <row r="105" spans="1:12">
      <c r="A105" s="4" t="s">
        <v>523</v>
      </c>
      <c r="B105" s="4" t="s">
        <v>524</v>
      </c>
      <c r="C105" s="4" t="s">
        <v>324</v>
      </c>
      <c r="D105" s="4" t="s">
        <v>330</v>
      </c>
      <c r="E105" s="4" t="s">
        <v>326</v>
      </c>
      <c r="F105" s="13">
        <v>1</v>
      </c>
      <c r="G105" s="13">
        <v>1</v>
      </c>
      <c r="H105" s="4"/>
      <c r="I105" s="4"/>
      <c r="J105" s="4"/>
      <c r="K105" s="4" t="s">
        <v>204</v>
      </c>
      <c r="L105" s="4" t="s">
        <v>331</v>
      </c>
    </row>
    <row r="106" spans="1:12">
      <c r="A106" s="4" t="s">
        <v>525</v>
      </c>
      <c r="B106" s="4" t="s">
        <v>526</v>
      </c>
      <c r="C106" s="4" t="s">
        <v>324</v>
      </c>
      <c r="D106" s="4" t="s">
        <v>330</v>
      </c>
      <c r="E106" s="4" t="s">
        <v>326</v>
      </c>
      <c r="F106" s="13">
        <v>1</v>
      </c>
      <c r="G106" s="13">
        <v>1</v>
      </c>
      <c r="H106" s="4"/>
      <c r="I106" s="4"/>
      <c r="J106" s="4"/>
      <c r="K106" s="4" t="s">
        <v>204</v>
      </c>
      <c r="L106" s="4" t="s">
        <v>331</v>
      </c>
    </row>
    <row r="107" spans="1:12">
      <c r="A107" s="4" t="s">
        <v>527</v>
      </c>
      <c r="B107" s="4" t="s">
        <v>528</v>
      </c>
      <c r="C107" s="4" t="s">
        <v>324</v>
      </c>
      <c r="D107" s="4" t="s">
        <v>330</v>
      </c>
      <c r="E107" s="4" t="s">
        <v>326</v>
      </c>
      <c r="F107" s="13">
        <v>1</v>
      </c>
      <c r="G107" s="13">
        <v>1</v>
      </c>
      <c r="H107" s="4"/>
      <c r="I107" s="4"/>
      <c r="J107" s="4"/>
      <c r="K107" s="4" t="s">
        <v>204</v>
      </c>
      <c r="L107" s="4" t="s">
        <v>331</v>
      </c>
    </row>
    <row r="108" spans="1:12">
      <c r="A108" s="4" t="s">
        <v>529</v>
      </c>
      <c r="B108" s="4" t="s">
        <v>530</v>
      </c>
      <c r="C108" s="4" t="s">
        <v>324</v>
      </c>
      <c r="D108" s="4" t="s">
        <v>330</v>
      </c>
      <c r="E108" s="4" t="s">
        <v>326</v>
      </c>
      <c r="F108" s="13">
        <v>1</v>
      </c>
      <c r="G108" s="13">
        <v>1</v>
      </c>
      <c r="H108" s="4"/>
      <c r="I108" s="4"/>
      <c r="J108" s="4"/>
      <c r="K108" s="4" t="s">
        <v>204</v>
      </c>
      <c r="L108" s="4" t="s">
        <v>438</v>
      </c>
    </row>
    <row r="109" spans="1:12">
      <c r="A109" s="4" t="s">
        <v>531</v>
      </c>
      <c r="B109" s="4" t="s">
        <v>532</v>
      </c>
      <c r="C109" s="4" t="s">
        <v>324</v>
      </c>
      <c r="D109" s="4" t="s">
        <v>330</v>
      </c>
      <c r="E109" s="4" t="s">
        <v>326</v>
      </c>
      <c r="F109" s="13">
        <v>1</v>
      </c>
      <c r="G109" s="13">
        <v>1</v>
      </c>
      <c r="H109" s="4"/>
      <c r="I109" s="4"/>
      <c r="J109" s="4"/>
      <c r="K109" s="4" t="s">
        <v>204</v>
      </c>
      <c r="L109" s="4" t="s">
        <v>331</v>
      </c>
    </row>
    <row r="110" spans="1:12">
      <c r="A110" s="4" t="s">
        <v>533</v>
      </c>
      <c r="B110" s="4" t="s">
        <v>534</v>
      </c>
      <c r="C110" s="4" t="s">
        <v>324</v>
      </c>
      <c r="D110" s="4" t="s">
        <v>330</v>
      </c>
      <c r="E110" s="4" t="s">
        <v>326</v>
      </c>
      <c r="F110" s="13">
        <v>1</v>
      </c>
      <c r="G110" s="13">
        <v>1</v>
      </c>
      <c r="H110" s="4"/>
      <c r="I110" s="4"/>
      <c r="J110" s="4"/>
      <c r="K110" s="4" t="s">
        <v>204</v>
      </c>
      <c r="L110" s="4" t="s">
        <v>331</v>
      </c>
    </row>
    <row r="111" spans="1:12">
      <c r="A111" s="4" t="s">
        <v>535</v>
      </c>
      <c r="B111" s="4" t="s">
        <v>536</v>
      </c>
      <c r="C111" s="4" t="s">
        <v>324</v>
      </c>
      <c r="D111" s="4" t="s">
        <v>330</v>
      </c>
      <c r="E111" s="4" t="s">
        <v>326</v>
      </c>
      <c r="F111" s="13">
        <v>1</v>
      </c>
      <c r="G111" s="13">
        <v>1</v>
      </c>
      <c r="H111" s="4"/>
      <c r="I111" s="4"/>
      <c r="J111" s="4"/>
      <c r="K111" s="4" t="s">
        <v>204</v>
      </c>
      <c r="L111" s="4" t="s">
        <v>331</v>
      </c>
    </row>
    <row r="112" spans="1:12">
      <c r="A112" s="4" t="s">
        <v>537</v>
      </c>
      <c r="B112" s="4" t="s">
        <v>538</v>
      </c>
      <c r="C112" s="4" t="s">
        <v>324</v>
      </c>
      <c r="D112" s="4" t="s">
        <v>330</v>
      </c>
      <c r="E112" s="4" t="s">
        <v>326</v>
      </c>
      <c r="F112" s="13">
        <v>1</v>
      </c>
      <c r="G112" s="13">
        <v>1</v>
      </c>
      <c r="H112" s="4"/>
      <c r="I112" s="4"/>
      <c r="J112" s="4"/>
      <c r="K112" s="4" t="s">
        <v>204</v>
      </c>
      <c r="L112" s="4" t="s">
        <v>331</v>
      </c>
    </row>
    <row r="113" spans="1:12">
      <c r="A113" s="4" t="s">
        <v>539</v>
      </c>
      <c r="B113" s="4" t="s">
        <v>540</v>
      </c>
      <c r="C113" s="4" t="s">
        <v>324</v>
      </c>
      <c r="D113" s="4" t="s">
        <v>330</v>
      </c>
      <c r="E113" s="4" t="s">
        <v>326</v>
      </c>
      <c r="F113" s="13">
        <v>1</v>
      </c>
      <c r="G113" s="13">
        <v>1</v>
      </c>
      <c r="H113" s="4"/>
      <c r="I113" s="4"/>
      <c r="J113" s="4"/>
      <c r="K113" s="4" t="s">
        <v>204</v>
      </c>
      <c r="L113" s="4" t="s">
        <v>331</v>
      </c>
    </row>
    <row r="114" spans="1:12">
      <c r="A114" s="4" t="s">
        <v>541</v>
      </c>
      <c r="B114" s="4" t="s">
        <v>542</v>
      </c>
      <c r="C114" s="4" t="s">
        <v>324</v>
      </c>
      <c r="D114" s="4" t="s">
        <v>330</v>
      </c>
      <c r="E114" s="4" t="s">
        <v>326</v>
      </c>
      <c r="F114" s="13">
        <v>1</v>
      </c>
      <c r="G114" s="13">
        <v>1</v>
      </c>
      <c r="H114" s="4"/>
      <c r="I114" s="4"/>
      <c r="J114" s="4"/>
      <c r="K114" s="4" t="s">
        <v>204</v>
      </c>
      <c r="L114" s="4" t="s">
        <v>331</v>
      </c>
    </row>
    <row r="115" spans="1:12">
      <c r="A115" s="4" t="s">
        <v>543</v>
      </c>
      <c r="B115" s="4" t="s">
        <v>544</v>
      </c>
      <c r="C115" s="4" t="s">
        <v>324</v>
      </c>
      <c r="D115" s="4" t="s">
        <v>330</v>
      </c>
      <c r="E115" s="4" t="s">
        <v>326</v>
      </c>
      <c r="F115" s="13">
        <v>1</v>
      </c>
      <c r="G115" s="13">
        <v>1</v>
      </c>
      <c r="H115" s="4"/>
      <c r="I115" s="4"/>
      <c r="J115" s="4"/>
      <c r="K115" s="4" t="s">
        <v>204</v>
      </c>
      <c r="L115" s="4" t="s">
        <v>331</v>
      </c>
    </row>
    <row r="116" spans="1:12">
      <c r="A116" s="4" t="s">
        <v>545</v>
      </c>
      <c r="B116" s="4" t="s">
        <v>546</v>
      </c>
      <c r="C116" s="4" t="s">
        <v>324</v>
      </c>
      <c r="D116" s="4" t="s">
        <v>330</v>
      </c>
      <c r="E116" s="4" t="s">
        <v>326</v>
      </c>
      <c r="F116" s="13">
        <v>1</v>
      </c>
      <c r="G116" s="13">
        <v>1</v>
      </c>
      <c r="H116" s="4"/>
      <c r="I116" s="4"/>
      <c r="J116" s="4"/>
      <c r="K116" s="4" t="s">
        <v>204</v>
      </c>
      <c r="L116" s="4" t="s">
        <v>331</v>
      </c>
    </row>
    <row r="117" spans="1:12">
      <c r="A117" s="4" t="s">
        <v>547</v>
      </c>
      <c r="B117" s="4" t="s">
        <v>548</v>
      </c>
      <c r="C117" s="4" t="s">
        <v>324</v>
      </c>
      <c r="D117" s="4" t="s">
        <v>330</v>
      </c>
      <c r="E117" s="4" t="s">
        <v>326</v>
      </c>
      <c r="F117" s="13">
        <v>1</v>
      </c>
      <c r="G117" s="13">
        <v>1</v>
      </c>
      <c r="H117" s="4"/>
      <c r="I117" s="4"/>
      <c r="J117" s="4"/>
      <c r="K117" s="4" t="s">
        <v>204</v>
      </c>
      <c r="L117" s="4" t="s">
        <v>331</v>
      </c>
    </row>
    <row r="118" spans="1:12">
      <c r="A118" s="4" t="s">
        <v>549</v>
      </c>
      <c r="B118" s="4" t="s">
        <v>550</v>
      </c>
      <c r="C118" s="4" t="s">
        <v>324</v>
      </c>
      <c r="D118" s="4" t="s">
        <v>330</v>
      </c>
      <c r="E118" s="4" t="s">
        <v>326</v>
      </c>
      <c r="F118" s="13">
        <v>1</v>
      </c>
      <c r="G118" s="13">
        <v>1</v>
      </c>
      <c r="H118" s="4"/>
      <c r="I118" s="4"/>
      <c r="J118" s="4"/>
      <c r="K118" s="4" t="s">
        <v>204</v>
      </c>
      <c r="L118" s="4" t="s">
        <v>331</v>
      </c>
    </row>
    <row r="119" spans="1:12">
      <c r="A119" s="4" t="s">
        <v>551</v>
      </c>
      <c r="B119" s="4" t="s">
        <v>552</v>
      </c>
      <c r="C119" s="4" t="s">
        <v>324</v>
      </c>
      <c r="D119" s="4" t="s">
        <v>330</v>
      </c>
      <c r="E119" s="4" t="s">
        <v>326</v>
      </c>
      <c r="F119" s="13">
        <v>1</v>
      </c>
      <c r="G119" s="13">
        <v>1</v>
      </c>
      <c r="H119" s="4"/>
      <c r="I119" s="4"/>
      <c r="J119" s="4"/>
      <c r="K119" s="4" t="s">
        <v>204</v>
      </c>
      <c r="L119" s="4" t="s">
        <v>331</v>
      </c>
    </row>
    <row r="120" spans="1:12">
      <c r="A120" s="4" t="s">
        <v>553</v>
      </c>
      <c r="B120" s="4" t="s">
        <v>554</v>
      </c>
      <c r="C120" s="4" t="s">
        <v>324</v>
      </c>
      <c r="D120" s="4" t="s">
        <v>330</v>
      </c>
      <c r="E120" s="4" t="s">
        <v>326</v>
      </c>
      <c r="F120" s="13">
        <v>1</v>
      </c>
      <c r="G120" s="13">
        <v>1</v>
      </c>
      <c r="H120" s="4"/>
      <c r="I120" s="4"/>
      <c r="J120" s="4"/>
      <c r="K120" s="4" t="s">
        <v>204</v>
      </c>
      <c r="L120" s="4" t="s">
        <v>331</v>
      </c>
    </row>
    <row r="121" spans="1:12">
      <c r="A121" s="4" t="s">
        <v>555</v>
      </c>
      <c r="B121" s="4" t="s">
        <v>556</v>
      </c>
      <c r="C121" s="4" t="s">
        <v>324</v>
      </c>
      <c r="D121" s="4" t="s">
        <v>330</v>
      </c>
      <c r="E121" s="4" t="s">
        <v>326</v>
      </c>
      <c r="F121" s="13">
        <v>1</v>
      </c>
      <c r="G121" s="13">
        <v>1</v>
      </c>
      <c r="H121" s="4"/>
      <c r="I121" s="4"/>
      <c r="J121" s="4"/>
      <c r="K121" s="4" t="s">
        <v>204</v>
      </c>
      <c r="L121" s="4" t="s">
        <v>331</v>
      </c>
    </row>
    <row r="122" spans="1:12">
      <c r="A122" s="4" t="s">
        <v>557</v>
      </c>
      <c r="B122" s="4" t="s">
        <v>558</v>
      </c>
      <c r="C122" s="4" t="s">
        <v>324</v>
      </c>
      <c r="D122" s="4" t="s">
        <v>330</v>
      </c>
      <c r="E122" s="4" t="s">
        <v>326</v>
      </c>
      <c r="F122" s="13">
        <v>1</v>
      </c>
      <c r="G122" s="13">
        <v>1</v>
      </c>
      <c r="H122" s="4"/>
      <c r="I122" s="4"/>
      <c r="J122" s="4"/>
      <c r="K122" s="4" t="s">
        <v>204</v>
      </c>
      <c r="L122" s="4" t="s">
        <v>331</v>
      </c>
    </row>
    <row r="123" spans="1:12">
      <c r="A123" s="4" t="s">
        <v>559</v>
      </c>
      <c r="B123" s="4" t="s">
        <v>560</v>
      </c>
      <c r="C123" s="4" t="s">
        <v>324</v>
      </c>
      <c r="D123" s="4" t="s">
        <v>330</v>
      </c>
      <c r="E123" s="4" t="s">
        <v>326</v>
      </c>
      <c r="F123" s="13">
        <v>1</v>
      </c>
      <c r="G123" s="13">
        <v>1</v>
      </c>
      <c r="H123" s="4"/>
      <c r="I123" s="4"/>
      <c r="J123" s="4"/>
      <c r="K123" s="4" t="s">
        <v>204</v>
      </c>
      <c r="L123" s="4" t="s">
        <v>331</v>
      </c>
    </row>
    <row r="124" spans="1:12">
      <c r="A124" s="4" t="s">
        <v>561</v>
      </c>
      <c r="B124" s="4" t="s">
        <v>562</v>
      </c>
      <c r="C124" s="4" t="s">
        <v>324</v>
      </c>
      <c r="D124" s="4" t="s">
        <v>330</v>
      </c>
      <c r="E124" s="4" t="s">
        <v>326</v>
      </c>
      <c r="F124" s="13">
        <v>1</v>
      </c>
      <c r="G124" s="13">
        <v>1</v>
      </c>
      <c r="H124" s="4"/>
      <c r="I124" s="4"/>
      <c r="J124" s="4"/>
      <c r="K124" s="4" t="s">
        <v>204</v>
      </c>
      <c r="L124" s="4" t="s">
        <v>331</v>
      </c>
    </row>
    <row r="125" spans="1:12">
      <c r="A125" s="4" t="s">
        <v>563</v>
      </c>
      <c r="B125" s="4" t="s">
        <v>564</v>
      </c>
      <c r="C125" s="4" t="s">
        <v>324</v>
      </c>
      <c r="D125" s="4" t="s">
        <v>330</v>
      </c>
      <c r="E125" s="4" t="s">
        <v>326</v>
      </c>
      <c r="F125" s="13">
        <v>1</v>
      </c>
      <c r="G125" s="13">
        <v>1</v>
      </c>
      <c r="H125" s="4"/>
      <c r="I125" s="4"/>
      <c r="J125" s="4"/>
      <c r="K125" s="4" t="s">
        <v>204</v>
      </c>
      <c r="L125" s="4" t="s">
        <v>331</v>
      </c>
    </row>
    <row r="126" spans="1:12">
      <c r="A126" s="4" t="s">
        <v>565</v>
      </c>
      <c r="B126" s="4" t="s">
        <v>566</v>
      </c>
      <c r="C126" s="4" t="s">
        <v>324</v>
      </c>
      <c r="D126" s="4" t="s">
        <v>330</v>
      </c>
      <c r="E126" s="4" t="s">
        <v>326</v>
      </c>
      <c r="F126" s="13">
        <v>1</v>
      </c>
      <c r="G126" s="13">
        <v>1</v>
      </c>
      <c r="H126" s="4"/>
      <c r="I126" s="4"/>
      <c r="J126" s="4"/>
      <c r="K126" s="4" t="s">
        <v>204</v>
      </c>
      <c r="L126" s="4" t="s">
        <v>331</v>
      </c>
    </row>
    <row r="127" spans="1:12">
      <c r="A127" s="4" t="s">
        <v>567</v>
      </c>
      <c r="B127" s="4" t="s">
        <v>568</v>
      </c>
      <c r="C127" s="4" t="s">
        <v>324</v>
      </c>
      <c r="D127" s="4" t="s">
        <v>330</v>
      </c>
      <c r="E127" s="4" t="s">
        <v>326</v>
      </c>
      <c r="F127" s="13">
        <v>1</v>
      </c>
      <c r="G127" s="13">
        <v>1</v>
      </c>
      <c r="H127" s="4"/>
      <c r="I127" s="4"/>
      <c r="J127" s="4"/>
      <c r="K127" s="4" t="s">
        <v>204</v>
      </c>
      <c r="L127" s="4" t="s">
        <v>331</v>
      </c>
    </row>
    <row r="128" spans="1:12">
      <c r="A128" s="4" t="s">
        <v>569</v>
      </c>
      <c r="B128" s="4" t="s">
        <v>570</v>
      </c>
      <c r="C128" s="4" t="s">
        <v>324</v>
      </c>
      <c r="D128" s="4" t="s">
        <v>330</v>
      </c>
      <c r="E128" s="4" t="s">
        <v>326</v>
      </c>
      <c r="F128" s="13">
        <v>1</v>
      </c>
      <c r="G128" s="13">
        <v>1</v>
      </c>
      <c r="H128" s="4"/>
      <c r="I128" s="4"/>
      <c r="J128" s="4"/>
      <c r="K128" s="4" t="s">
        <v>204</v>
      </c>
      <c r="L128" s="4" t="s">
        <v>331</v>
      </c>
    </row>
    <row r="129" spans="1:12">
      <c r="A129" s="4" t="s">
        <v>571</v>
      </c>
      <c r="B129" s="4" t="s">
        <v>572</v>
      </c>
      <c r="C129" s="4" t="s">
        <v>324</v>
      </c>
      <c r="D129" s="4" t="s">
        <v>330</v>
      </c>
      <c r="E129" s="4" t="s">
        <v>326</v>
      </c>
      <c r="F129" s="13">
        <v>1</v>
      </c>
      <c r="G129" s="13">
        <v>1</v>
      </c>
      <c r="H129" s="4"/>
      <c r="I129" s="4"/>
      <c r="J129" s="4"/>
      <c r="K129" s="4" t="s">
        <v>204</v>
      </c>
      <c r="L129" s="4" t="s">
        <v>331</v>
      </c>
    </row>
    <row r="130" spans="1:12">
      <c r="A130" s="4" t="s">
        <v>573</v>
      </c>
      <c r="B130" s="4" t="s">
        <v>574</v>
      </c>
      <c r="C130" s="4" t="s">
        <v>324</v>
      </c>
      <c r="D130" s="4" t="s">
        <v>330</v>
      </c>
      <c r="E130" s="4" t="s">
        <v>326</v>
      </c>
      <c r="F130" s="13">
        <v>1</v>
      </c>
      <c r="G130" s="13">
        <v>1</v>
      </c>
      <c r="H130" s="4"/>
      <c r="I130" s="4"/>
      <c r="J130" s="4"/>
      <c r="K130" s="4" t="s">
        <v>204</v>
      </c>
      <c r="L130" s="4" t="s">
        <v>331</v>
      </c>
    </row>
    <row r="131" spans="1:12">
      <c r="A131" s="4" t="s">
        <v>575</v>
      </c>
      <c r="B131" s="4" t="s">
        <v>576</v>
      </c>
      <c r="C131" s="4" t="s">
        <v>324</v>
      </c>
      <c r="D131" s="4" t="s">
        <v>330</v>
      </c>
      <c r="E131" s="4" t="s">
        <v>326</v>
      </c>
      <c r="F131" s="13">
        <v>1</v>
      </c>
      <c r="G131" s="13">
        <v>1</v>
      </c>
      <c r="H131" s="4"/>
      <c r="I131" s="4"/>
      <c r="J131" s="4"/>
      <c r="K131" s="4" t="s">
        <v>204</v>
      </c>
      <c r="L131" s="4" t="s">
        <v>331</v>
      </c>
    </row>
    <row r="132" spans="1:12">
      <c r="A132" s="4" t="s">
        <v>577</v>
      </c>
      <c r="B132" s="4" t="s">
        <v>578</v>
      </c>
      <c r="C132" s="4" t="s">
        <v>324</v>
      </c>
      <c r="D132" s="4" t="s">
        <v>330</v>
      </c>
      <c r="E132" s="4" t="s">
        <v>326</v>
      </c>
      <c r="F132" s="13">
        <v>1</v>
      </c>
      <c r="G132" s="13">
        <v>1</v>
      </c>
      <c r="H132" s="4"/>
      <c r="I132" s="4"/>
      <c r="J132" s="4"/>
      <c r="K132" s="4" t="s">
        <v>204</v>
      </c>
      <c r="L132" s="4" t="s">
        <v>331</v>
      </c>
    </row>
    <row r="133" spans="1:12">
      <c r="A133" s="4" t="s">
        <v>579</v>
      </c>
      <c r="B133" s="4" t="s">
        <v>580</v>
      </c>
      <c r="C133" s="4" t="s">
        <v>324</v>
      </c>
      <c r="D133" s="4" t="s">
        <v>330</v>
      </c>
      <c r="E133" s="4" t="s">
        <v>326</v>
      </c>
      <c r="F133" s="13">
        <v>1</v>
      </c>
      <c r="G133" s="13">
        <v>1</v>
      </c>
      <c r="H133" s="4"/>
      <c r="I133" s="4"/>
      <c r="J133" s="4"/>
      <c r="K133" s="4" t="s">
        <v>204</v>
      </c>
      <c r="L133" s="4" t="s">
        <v>331</v>
      </c>
    </row>
    <row r="134" spans="1:12">
      <c r="A134" s="4" t="s">
        <v>581</v>
      </c>
      <c r="B134" s="4" t="s">
        <v>582</v>
      </c>
      <c r="C134" s="4" t="s">
        <v>324</v>
      </c>
      <c r="D134" s="4" t="s">
        <v>330</v>
      </c>
      <c r="E134" s="4" t="s">
        <v>326</v>
      </c>
      <c r="F134" s="13">
        <v>1</v>
      </c>
      <c r="G134" s="13">
        <v>1</v>
      </c>
      <c r="H134" s="4"/>
      <c r="I134" s="4"/>
      <c r="J134" s="4"/>
      <c r="K134" s="4" t="s">
        <v>204</v>
      </c>
      <c r="L134" s="4" t="s">
        <v>331</v>
      </c>
    </row>
    <row r="135" spans="1:12">
      <c r="A135" s="4" t="s">
        <v>583</v>
      </c>
      <c r="B135" s="4" t="s">
        <v>584</v>
      </c>
      <c r="C135" s="4" t="s">
        <v>324</v>
      </c>
      <c r="D135" s="4" t="s">
        <v>330</v>
      </c>
      <c r="E135" s="4" t="s">
        <v>326</v>
      </c>
      <c r="F135" s="13">
        <v>1</v>
      </c>
      <c r="G135" s="13">
        <v>1</v>
      </c>
      <c r="H135" s="4"/>
      <c r="I135" s="4"/>
      <c r="J135" s="4"/>
      <c r="K135" s="4" t="s">
        <v>204</v>
      </c>
      <c r="L135" s="4" t="s">
        <v>331</v>
      </c>
    </row>
    <row r="136" spans="1:12">
      <c r="A136" s="4" t="s">
        <v>585</v>
      </c>
      <c r="B136" s="4" t="s">
        <v>586</v>
      </c>
      <c r="C136" s="4" t="s">
        <v>324</v>
      </c>
      <c r="D136" s="4" t="s">
        <v>330</v>
      </c>
      <c r="E136" s="4" t="s">
        <v>587</v>
      </c>
      <c r="F136" s="13">
        <v>1</v>
      </c>
      <c r="G136" s="13">
        <v>1</v>
      </c>
      <c r="H136" s="4"/>
      <c r="I136" s="4"/>
      <c r="J136" s="4"/>
      <c r="K136" s="4"/>
      <c r="L136" s="4" t="s">
        <v>588</v>
      </c>
    </row>
    <row r="137" spans="1:12">
      <c r="A137" s="4" t="s">
        <v>589</v>
      </c>
      <c r="B137" s="4" t="s">
        <v>586</v>
      </c>
      <c r="C137" s="4" t="s">
        <v>324</v>
      </c>
      <c r="D137" s="4" t="s">
        <v>330</v>
      </c>
      <c r="E137" s="4" t="s">
        <v>326</v>
      </c>
      <c r="F137" s="13">
        <v>1</v>
      </c>
      <c r="G137" s="13">
        <v>1</v>
      </c>
      <c r="H137" s="4"/>
      <c r="I137" s="4"/>
      <c r="J137" s="4"/>
      <c r="K137" s="4" t="s">
        <v>204</v>
      </c>
      <c r="L137" s="4" t="s">
        <v>331</v>
      </c>
    </row>
    <row r="138" spans="1:12">
      <c r="A138" s="4" t="s">
        <v>200</v>
      </c>
      <c r="B138" s="4" t="s">
        <v>590</v>
      </c>
      <c r="C138" s="4" t="s">
        <v>324</v>
      </c>
      <c r="D138" s="4" t="s">
        <v>330</v>
      </c>
      <c r="E138" s="4" t="s">
        <v>326</v>
      </c>
      <c r="F138" s="13">
        <v>1</v>
      </c>
      <c r="G138" s="13">
        <v>1</v>
      </c>
      <c r="H138" s="4"/>
      <c r="I138" s="4"/>
      <c r="J138" s="4"/>
      <c r="K138" s="4" t="s">
        <v>204</v>
      </c>
      <c r="L138" s="4" t="s">
        <v>331</v>
      </c>
    </row>
    <row r="139" spans="1:12">
      <c r="A139" s="4" t="s">
        <v>591</v>
      </c>
      <c r="B139" s="4" t="s">
        <v>592</v>
      </c>
      <c r="C139" s="4" t="s">
        <v>324</v>
      </c>
      <c r="D139" s="4" t="s">
        <v>330</v>
      </c>
      <c r="E139" s="4" t="s">
        <v>326</v>
      </c>
      <c r="F139" s="13">
        <v>1</v>
      </c>
      <c r="G139" s="13">
        <v>1</v>
      </c>
      <c r="H139" s="4"/>
      <c r="I139" s="4"/>
      <c r="J139" s="4"/>
      <c r="K139" s="4" t="s">
        <v>204</v>
      </c>
      <c r="L139" s="4" t="s">
        <v>331</v>
      </c>
    </row>
    <row r="140" spans="1:12">
      <c r="A140" s="4" t="s">
        <v>593</v>
      </c>
      <c r="B140" s="4" t="s">
        <v>594</v>
      </c>
      <c r="C140" s="4" t="s">
        <v>324</v>
      </c>
      <c r="D140" s="4" t="s">
        <v>330</v>
      </c>
      <c r="E140" s="4" t="s">
        <v>326</v>
      </c>
      <c r="F140" s="13">
        <v>1</v>
      </c>
      <c r="G140" s="13">
        <v>1</v>
      </c>
      <c r="H140" s="4"/>
      <c r="I140" s="4"/>
      <c r="J140" s="4"/>
      <c r="K140" s="4" t="s">
        <v>204</v>
      </c>
      <c r="L140" s="4" t="s">
        <v>331</v>
      </c>
    </row>
    <row r="141" spans="1:12">
      <c r="A141" s="4" t="s">
        <v>595</v>
      </c>
      <c r="B141" s="4" t="s">
        <v>596</v>
      </c>
      <c r="C141" s="4" t="s">
        <v>324</v>
      </c>
      <c r="D141" s="4" t="s">
        <v>330</v>
      </c>
      <c r="E141" s="4" t="s">
        <v>326</v>
      </c>
      <c r="F141" s="13">
        <v>1</v>
      </c>
      <c r="G141" s="13">
        <v>1</v>
      </c>
      <c r="H141" s="4"/>
      <c r="I141" s="4"/>
      <c r="J141" s="4"/>
      <c r="K141" s="4" t="s">
        <v>204</v>
      </c>
      <c r="L141" s="4" t="s">
        <v>331</v>
      </c>
    </row>
    <row r="142" spans="1:12">
      <c r="A142" s="4" t="s">
        <v>597</v>
      </c>
      <c r="B142" s="4" t="s">
        <v>598</v>
      </c>
      <c r="C142" s="4" t="s">
        <v>324</v>
      </c>
      <c r="D142" s="4" t="s">
        <v>330</v>
      </c>
      <c r="E142" s="4" t="s">
        <v>326</v>
      </c>
      <c r="F142" s="13">
        <v>1</v>
      </c>
      <c r="G142" s="13">
        <v>1</v>
      </c>
      <c r="H142" s="4"/>
      <c r="I142" s="4"/>
      <c r="J142" s="4"/>
      <c r="K142" s="4" t="s">
        <v>204</v>
      </c>
      <c r="L142" s="4" t="s">
        <v>331</v>
      </c>
    </row>
    <row r="143" spans="1:12">
      <c r="A143" s="4" t="s">
        <v>599</v>
      </c>
      <c r="B143" s="4" t="s">
        <v>600</v>
      </c>
      <c r="C143" s="4" t="s">
        <v>324</v>
      </c>
      <c r="D143" s="4" t="s">
        <v>330</v>
      </c>
      <c r="E143" s="4" t="s">
        <v>326</v>
      </c>
      <c r="F143" s="13">
        <v>1</v>
      </c>
      <c r="G143" s="13">
        <v>1</v>
      </c>
      <c r="H143" s="4"/>
      <c r="I143" s="4"/>
      <c r="J143" s="4"/>
      <c r="K143" s="4" t="s">
        <v>204</v>
      </c>
      <c r="L143" s="4" t="s">
        <v>331</v>
      </c>
    </row>
    <row r="144" spans="1:12">
      <c r="A144" s="4" t="s">
        <v>601</v>
      </c>
      <c r="B144" s="4" t="s">
        <v>602</v>
      </c>
      <c r="C144" s="4" t="s">
        <v>324</v>
      </c>
      <c r="D144" s="4" t="s">
        <v>330</v>
      </c>
      <c r="E144" s="4" t="s">
        <v>326</v>
      </c>
      <c r="F144" s="13">
        <v>1</v>
      </c>
      <c r="G144" s="13">
        <v>1</v>
      </c>
      <c r="H144" s="4"/>
      <c r="I144" s="4"/>
      <c r="J144" s="4"/>
      <c r="K144" s="4" t="s">
        <v>204</v>
      </c>
      <c r="L144" s="4" t="s">
        <v>331</v>
      </c>
    </row>
    <row r="145" spans="1:12">
      <c r="A145" s="4" t="s">
        <v>603</v>
      </c>
      <c r="B145" s="4" t="s">
        <v>604</v>
      </c>
      <c r="C145" s="4" t="s">
        <v>324</v>
      </c>
      <c r="D145" s="4" t="s">
        <v>330</v>
      </c>
      <c r="E145" s="4" t="s">
        <v>326</v>
      </c>
      <c r="F145" s="13">
        <v>1</v>
      </c>
      <c r="G145" s="13">
        <v>1</v>
      </c>
      <c r="H145" s="4"/>
      <c r="I145" s="4"/>
      <c r="J145" s="4"/>
      <c r="K145" s="4" t="s">
        <v>204</v>
      </c>
      <c r="L145" s="4" t="s">
        <v>331</v>
      </c>
    </row>
    <row r="146" spans="1:12">
      <c r="A146" s="4" t="s">
        <v>605</v>
      </c>
      <c r="B146" s="4" t="s">
        <v>606</v>
      </c>
      <c r="C146" s="4" t="s">
        <v>324</v>
      </c>
      <c r="D146" s="4" t="s">
        <v>330</v>
      </c>
      <c r="E146" s="4" t="s">
        <v>326</v>
      </c>
      <c r="F146" s="13">
        <v>1</v>
      </c>
      <c r="G146" s="13">
        <v>1</v>
      </c>
      <c r="H146" s="4"/>
      <c r="I146" s="4"/>
      <c r="J146" s="4"/>
      <c r="K146" s="4" t="s">
        <v>204</v>
      </c>
      <c r="L146" s="4" t="s">
        <v>331</v>
      </c>
    </row>
    <row r="147" spans="1:12">
      <c r="A147" s="4" t="s">
        <v>202</v>
      </c>
      <c r="B147" s="4" t="s">
        <v>607</v>
      </c>
      <c r="C147" s="4" t="s">
        <v>324</v>
      </c>
      <c r="D147" s="4" t="s">
        <v>330</v>
      </c>
      <c r="E147" s="4" t="s">
        <v>326</v>
      </c>
      <c r="F147" s="13">
        <v>1</v>
      </c>
      <c r="G147" s="13">
        <v>1</v>
      </c>
      <c r="H147" s="4"/>
      <c r="I147" s="4"/>
      <c r="J147" s="4"/>
      <c r="K147" s="4" t="s">
        <v>204</v>
      </c>
      <c r="L147" s="4" t="s">
        <v>331</v>
      </c>
    </row>
    <row r="148" spans="1:12">
      <c r="A148" s="4" t="s">
        <v>608</v>
      </c>
      <c r="B148" s="4" t="s">
        <v>609</v>
      </c>
      <c r="C148" s="4" t="s">
        <v>324</v>
      </c>
      <c r="D148" s="4" t="s">
        <v>330</v>
      </c>
      <c r="E148" s="4" t="s">
        <v>326</v>
      </c>
      <c r="F148" s="13">
        <v>1</v>
      </c>
      <c r="G148" s="13">
        <v>1</v>
      </c>
      <c r="H148" s="4"/>
      <c r="I148" s="4"/>
      <c r="J148" s="4"/>
      <c r="K148" s="4" t="s">
        <v>204</v>
      </c>
      <c r="L148" s="4" t="s">
        <v>331</v>
      </c>
    </row>
    <row r="149" spans="1:12">
      <c r="A149" s="4" t="s">
        <v>610</v>
      </c>
      <c r="B149" s="4" t="s">
        <v>611</v>
      </c>
      <c r="C149" s="4" t="s">
        <v>324</v>
      </c>
      <c r="D149" s="4" t="s">
        <v>330</v>
      </c>
      <c r="E149" s="4" t="s">
        <v>326</v>
      </c>
      <c r="F149" s="13">
        <v>1</v>
      </c>
      <c r="G149" s="13">
        <v>1</v>
      </c>
      <c r="H149" s="4"/>
      <c r="I149" s="4"/>
      <c r="J149" s="4"/>
      <c r="K149" s="4" t="s">
        <v>204</v>
      </c>
      <c r="L149" s="4" t="s">
        <v>331</v>
      </c>
    </row>
    <row r="150" spans="1:12">
      <c r="A150" s="4" t="s">
        <v>612</v>
      </c>
      <c r="B150" s="4" t="s">
        <v>613</v>
      </c>
      <c r="C150" s="4" t="s">
        <v>324</v>
      </c>
      <c r="D150" s="4" t="s">
        <v>330</v>
      </c>
      <c r="E150" s="4" t="s">
        <v>326</v>
      </c>
      <c r="F150" s="13">
        <v>1</v>
      </c>
      <c r="G150" s="13">
        <v>1</v>
      </c>
      <c r="H150" s="4"/>
      <c r="I150" s="4"/>
      <c r="J150" s="4"/>
      <c r="K150" s="4" t="s">
        <v>204</v>
      </c>
      <c r="L150" s="4" t="s">
        <v>331</v>
      </c>
    </row>
    <row r="151" spans="1:12">
      <c r="A151" s="4" t="s">
        <v>614</v>
      </c>
      <c r="B151" s="4" t="s">
        <v>615</v>
      </c>
      <c r="C151" s="4" t="s">
        <v>324</v>
      </c>
      <c r="D151" s="4" t="s">
        <v>330</v>
      </c>
      <c r="E151" s="4" t="s">
        <v>326</v>
      </c>
      <c r="F151" s="13">
        <v>1</v>
      </c>
      <c r="G151" s="13">
        <v>1</v>
      </c>
      <c r="H151" s="4"/>
      <c r="I151" s="4"/>
      <c r="J151" s="4"/>
      <c r="K151" s="4" t="s">
        <v>204</v>
      </c>
      <c r="L151" s="4" t="s">
        <v>331</v>
      </c>
    </row>
    <row r="152" spans="1:12">
      <c r="A152" s="4" t="s">
        <v>616</v>
      </c>
      <c r="B152" s="4" t="s">
        <v>617</v>
      </c>
      <c r="C152" s="4" t="s">
        <v>324</v>
      </c>
      <c r="D152" s="4" t="s">
        <v>330</v>
      </c>
      <c r="E152" s="4" t="s">
        <v>326</v>
      </c>
      <c r="F152" s="13">
        <v>1</v>
      </c>
      <c r="G152" s="13">
        <v>1</v>
      </c>
      <c r="H152" s="4"/>
      <c r="I152" s="4"/>
      <c r="J152" s="4"/>
      <c r="K152" s="4" t="s">
        <v>204</v>
      </c>
      <c r="L152" s="4" t="s">
        <v>331</v>
      </c>
    </row>
    <row r="153" spans="1:12">
      <c r="A153" s="4" t="s">
        <v>618</v>
      </c>
      <c r="B153" s="4" t="s">
        <v>619</v>
      </c>
      <c r="C153" s="4" t="s">
        <v>324</v>
      </c>
      <c r="D153" s="4" t="s">
        <v>330</v>
      </c>
      <c r="E153" s="4" t="s">
        <v>326</v>
      </c>
      <c r="F153" s="13">
        <v>1</v>
      </c>
      <c r="G153" s="13">
        <v>1</v>
      </c>
      <c r="H153" s="4"/>
      <c r="I153" s="4"/>
      <c r="J153" s="4"/>
      <c r="K153" s="4" t="s">
        <v>204</v>
      </c>
      <c r="L153" s="4" t="s">
        <v>331</v>
      </c>
    </row>
    <row r="154" spans="1:12">
      <c r="A154" s="4" t="s">
        <v>620</v>
      </c>
      <c r="B154" s="4" t="s">
        <v>621</v>
      </c>
      <c r="C154" s="4" t="s">
        <v>324</v>
      </c>
      <c r="D154" s="4" t="s">
        <v>330</v>
      </c>
      <c r="E154" s="4" t="s">
        <v>326</v>
      </c>
      <c r="F154" s="13">
        <v>1</v>
      </c>
      <c r="G154" s="13">
        <v>1</v>
      </c>
      <c r="H154" s="4"/>
      <c r="I154" s="4"/>
      <c r="J154" s="4"/>
      <c r="K154" s="4" t="s">
        <v>204</v>
      </c>
      <c r="L154" s="4" t="s">
        <v>331</v>
      </c>
    </row>
    <row r="155" spans="1:12">
      <c r="A155" s="4" t="s">
        <v>622</v>
      </c>
      <c r="B155" s="4" t="s">
        <v>623</v>
      </c>
      <c r="C155" s="4" t="s">
        <v>324</v>
      </c>
      <c r="D155" s="4" t="s">
        <v>330</v>
      </c>
      <c r="E155" s="4" t="s">
        <v>326</v>
      </c>
      <c r="F155" s="13">
        <v>1</v>
      </c>
      <c r="G155" s="13">
        <v>1</v>
      </c>
      <c r="H155" s="4"/>
      <c r="I155" s="4"/>
      <c r="J155" s="4"/>
      <c r="K155" s="4" t="s">
        <v>204</v>
      </c>
      <c r="L155" s="4" t="s">
        <v>331</v>
      </c>
    </row>
    <row r="156" spans="1:12">
      <c r="A156" s="4" t="s">
        <v>624</v>
      </c>
      <c r="B156" s="4" t="s">
        <v>625</v>
      </c>
      <c r="C156" s="4" t="s">
        <v>324</v>
      </c>
      <c r="D156" s="4" t="s">
        <v>330</v>
      </c>
      <c r="E156" s="4" t="s">
        <v>326</v>
      </c>
      <c r="F156" s="13">
        <v>1</v>
      </c>
      <c r="G156" s="13">
        <v>1</v>
      </c>
      <c r="H156" s="4"/>
      <c r="I156" s="4"/>
      <c r="J156" s="4"/>
      <c r="K156" s="4" t="s">
        <v>204</v>
      </c>
      <c r="L156" s="4" t="s">
        <v>331</v>
      </c>
    </row>
    <row r="157" spans="1:12">
      <c r="A157" s="4" t="s">
        <v>626</v>
      </c>
      <c r="B157" s="4" t="s">
        <v>627</v>
      </c>
      <c r="C157" s="4" t="s">
        <v>324</v>
      </c>
      <c r="D157" s="4" t="s">
        <v>330</v>
      </c>
      <c r="E157" s="4" t="s">
        <v>326</v>
      </c>
      <c r="F157" s="13">
        <v>1</v>
      </c>
      <c r="G157" s="13">
        <v>1</v>
      </c>
      <c r="H157" s="4"/>
      <c r="I157" s="4"/>
      <c r="J157" s="4"/>
      <c r="K157" s="4" t="s">
        <v>204</v>
      </c>
      <c r="L157" s="4" t="s">
        <v>331</v>
      </c>
    </row>
    <row r="158" spans="1:12">
      <c r="A158" s="4" t="s">
        <v>628</v>
      </c>
      <c r="B158" s="4" t="s">
        <v>629</v>
      </c>
      <c r="C158" s="4" t="s">
        <v>324</v>
      </c>
      <c r="D158" s="4" t="s">
        <v>330</v>
      </c>
      <c r="E158" s="4" t="s">
        <v>326</v>
      </c>
      <c r="F158" s="13">
        <v>1</v>
      </c>
      <c r="G158" s="13">
        <v>1</v>
      </c>
      <c r="H158" s="4"/>
      <c r="I158" s="4"/>
      <c r="J158" s="4"/>
      <c r="K158" s="4" t="s">
        <v>204</v>
      </c>
      <c r="L158" s="4" t="s">
        <v>331</v>
      </c>
    </row>
    <row r="159" spans="1:12">
      <c r="A159" s="4" t="s">
        <v>630</v>
      </c>
      <c r="B159" s="4" t="s">
        <v>631</v>
      </c>
      <c r="C159" s="4" t="s">
        <v>324</v>
      </c>
      <c r="D159" s="4" t="s">
        <v>330</v>
      </c>
      <c r="E159" s="4" t="s">
        <v>326</v>
      </c>
      <c r="F159" s="13">
        <v>1</v>
      </c>
      <c r="G159" s="13">
        <v>1</v>
      </c>
      <c r="H159" s="4"/>
      <c r="I159" s="4"/>
      <c r="J159" s="4"/>
      <c r="K159" s="4" t="s">
        <v>204</v>
      </c>
      <c r="L159" s="4" t="s">
        <v>331</v>
      </c>
    </row>
    <row r="160" spans="1:12">
      <c r="A160" s="4" t="s">
        <v>632</v>
      </c>
      <c r="B160" s="4" t="s">
        <v>633</v>
      </c>
      <c r="C160" s="4" t="s">
        <v>324</v>
      </c>
      <c r="D160" s="4" t="s">
        <v>330</v>
      </c>
      <c r="E160" s="4" t="s">
        <v>326</v>
      </c>
      <c r="F160" s="13">
        <v>1</v>
      </c>
      <c r="G160" s="13">
        <v>1</v>
      </c>
      <c r="H160" s="4"/>
      <c r="I160" s="4"/>
      <c r="J160" s="4"/>
      <c r="K160" s="4" t="s">
        <v>204</v>
      </c>
      <c r="L160" s="4" t="s">
        <v>331</v>
      </c>
    </row>
    <row r="161" spans="1:12">
      <c r="A161" s="4" t="s">
        <v>634</v>
      </c>
      <c r="B161" s="4" t="s">
        <v>635</v>
      </c>
      <c r="C161" s="4" t="s">
        <v>324</v>
      </c>
      <c r="D161" s="4" t="s">
        <v>330</v>
      </c>
      <c r="E161" s="4" t="s">
        <v>326</v>
      </c>
      <c r="F161" s="13">
        <v>1</v>
      </c>
      <c r="G161" s="13">
        <v>1</v>
      </c>
      <c r="H161" s="4"/>
      <c r="I161" s="4"/>
      <c r="J161" s="4"/>
      <c r="K161" s="4" t="s">
        <v>204</v>
      </c>
      <c r="L161" s="4" t="s">
        <v>331</v>
      </c>
    </row>
    <row r="162" spans="1:12">
      <c r="A162" s="4" t="s">
        <v>636</v>
      </c>
      <c r="B162" s="4" t="s">
        <v>637</v>
      </c>
      <c r="C162" s="4" t="s">
        <v>324</v>
      </c>
      <c r="D162" s="4" t="s">
        <v>330</v>
      </c>
      <c r="E162" s="4" t="s">
        <v>326</v>
      </c>
      <c r="F162" s="13">
        <v>1</v>
      </c>
      <c r="G162" s="13">
        <v>1</v>
      </c>
      <c r="H162" s="4"/>
      <c r="I162" s="4"/>
      <c r="J162" s="4"/>
      <c r="K162" s="4" t="s">
        <v>204</v>
      </c>
      <c r="L162" s="4" t="s">
        <v>331</v>
      </c>
    </row>
    <row r="163" spans="1:12">
      <c r="A163" s="4" t="s">
        <v>638</v>
      </c>
      <c r="B163" s="4" t="s">
        <v>639</v>
      </c>
      <c r="C163" s="4" t="s">
        <v>324</v>
      </c>
      <c r="D163" s="4" t="s">
        <v>330</v>
      </c>
      <c r="E163" s="4" t="s">
        <v>326</v>
      </c>
      <c r="F163" s="13">
        <v>1</v>
      </c>
      <c r="G163" s="13">
        <v>1</v>
      </c>
      <c r="H163" s="4"/>
      <c r="I163" s="4"/>
      <c r="J163" s="4"/>
      <c r="K163" s="4" t="s">
        <v>204</v>
      </c>
      <c r="L163" s="4" t="s">
        <v>331</v>
      </c>
    </row>
    <row r="164" spans="1:12">
      <c r="A164" s="4" t="s">
        <v>640</v>
      </c>
      <c r="B164" s="4" t="s">
        <v>641</v>
      </c>
      <c r="C164" s="4" t="s">
        <v>324</v>
      </c>
      <c r="D164" s="4" t="s">
        <v>330</v>
      </c>
      <c r="E164" s="4" t="s">
        <v>326</v>
      </c>
      <c r="F164" s="13">
        <v>1</v>
      </c>
      <c r="G164" s="13">
        <v>1</v>
      </c>
      <c r="H164" s="4"/>
      <c r="I164" s="4"/>
      <c r="J164" s="4"/>
      <c r="K164" s="4" t="s">
        <v>204</v>
      </c>
      <c r="L164" s="4" t="s">
        <v>331</v>
      </c>
    </row>
    <row r="165" spans="1:12">
      <c r="A165" s="4" t="s">
        <v>642</v>
      </c>
      <c r="B165" s="4" t="s">
        <v>643</v>
      </c>
      <c r="C165" s="4" t="s">
        <v>324</v>
      </c>
      <c r="D165" s="4" t="s">
        <v>330</v>
      </c>
      <c r="E165" s="4" t="s">
        <v>326</v>
      </c>
      <c r="F165" s="13">
        <v>1</v>
      </c>
      <c r="G165" s="13">
        <v>1</v>
      </c>
      <c r="H165" s="4"/>
      <c r="I165" s="4"/>
      <c r="J165" s="4"/>
      <c r="K165" s="4" t="s">
        <v>204</v>
      </c>
      <c r="L165" s="4" t="s">
        <v>331</v>
      </c>
    </row>
    <row r="166" spans="1:12">
      <c r="A166" s="4" t="s">
        <v>644</v>
      </c>
      <c r="B166" s="4" t="s">
        <v>645</v>
      </c>
      <c r="C166" s="4" t="s">
        <v>324</v>
      </c>
      <c r="D166" s="4" t="s">
        <v>330</v>
      </c>
      <c r="E166" s="4" t="s">
        <v>326</v>
      </c>
      <c r="F166" s="13">
        <v>1</v>
      </c>
      <c r="G166" s="13">
        <v>1</v>
      </c>
      <c r="H166" s="4"/>
      <c r="I166" s="4"/>
      <c r="J166" s="4"/>
      <c r="K166" s="4" t="s">
        <v>204</v>
      </c>
      <c r="L166" s="4" t="s">
        <v>331</v>
      </c>
    </row>
    <row r="167" spans="1:12">
      <c r="A167" s="4" t="s">
        <v>646</v>
      </c>
      <c r="B167" s="4" t="s">
        <v>647</v>
      </c>
      <c r="C167" s="4" t="s">
        <v>324</v>
      </c>
      <c r="D167" s="4" t="s">
        <v>330</v>
      </c>
      <c r="E167" s="4" t="s">
        <v>326</v>
      </c>
      <c r="F167" s="13">
        <v>1</v>
      </c>
      <c r="G167" s="13">
        <v>1</v>
      </c>
      <c r="H167" s="4"/>
      <c r="I167" s="4"/>
      <c r="J167" s="4"/>
      <c r="K167" s="4" t="s">
        <v>204</v>
      </c>
      <c r="L167" s="4" t="s">
        <v>331</v>
      </c>
    </row>
    <row r="168" spans="1:12">
      <c r="A168" s="4" t="s">
        <v>648</v>
      </c>
      <c r="B168" s="4" t="s">
        <v>649</v>
      </c>
      <c r="C168" s="4" t="s">
        <v>324</v>
      </c>
      <c r="D168" s="4" t="s">
        <v>330</v>
      </c>
      <c r="E168" s="4" t="s">
        <v>326</v>
      </c>
      <c r="F168" s="13">
        <v>1</v>
      </c>
      <c r="G168" s="13">
        <v>1</v>
      </c>
      <c r="H168" s="4"/>
      <c r="I168" s="4"/>
      <c r="J168" s="4"/>
      <c r="K168" s="4" t="s">
        <v>204</v>
      </c>
      <c r="L168" s="4" t="s">
        <v>331</v>
      </c>
    </row>
    <row r="169" spans="1:12">
      <c r="A169" s="4" t="s">
        <v>650</v>
      </c>
      <c r="B169" s="4" t="s">
        <v>651</v>
      </c>
      <c r="C169" s="4" t="s">
        <v>324</v>
      </c>
      <c r="D169" s="4" t="s">
        <v>330</v>
      </c>
      <c r="E169" s="4" t="s">
        <v>326</v>
      </c>
      <c r="F169" s="13">
        <v>1</v>
      </c>
      <c r="G169" s="13">
        <v>1</v>
      </c>
      <c r="H169" s="4"/>
      <c r="I169" s="4"/>
      <c r="J169" s="4"/>
      <c r="K169" s="4" t="s">
        <v>204</v>
      </c>
      <c r="L169" s="4" t="s">
        <v>331</v>
      </c>
    </row>
    <row r="170" spans="1:12">
      <c r="A170" s="4" t="s">
        <v>652</v>
      </c>
      <c r="B170" s="4" t="s">
        <v>653</v>
      </c>
      <c r="C170" s="4" t="s">
        <v>324</v>
      </c>
      <c r="D170" s="4" t="s">
        <v>330</v>
      </c>
      <c r="E170" s="4" t="s">
        <v>326</v>
      </c>
      <c r="F170" s="13">
        <v>1</v>
      </c>
      <c r="G170" s="13">
        <v>1</v>
      </c>
      <c r="H170" s="4"/>
      <c r="I170" s="4"/>
      <c r="J170" s="4"/>
      <c r="K170" s="4" t="s">
        <v>204</v>
      </c>
      <c r="L170" s="4" t="s">
        <v>331</v>
      </c>
    </row>
    <row r="171" spans="1:12">
      <c r="A171" s="4" t="s">
        <v>654</v>
      </c>
      <c r="B171" s="4" t="s">
        <v>655</v>
      </c>
      <c r="C171" s="4" t="s">
        <v>324</v>
      </c>
      <c r="D171" s="4" t="s">
        <v>330</v>
      </c>
      <c r="E171" s="4" t="s">
        <v>326</v>
      </c>
      <c r="F171" s="13">
        <v>1</v>
      </c>
      <c r="G171" s="13">
        <v>1</v>
      </c>
      <c r="H171" s="4"/>
      <c r="I171" s="4"/>
      <c r="J171" s="4"/>
      <c r="K171" s="4" t="s">
        <v>204</v>
      </c>
      <c r="L171" s="4" t="s">
        <v>331</v>
      </c>
    </row>
    <row r="172" spans="1:12">
      <c r="A172" s="4" t="s">
        <v>656</v>
      </c>
      <c r="B172" s="4" t="s">
        <v>657</v>
      </c>
      <c r="C172" s="4" t="s">
        <v>324</v>
      </c>
      <c r="D172" s="4" t="s">
        <v>330</v>
      </c>
      <c r="E172" s="4" t="s">
        <v>326</v>
      </c>
      <c r="F172" s="13">
        <v>1</v>
      </c>
      <c r="G172" s="13">
        <v>1</v>
      </c>
      <c r="H172" s="4"/>
      <c r="I172" s="4"/>
      <c r="J172" s="4"/>
      <c r="K172" s="4" t="s">
        <v>204</v>
      </c>
      <c r="L172" s="4" t="s">
        <v>331</v>
      </c>
    </row>
    <row r="173" spans="1:12">
      <c r="A173" s="4" t="s">
        <v>658</v>
      </c>
      <c r="B173" s="4" t="s">
        <v>659</v>
      </c>
      <c r="C173" s="4" t="s">
        <v>324</v>
      </c>
      <c r="D173" s="4" t="s">
        <v>330</v>
      </c>
      <c r="E173" s="4" t="s">
        <v>326</v>
      </c>
      <c r="F173" s="13">
        <v>1</v>
      </c>
      <c r="G173" s="13">
        <v>1</v>
      </c>
      <c r="H173" s="4"/>
      <c r="I173" s="4"/>
      <c r="J173" s="4"/>
      <c r="K173" s="4" t="s">
        <v>204</v>
      </c>
      <c r="L173" s="4" t="s">
        <v>331</v>
      </c>
    </row>
    <row r="174" spans="1:12">
      <c r="A174" s="4" t="s">
        <v>660</v>
      </c>
      <c r="B174" s="4" t="s">
        <v>661</v>
      </c>
      <c r="C174" s="4" t="s">
        <v>324</v>
      </c>
      <c r="D174" s="4" t="s">
        <v>330</v>
      </c>
      <c r="E174" s="4" t="s">
        <v>326</v>
      </c>
      <c r="F174" s="13">
        <v>1</v>
      </c>
      <c r="G174" s="13">
        <v>1</v>
      </c>
      <c r="H174" s="4"/>
      <c r="I174" s="4"/>
      <c r="J174" s="4"/>
      <c r="K174" s="4" t="s">
        <v>204</v>
      </c>
      <c r="L174" s="4" t="s">
        <v>331</v>
      </c>
    </row>
    <row r="175" spans="1:12">
      <c r="A175" s="4" t="s">
        <v>662</v>
      </c>
      <c r="B175" s="4" t="s">
        <v>663</v>
      </c>
      <c r="C175" s="4" t="s">
        <v>324</v>
      </c>
      <c r="D175" s="4" t="s">
        <v>330</v>
      </c>
      <c r="E175" s="4" t="s">
        <v>326</v>
      </c>
      <c r="F175" s="13">
        <v>1</v>
      </c>
      <c r="G175" s="13">
        <v>1</v>
      </c>
      <c r="H175" s="4"/>
      <c r="I175" s="4"/>
      <c r="J175" s="4"/>
      <c r="K175" s="4" t="s">
        <v>204</v>
      </c>
      <c r="L175" s="4" t="s">
        <v>331</v>
      </c>
    </row>
    <row r="176" spans="1:12">
      <c r="A176" s="4" t="s">
        <v>664</v>
      </c>
      <c r="B176" s="4" t="s">
        <v>665</v>
      </c>
      <c r="C176" s="4" t="s">
        <v>324</v>
      </c>
      <c r="D176" s="4" t="s">
        <v>330</v>
      </c>
      <c r="E176" s="4" t="s">
        <v>326</v>
      </c>
      <c r="F176" s="13">
        <v>1</v>
      </c>
      <c r="G176" s="13">
        <v>1</v>
      </c>
      <c r="H176" s="4"/>
      <c r="I176" s="4"/>
      <c r="J176" s="4"/>
      <c r="K176" s="4" t="s">
        <v>204</v>
      </c>
      <c r="L176" s="4" t="s">
        <v>331</v>
      </c>
    </row>
    <row r="177" spans="1:12">
      <c r="A177" s="4" t="s">
        <v>666</v>
      </c>
      <c r="B177" s="4" t="s">
        <v>667</v>
      </c>
      <c r="C177" s="4" t="s">
        <v>324</v>
      </c>
      <c r="D177" s="4" t="s">
        <v>330</v>
      </c>
      <c r="E177" s="4" t="s">
        <v>326</v>
      </c>
      <c r="F177" s="13">
        <v>1</v>
      </c>
      <c r="G177" s="13">
        <v>1</v>
      </c>
      <c r="H177" s="4"/>
      <c r="I177" s="4"/>
      <c r="J177" s="4"/>
      <c r="K177" s="4" t="s">
        <v>204</v>
      </c>
      <c r="L177" s="4" t="s">
        <v>331</v>
      </c>
    </row>
    <row r="178" spans="1:12">
      <c r="A178" s="4" t="s">
        <v>668</v>
      </c>
      <c r="B178" s="4" t="s">
        <v>669</v>
      </c>
      <c r="C178" s="4" t="s">
        <v>324</v>
      </c>
      <c r="D178" s="4" t="s">
        <v>330</v>
      </c>
      <c r="E178" s="4" t="s">
        <v>326</v>
      </c>
      <c r="F178" s="13">
        <v>1</v>
      </c>
      <c r="G178" s="13">
        <v>1</v>
      </c>
      <c r="H178" s="4"/>
      <c r="I178" s="4"/>
      <c r="J178" s="4"/>
      <c r="K178" s="4" t="s">
        <v>204</v>
      </c>
      <c r="L178" s="4" t="s">
        <v>331</v>
      </c>
    </row>
    <row r="179" spans="1:12">
      <c r="A179" s="4" t="s">
        <v>670</v>
      </c>
      <c r="B179" s="4" t="s">
        <v>671</v>
      </c>
      <c r="C179" s="4" t="s">
        <v>324</v>
      </c>
      <c r="D179" s="4" t="s">
        <v>330</v>
      </c>
      <c r="E179" s="4" t="s">
        <v>326</v>
      </c>
      <c r="F179" s="13">
        <v>1</v>
      </c>
      <c r="G179" s="13">
        <v>1</v>
      </c>
      <c r="H179" s="4"/>
      <c r="I179" s="4"/>
      <c r="J179" s="4"/>
      <c r="K179" s="4" t="s">
        <v>204</v>
      </c>
      <c r="L179" s="4" t="s">
        <v>331</v>
      </c>
    </row>
    <row r="180" spans="1:12">
      <c r="A180" s="4" t="s">
        <v>672</v>
      </c>
      <c r="B180" s="4" t="s">
        <v>673</v>
      </c>
      <c r="C180" s="4" t="s">
        <v>324</v>
      </c>
      <c r="D180" s="4" t="s">
        <v>330</v>
      </c>
      <c r="E180" s="4" t="s">
        <v>326</v>
      </c>
      <c r="F180" s="13">
        <v>1</v>
      </c>
      <c r="G180" s="13">
        <v>1</v>
      </c>
      <c r="H180" s="4"/>
      <c r="I180" s="4"/>
      <c r="J180" s="4"/>
      <c r="K180" s="4" t="s">
        <v>204</v>
      </c>
      <c r="L180" s="4" t="s">
        <v>331</v>
      </c>
    </row>
    <row r="181" spans="1:12">
      <c r="A181" s="4" t="s">
        <v>674</v>
      </c>
      <c r="B181" s="4" t="s">
        <v>673</v>
      </c>
      <c r="C181" s="4" t="s">
        <v>324</v>
      </c>
      <c r="D181" s="4" t="s">
        <v>330</v>
      </c>
      <c r="E181" s="4" t="s">
        <v>326</v>
      </c>
      <c r="F181" s="13">
        <v>1</v>
      </c>
      <c r="G181" s="13">
        <v>1</v>
      </c>
      <c r="H181" s="4"/>
      <c r="I181" s="4"/>
      <c r="J181" s="4"/>
      <c r="K181" s="4" t="s">
        <v>204</v>
      </c>
      <c r="L181" s="4" t="s">
        <v>331</v>
      </c>
    </row>
    <row r="182" spans="1:12">
      <c r="A182" s="4" t="s">
        <v>675</v>
      </c>
      <c r="B182" s="4" t="s">
        <v>676</v>
      </c>
      <c r="C182" s="4" t="s">
        <v>324</v>
      </c>
      <c r="D182" s="4" t="s">
        <v>330</v>
      </c>
      <c r="E182" s="4" t="s">
        <v>326</v>
      </c>
      <c r="F182" s="13">
        <v>1</v>
      </c>
      <c r="G182" s="13">
        <v>1</v>
      </c>
      <c r="H182" s="4"/>
      <c r="I182" s="4"/>
      <c r="J182" s="4"/>
      <c r="K182" s="4" t="s">
        <v>204</v>
      </c>
      <c r="L182" s="4" t="s">
        <v>331</v>
      </c>
    </row>
    <row r="183" spans="1:12">
      <c r="A183" s="4" t="s">
        <v>677</v>
      </c>
      <c r="B183" s="4" t="s">
        <v>678</v>
      </c>
      <c r="C183" s="4" t="s">
        <v>324</v>
      </c>
      <c r="D183" s="4" t="s">
        <v>330</v>
      </c>
      <c r="E183" s="4" t="s">
        <v>326</v>
      </c>
      <c r="F183" s="13">
        <v>1</v>
      </c>
      <c r="G183" s="13">
        <v>1</v>
      </c>
      <c r="H183" s="4"/>
      <c r="I183" s="4"/>
      <c r="J183" s="4"/>
      <c r="K183" s="4" t="s">
        <v>204</v>
      </c>
      <c r="L183" s="4" t="s">
        <v>331</v>
      </c>
    </row>
    <row r="184" spans="1:12">
      <c r="A184" s="4" t="s">
        <v>679</v>
      </c>
      <c r="B184" s="4" t="s">
        <v>680</v>
      </c>
      <c r="C184" s="4" t="s">
        <v>324</v>
      </c>
      <c r="D184" s="4" t="s">
        <v>330</v>
      </c>
      <c r="E184" s="4" t="s">
        <v>326</v>
      </c>
      <c r="F184" s="13">
        <v>1</v>
      </c>
      <c r="G184" s="13">
        <v>1</v>
      </c>
      <c r="H184" s="4"/>
      <c r="I184" s="4"/>
      <c r="J184" s="4"/>
      <c r="K184" s="4" t="s">
        <v>204</v>
      </c>
      <c r="L184" s="4" t="s">
        <v>331</v>
      </c>
    </row>
    <row r="185" spans="1:12">
      <c r="A185" s="4" t="s">
        <v>681</v>
      </c>
      <c r="B185" s="4" t="s">
        <v>682</v>
      </c>
      <c r="C185" s="4" t="s">
        <v>324</v>
      </c>
      <c r="D185" s="4" t="s">
        <v>330</v>
      </c>
      <c r="E185" s="4" t="s">
        <v>326</v>
      </c>
      <c r="F185" s="13">
        <v>1</v>
      </c>
      <c r="G185" s="13">
        <v>1</v>
      </c>
      <c r="H185" s="4"/>
      <c r="I185" s="4"/>
      <c r="J185" s="4"/>
      <c r="K185" s="4" t="s">
        <v>204</v>
      </c>
      <c r="L185" s="4" t="s">
        <v>683</v>
      </c>
    </row>
    <row r="186" spans="1:12">
      <c r="A186" s="4" t="s">
        <v>684</v>
      </c>
      <c r="B186" s="4" t="s">
        <v>685</v>
      </c>
      <c r="C186" s="4" t="s">
        <v>324</v>
      </c>
      <c r="D186" s="4" t="s">
        <v>330</v>
      </c>
      <c r="E186" s="4" t="s">
        <v>326</v>
      </c>
      <c r="F186" s="13">
        <v>1</v>
      </c>
      <c r="G186" s="13">
        <v>1</v>
      </c>
      <c r="H186" s="4"/>
      <c r="I186" s="4"/>
      <c r="J186" s="4"/>
      <c r="K186" s="4" t="s">
        <v>204</v>
      </c>
      <c r="L186" s="4" t="s">
        <v>331</v>
      </c>
    </row>
    <row r="187" spans="1:12">
      <c r="A187" s="4" t="s">
        <v>686</v>
      </c>
      <c r="B187" s="4" t="s">
        <v>687</v>
      </c>
      <c r="C187" s="4" t="s">
        <v>324</v>
      </c>
      <c r="D187" s="4" t="s">
        <v>330</v>
      </c>
      <c r="E187" s="4" t="s">
        <v>326</v>
      </c>
      <c r="F187" s="13">
        <v>1</v>
      </c>
      <c r="G187" s="13">
        <v>1</v>
      </c>
      <c r="H187" s="4"/>
      <c r="I187" s="4"/>
      <c r="J187" s="4"/>
      <c r="K187" s="4" t="s">
        <v>204</v>
      </c>
      <c r="L187" s="4" t="s">
        <v>331</v>
      </c>
    </row>
    <row r="188" spans="1:12">
      <c r="A188" s="4" t="s">
        <v>688</v>
      </c>
      <c r="B188" s="4" t="s">
        <v>689</v>
      </c>
      <c r="C188" s="4" t="s">
        <v>324</v>
      </c>
      <c r="D188" s="4" t="s">
        <v>330</v>
      </c>
      <c r="E188" s="4" t="s">
        <v>326</v>
      </c>
      <c r="F188" s="13">
        <v>1</v>
      </c>
      <c r="G188" s="13">
        <v>1</v>
      </c>
      <c r="H188" s="4"/>
      <c r="I188" s="4"/>
      <c r="J188" s="4"/>
      <c r="K188" s="4" t="s">
        <v>204</v>
      </c>
      <c r="L188" s="4" t="s">
        <v>331</v>
      </c>
    </row>
    <row r="189" spans="1:12">
      <c r="A189" s="4" t="s">
        <v>690</v>
      </c>
      <c r="B189" s="4" t="s">
        <v>691</v>
      </c>
      <c r="C189" s="4" t="s">
        <v>324</v>
      </c>
      <c r="D189" s="4" t="s">
        <v>330</v>
      </c>
      <c r="E189" s="4" t="s">
        <v>587</v>
      </c>
      <c r="F189" s="13">
        <v>0</v>
      </c>
      <c r="G189" s="13">
        <v>1</v>
      </c>
      <c r="H189" s="4"/>
      <c r="I189" s="4"/>
      <c r="J189" s="4"/>
      <c r="K189" s="4"/>
      <c r="L189" s="4" t="s">
        <v>331</v>
      </c>
    </row>
    <row r="190" spans="1:12">
      <c r="A190" s="4" t="s">
        <v>692</v>
      </c>
      <c r="B190" s="4" t="s">
        <v>693</v>
      </c>
      <c r="C190" s="4" t="s">
        <v>324</v>
      </c>
      <c r="D190" s="4" t="s">
        <v>330</v>
      </c>
      <c r="E190" s="4" t="s">
        <v>326</v>
      </c>
      <c r="F190" s="13">
        <v>1</v>
      </c>
      <c r="G190" s="13">
        <v>1</v>
      </c>
      <c r="H190" s="4"/>
      <c r="I190" s="4"/>
      <c r="J190" s="4"/>
      <c r="K190" s="4"/>
      <c r="L190" s="4" t="s">
        <v>331</v>
      </c>
    </row>
    <row r="191" spans="1:12">
      <c r="A191" s="4" t="s">
        <v>694</v>
      </c>
      <c r="B191" s="4" t="s">
        <v>695</v>
      </c>
      <c r="C191" s="4" t="s">
        <v>324</v>
      </c>
      <c r="D191" s="4" t="s">
        <v>330</v>
      </c>
      <c r="E191" s="4" t="s">
        <v>326</v>
      </c>
      <c r="F191" s="13">
        <v>1</v>
      </c>
      <c r="G191" s="13">
        <v>1</v>
      </c>
      <c r="H191" s="4"/>
      <c r="I191" s="4"/>
      <c r="J191" s="4"/>
      <c r="K191" s="4"/>
      <c r="L191" s="4" t="s">
        <v>331</v>
      </c>
    </row>
    <row r="192" spans="1:12">
      <c r="A192" s="4" t="s">
        <v>696</v>
      </c>
      <c r="B192" s="4" t="s">
        <v>697</v>
      </c>
      <c r="C192" s="4" t="s">
        <v>324</v>
      </c>
      <c r="D192" s="4" t="s">
        <v>330</v>
      </c>
      <c r="E192" s="4" t="s">
        <v>326</v>
      </c>
      <c r="F192" s="13">
        <v>1</v>
      </c>
      <c r="G192" s="13">
        <v>1</v>
      </c>
      <c r="H192" s="4"/>
      <c r="I192" s="4"/>
      <c r="J192" s="4"/>
      <c r="K192" s="4"/>
      <c r="L192" s="4" t="s">
        <v>331</v>
      </c>
    </row>
    <row r="193" spans="1:12">
      <c r="A193" s="4" t="s">
        <v>698</v>
      </c>
      <c r="B193" s="4" t="s">
        <v>699</v>
      </c>
      <c r="C193" s="4" t="s">
        <v>324</v>
      </c>
      <c r="D193" s="4" t="s">
        <v>330</v>
      </c>
      <c r="E193" s="4" t="s">
        <v>326</v>
      </c>
      <c r="F193" s="13">
        <v>1</v>
      </c>
      <c r="G193" s="13">
        <v>1</v>
      </c>
      <c r="H193" s="4"/>
      <c r="I193" s="4"/>
      <c r="J193" s="4"/>
      <c r="K193" s="4" t="s">
        <v>292</v>
      </c>
      <c r="L193" s="4" t="s">
        <v>700</v>
      </c>
    </row>
    <row r="194" spans="1:12">
      <c r="A194" s="4" t="s">
        <v>204</v>
      </c>
      <c r="B194" s="4" t="s">
        <v>701</v>
      </c>
      <c r="C194" s="4" t="s">
        <v>324</v>
      </c>
      <c r="D194" s="4" t="s">
        <v>702</v>
      </c>
      <c r="E194" s="4" t="s">
        <v>326</v>
      </c>
      <c r="F194" s="13">
        <v>2</v>
      </c>
      <c r="G194" s="13">
        <v>1</v>
      </c>
      <c r="H194" s="4"/>
      <c r="I194" s="4"/>
      <c r="J194" s="4"/>
      <c r="K194" s="4" t="s">
        <v>256</v>
      </c>
      <c r="L194" s="4"/>
    </row>
    <row r="195" spans="1:12">
      <c r="A195" s="4" t="s">
        <v>703</v>
      </c>
      <c r="B195" s="4" t="s">
        <v>704</v>
      </c>
      <c r="C195" s="4" t="s">
        <v>324</v>
      </c>
      <c r="D195" s="4" t="s">
        <v>330</v>
      </c>
      <c r="E195" s="4" t="s">
        <v>326</v>
      </c>
      <c r="F195" s="13">
        <v>1</v>
      </c>
      <c r="G195" s="13">
        <v>1</v>
      </c>
      <c r="H195" s="4"/>
      <c r="I195" s="4"/>
      <c r="J195" s="4"/>
      <c r="K195" s="4" t="s">
        <v>204</v>
      </c>
      <c r="L195" s="4" t="s">
        <v>331</v>
      </c>
    </row>
    <row r="196" spans="1:12">
      <c r="A196" s="4" t="s">
        <v>206</v>
      </c>
      <c r="B196" s="4" t="s">
        <v>705</v>
      </c>
      <c r="C196" s="4" t="s">
        <v>324</v>
      </c>
      <c r="D196" s="4" t="s">
        <v>325</v>
      </c>
      <c r="E196" s="4" t="s">
        <v>326</v>
      </c>
      <c r="F196" s="13">
        <v>1</v>
      </c>
      <c r="G196" s="13">
        <v>2</v>
      </c>
      <c r="H196" s="4"/>
      <c r="I196" s="4"/>
      <c r="J196" s="4"/>
      <c r="K196" s="4" t="s">
        <v>216</v>
      </c>
      <c r="L196" s="4"/>
    </row>
    <row r="197" spans="1:12">
      <c r="A197" s="4" t="s">
        <v>706</v>
      </c>
      <c r="B197" s="4" t="s">
        <v>707</v>
      </c>
      <c r="C197" s="4" t="s">
        <v>324</v>
      </c>
      <c r="D197" s="4" t="s">
        <v>330</v>
      </c>
      <c r="E197" s="4" t="s">
        <v>326</v>
      </c>
      <c r="F197" s="13">
        <v>2</v>
      </c>
      <c r="G197" s="13">
        <v>1</v>
      </c>
      <c r="H197" s="4"/>
      <c r="I197" s="4"/>
      <c r="J197" s="4"/>
      <c r="K197" s="4" t="s">
        <v>216</v>
      </c>
      <c r="L197" s="4" t="s">
        <v>683</v>
      </c>
    </row>
    <row r="198" spans="1:12">
      <c r="A198" s="4" t="s">
        <v>708</v>
      </c>
      <c r="B198" s="4" t="s">
        <v>709</v>
      </c>
      <c r="C198" s="4" t="s">
        <v>324</v>
      </c>
      <c r="D198" s="4" t="s">
        <v>330</v>
      </c>
      <c r="E198" s="4" t="s">
        <v>326</v>
      </c>
      <c r="F198" s="13">
        <v>2</v>
      </c>
      <c r="G198" s="13">
        <v>1</v>
      </c>
      <c r="H198" s="4"/>
      <c r="I198" s="4"/>
      <c r="J198" s="4"/>
      <c r="K198" s="4" t="s">
        <v>216</v>
      </c>
      <c r="L198" s="4" t="s">
        <v>683</v>
      </c>
    </row>
    <row r="199" spans="1:12">
      <c r="A199" s="4" t="s">
        <v>208</v>
      </c>
      <c r="B199" s="4" t="s">
        <v>710</v>
      </c>
      <c r="C199" s="4" t="s">
        <v>324</v>
      </c>
      <c r="D199" s="4" t="s">
        <v>330</v>
      </c>
      <c r="E199" s="4" t="s">
        <v>326</v>
      </c>
      <c r="F199" s="13">
        <v>2</v>
      </c>
      <c r="G199" s="13">
        <v>1</v>
      </c>
      <c r="H199" s="4"/>
      <c r="I199" s="4"/>
      <c r="J199" s="4"/>
      <c r="K199" s="4" t="s">
        <v>216</v>
      </c>
      <c r="L199" s="4" t="s">
        <v>683</v>
      </c>
    </row>
    <row r="200" spans="1:12">
      <c r="A200" s="4" t="s">
        <v>711</v>
      </c>
      <c r="B200" s="4" t="s">
        <v>712</v>
      </c>
      <c r="C200" s="4" t="s">
        <v>324</v>
      </c>
      <c r="D200" s="4" t="s">
        <v>330</v>
      </c>
      <c r="E200" s="4" t="s">
        <v>326</v>
      </c>
      <c r="F200" s="13">
        <v>2</v>
      </c>
      <c r="G200" s="13">
        <v>1</v>
      </c>
      <c r="H200" s="4"/>
      <c r="I200" s="4"/>
      <c r="J200" s="4"/>
      <c r="K200" s="4" t="s">
        <v>216</v>
      </c>
      <c r="L200" s="4" t="s">
        <v>683</v>
      </c>
    </row>
    <row r="201" spans="1:12">
      <c r="A201" s="4" t="s">
        <v>210</v>
      </c>
      <c r="B201" s="4" t="s">
        <v>713</v>
      </c>
      <c r="C201" s="4" t="s">
        <v>324</v>
      </c>
      <c r="D201" s="4" t="s">
        <v>330</v>
      </c>
      <c r="E201" s="4" t="s">
        <v>326</v>
      </c>
      <c r="F201" s="13">
        <v>2</v>
      </c>
      <c r="G201" s="13">
        <v>1</v>
      </c>
      <c r="H201" s="4"/>
      <c r="I201" s="4"/>
      <c r="J201" s="4"/>
      <c r="K201" s="4" t="s">
        <v>216</v>
      </c>
      <c r="L201" s="4" t="s">
        <v>683</v>
      </c>
    </row>
    <row r="202" spans="1:12">
      <c r="A202" s="4" t="s">
        <v>212</v>
      </c>
      <c r="B202" s="4" t="s">
        <v>714</v>
      </c>
      <c r="C202" s="4" t="s">
        <v>324</v>
      </c>
      <c r="D202" s="4" t="s">
        <v>330</v>
      </c>
      <c r="E202" s="4" t="s">
        <v>326</v>
      </c>
      <c r="F202" s="13">
        <v>2</v>
      </c>
      <c r="G202" s="13">
        <v>1</v>
      </c>
      <c r="H202" s="4"/>
      <c r="I202" s="4"/>
      <c r="J202" s="4"/>
      <c r="K202" s="4" t="s">
        <v>216</v>
      </c>
      <c r="L202" s="4" t="s">
        <v>331</v>
      </c>
    </row>
    <row r="203" spans="1:12">
      <c r="A203" s="4" t="s">
        <v>715</v>
      </c>
      <c r="B203" s="4" t="s">
        <v>716</v>
      </c>
      <c r="C203" s="4" t="s">
        <v>324</v>
      </c>
      <c r="D203" s="4" t="s">
        <v>330</v>
      </c>
      <c r="E203" s="4" t="s">
        <v>326</v>
      </c>
      <c r="F203" s="13">
        <v>2</v>
      </c>
      <c r="G203" s="13">
        <v>1</v>
      </c>
      <c r="H203" s="4"/>
      <c r="I203" s="4"/>
      <c r="J203" s="4"/>
      <c r="K203" s="4" t="s">
        <v>216</v>
      </c>
      <c r="L203" s="4" t="s">
        <v>331</v>
      </c>
    </row>
    <row r="204" spans="1:12">
      <c r="A204" s="4" t="s">
        <v>214</v>
      </c>
      <c r="B204" s="4" t="s">
        <v>717</v>
      </c>
      <c r="C204" s="4" t="s">
        <v>324</v>
      </c>
      <c r="D204" s="4" t="s">
        <v>330</v>
      </c>
      <c r="E204" s="4" t="s">
        <v>326</v>
      </c>
      <c r="F204" s="13">
        <v>2</v>
      </c>
      <c r="G204" s="13">
        <v>1</v>
      </c>
      <c r="H204" s="4"/>
      <c r="I204" s="4"/>
      <c r="J204" s="4"/>
      <c r="K204" s="4" t="s">
        <v>216</v>
      </c>
      <c r="L204" s="4" t="s">
        <v>331</v>
      </c>
    </row>
    <row r="205" spans="1:12">
      <c r="A205" s="4" t="s">
        <v>718</v>
      </c>
      <c r="B205" s="4" t="s">
        <v>719</v>
      </c>
      <c r="C205" s="4" t="s">
        <v>324</v>
      </c>
      <c r="D205" s="4" t="s">
        <v>330</v>
      </c>
      <c r="E205" s="4" t="s">
        <v>326</v>
      </c>
      <c r="F205" s="13">
        <v>2</v>
      </c>
      <c r="G205" s="13">
        <v>1</v>
      </c>
      <c r="H205" s="4"/>
      <c r="I205" s="4"/>
      <c r="J205" s="4"/>
      <c r="K205" s="4" t="s">
        <v>216</v>
      </c>
      <c r="L205" s="4" t="s">
        <v>331</v>
      </c>
    </row>
    <row r="206" spans="1:12">
      <c r="A206" s="4" t="s">
        <v>216</v>
      </c>
      <c r="B206" s="4" t="s">
        <v>720</v>
      </c>
      <c r="C206" s="4" t="s">
        <v>324</v>
      </c>
      <c r="D206" s="4" t="s">
        <v>702</v>
      </c>
      <c r="E206" s="4" t="s">
        <v>326</v>
      </c>
      <c r="F206" s="13">
        <v>2</v>
      </c>
      <c r="G206" s="13">
        <v>1</v>
      </c>
      <c r="H206" s="4"/>
      <c r="I206" s="4"/>
      <c r="J206" s="4"/>
      <c r="K206" s="4" t="s">
        <v>256</v>
      </c>
      <c r="L206" s="4"/>
    </row>
    <row r="207" spans="1:12">
      <c r="A207" s="4" t="s">
        <v>218</v>
      </c>
      <c r="B207" s="4" t="s">
        <v>721</v>
      </c>
      <c r="C207" s="4" t="s">
        <v>324</v>
      </c>
      <c r="D207" s="4" t="s">
        <v>330</v>
      </c>
      <c r="E207" s="4" t="s">
        <v>326</v>
      </c>
      <c r="F207" s="13">
        <v>1</v>
      </c>
      <c r="G207" s="13">
        <v>2</v>
      </c>
      <c r="H207" s="4"/>
      <c r="I207" s="4"/>
      <c r="J207" s="4"/>
      <c r="K207" s="4" t="s">
        <v>256</v>
      </c>
      <c r="L207" s="4" t="s">
        <v>722</v>
      </c>
    </row>
    <row r="208" spans="1:12">
      <c r="A208" s="4" t="s">
        <v>220</v>
      </c>
      <c r="B208" s="4" t="s">
        <v>723</v>
      </c>
      <c r="C208" s="4" t="s">
        <v>324</v>
      </c>
      <c r="D208" s="4" t="s">
        <v>325</v>
      </c>
      <c r="E208" s="4" t="s">
        <v>326</v>
      </c>
      <c r="F208" s="13">
        <v>1</v>
      </c>
      <c r="G208" s="13">
        <v>2</v>
      </c>
      <c r="H208" s="4"/>
      <c r="I208" s="4"/>
      <c r="J208" s="4"/>
      <c r="K208" s="4" t="s">
        <v>224</v>
      </c>
      <c r="L208" s="4"/>
    </row>
    <row r="209" spans="1:12">
      <c r="A209" s="4" t="s">
        <v>222</v>
      </c>
      <c r="B209" s="4" t="s">
        <v>5</v>
      </c>
      <c r="C209" s="4" t="s">
        <v>324</v>
      </c>
      <c r="D209" s="4" t="s">
        <v>330</v>
      </c>
      <c r="E209" s="4" t="s">
        <v>326</v>
      </c>
      <c r="F209" s="13">
        <v>1</v>
      </c>
      <c r="G209" s="13">
        <v>1</v>
      </c>
      <c r="H209" s="4"/>
      <c r="I209" s="4"/>
      <c r="J209" s="4"/>
      <c r="K209" s="4" t="s">
        <v>224</v>
      </c>
      <c r="L209" s="4" t="s">
        <v>683</v>
      </c>
    </row>
    <row r="210" spans="1:12">
      <c r="A210" s="4" t="s">
        <v>724</v>
      </c>
      <c r="B210" s="4" t="s">
        <v>725</v>
      </c>
      <c r="C210" s="4" t="s">
        <v>324</v>
      </c>
      <c r="D210" s="4" t="s">
        <v>330</v>
      </c>
      <c r="E210" s="4" t="s">
        <v>326</v>
      </c>
      <c r="F210" s="13">
        <v>1</v>
      </c>
      <c r="G210" s="13">
        <v>1</v>
      </c>
      <c r="H210" s="4"/>
      <c r="I210" s="4"/>
      <c r="J210" s="4"/>
      <c r="K210" s="4" t="s">
        <v>224</v>
      </c>
      <c r="L210" s="4" t="s">
        <v>683</v>
      </c>
    </row>
    <row r="211" spans="1:12">
      <c r="A211" s="4" t="s">
        <v>726</v>
      </c>
      <c r="B211" s="4" t="s">
        <v>6</v>
      </c>
      <c r="C211" s="4" t="s">
        <v>324</v>
      </c>
      <c r="D211" s="4" t="s">
        <v>330</v>
      </c>
      <c r="E211" s="4" t="s">
        <v>326</v>
      </c>
      <c r="F211" s="13">
        <v>1</v>
      </c>
      <c r="G211" s="13">
        <v>1</v>
      </c>
      <c r="H211" s="4"/>
      <c r="I211" s="4"/>
      <c r="J211" s="4"/>
      <c r="K211" s="4" t="s">
        <v>224</v>
      </c>
      <c r="L211" s="4" t="s">
        <v>683</v>
      </c>
    </row>
    <row r="212" spans="1:12">
      <c r="A212" s="4" t="s">
        <v>224</v>
      </c>
      <c r="B212" s="4" t="s">
        <v>727</v>
      </c>
      <c r="C212" s="4" t="s">
        <v>324</v>
      </c>
      <c r="D212" s="4" t="s">
        <v>702</v>
      </c>
      <c r="E212" s="4" t="s">
        <v>326</v>
      </c>
      <c r="F212" s="13">
        <v>2</v>
      </c>
      <c r="G212" s="13">
        <v>1</v>
      </c>
      <c r="H212" s="4"/>
      <c r="I212" s="4"/>
      <c r="J212" s="4"/>
      <c r="K212" s="4" t="s">
        <v>256</v>
      </c>
      <c r="L212" s="4"/>
    </row>
    <row r="213" spans="1:12">
      <c r="A213" s="4" t="s">
        <v>226</v>
      </c>
      <c r="B213" s="4" t="s">
        <v>728</v>
      </c>
      <c r="C213" s="4" t="s">
        <v>324</v>
      </c>
      <c r="D213" s="4" t="s">
        <v>325</v>
      </c>
      <c r="E213" s="4" t="s">
        <v>326</v>
      </c>
      <c r="F213" s="13">
        <v>1</v>
      </c>
      <c r="G213" s="13">
        <v>2</v>
      </c>
      <c r="H213" s="4"/>
      <c r="I213" s="4"/>
      <c r="J213" s="4"/>
      <c r="K213" s="4" t="s">
        <v>254</v>
      </c>
      <c r="L213" s="4"/>
    </row>
    <row r="214" spans="1:12">
      <c r="A214" s="4" t="s">
        <v>729</v>
      </c>
      <c r="B214" s="4" t="s">
        <v>730</v>
      </c>
      <c r="C214" s="4" t="s">
        <v>324</v>
      </c>
      <c r="D214" s="4" t="s">
        <v>330</v>
      </c>
      <c r="E214" s="4" t="s">
        <v>326</v>
      </c>
      <c r="F214" s="13">
        <v>1</v>
      </c>
      <c r="G214" s="13">
        <v>1</v>
      </c>
      <c r="H214" s="4"/>
      <c r="I214" s="4"/>
      <c r="J214" s="4"/>
      <c r="K214" s="4" t="s">
        <v>254</v>
      </c>
      <c r="L214" s="4" t="s">
        <v>683</v>
      </c>
    </row>
    <row r="215" spans="1:12">
      <c r="A215" s="4" t="s">
        <v>731</v>
      </c>
      <c r="B215" s="4" t="s">
        <v>732</v>
      </c>
      <c r="C215" s="4" t="s">
        <v>324</v>
      </c>
      <c r="D215" s="4" t="s">
        <v>330</v>
      </c>
      <c r="E215" s="4" t="s">
        <v>326</v>
      </c>
      <c r="F215" s="13">
        <v>1</v>
      </c>
      <c r="G215" s="13">
        <v>1</v>
      </c>
      <c r="H215" s="4"/>
      <c r="I215" s="4"/>
      <c r="J215" s="4"/>
      <c r="K215" s="4" t="s">
        <v>254</v>
      </c>
      <c r="L215" s="4" t="s">
        <v>683</v>
      </c>
    </row>
    <row r="216" spans="1:12">
      <c r="A216" s="4" t="s">
        <v>733</v>
      </c>
      <c r="B216" s="4" t="s">
        <v>734</v>
      </c>
      <c r="C216" s="4" t="s">
        <v>324</v>
      </c>
      <c r="D216" s="4" t="s">
        <v>330</v>
      </c>
      <c r="E216" s="4" t="s">
        <v>326</v>
      </c>
      <c r="F216" s="13">
        <v>1</v>
      </c>
      <c r="G216" s="13">
        <v>1</v>
      </c>
      <c r="H216" s="4"/>
      <c r="I216" s="4"/>
      <c r="J216" s="4"/>
      <c r="K216" s="4" t="s">
        <v>254</v>
      </c>
      <c r="L216" s="4" t="s">
        <v>683</v>
      </c>
    </row>
    <row r="217" spans="1:12">
      <c r="A217" s="4" t="s">
        <v>735</v>
      </c>
      <c r="B217" s="4" t="s">
        <v>736</v>
      </c>
      <c r="C217" s="4" t="s">
        <v>324</v>
      </c>
      <c r="D217" s="4" t="s">
        <v>330</v>
      </c>
      <c r="E217" s="4" t="s">
        <v>326</v>
      </c>
      <c r="F217" s="13">
        <v>1</v>
      </c>
      <c r="G217" s="13">
        <v>1</v>
      </c>
      <c r="H217" s="4"/>
      <c r="I217" s="4"/>
      <c r="J217" s="4"/>
      <c r="K217" s="4" t="s">
        <v>254</v>
      </c>
      <c r="L217" s="4" t="s">
        <v>683</v>
      </c>
    </row>
    <row r="218" spans="1:12">
      <c r="A218" s="4" t="s">
        <v>737</v>
      </c>
      <c r="B218" s="4" t="s">
        <v>738</v>
      </c>
      <c r="C218" s="4" t="s">
        <v>324</v>
      </c>
      <c r="D218" s="4" t="s">
        <v>330</v>
      </c>
      <c r="E218" s="4" t="s">
        <v>326</v>
      </c>
      <c r="F218" s="13">
        <v>1</v>
      </c>
      <c r="G218" s="13">
        <v>1</v>
      </c>
      <c r="H218" s="4"/>
      <c r="I218" s="4"/>
      <c r="J218" s="4"/>
      <c r="K218" s="4" t="s">
        <v>254</v>
      </c>
      <c r="L218" s="4" t="s">
        <v>683</v>
      </c>
    </row>
    <row r="219" spans="1:12">
      <c r="A219" s="4" t="s">
        <v>739</v>
      </c>
      <c r="B219" s="4" t="s">
        <v>740</v>
      </c>
      <c r="C219" s="4" t="s">
        <v>324</v>
      </c>
      <c r="D219" s="4" t="s">
        <v>330</v>
      </c>
      <c r="E219" s="4" t="s">
        <v>326</v>
      </c>
      <c r="F219" s="13">
        <v>1</v>
      </c>
      <c r="G219" s="13">
        <v>1</v>
      </c>
      <c r="H219" s="4"/>
      <c r="I219" s="4"/>
      <c r="J219" s="4"/>
      <c r="K219" s="4" t="s">
        <v>254</v>
      </c>
      <c r="L219" s="4" t="s">
        <v>683</v>
      </c>
    </row>
    <row r="220" spans="1:12">
      <c r="A220" s="4" t="s">
        <v>741</v>
      </c>
      <c r="B220" s="4" t="s">
        <v>742</v>
      </c>
      <c r="C220" s="4" t="s">
        <v>324</v>
      </c>
      <c r="D220" s="4" t="s">
        <v>330</v>
      </c>
      <c r="E220" s="4" t="s">
        <v>326</v>
      </c>
      <c r="F220" s="13">
        <v>1</v>
      </c>
      <c r="G220" s="13">
        <v>1</v>
      </c>
      <c r="H220" s="4"/>
      <c r="I220" s="4"/>
      <c r="J220" s="4"/>
      <c r="K220" s="4" t="s">
        <v>254</v>
      </c>
      <c r="L220" s="4" t="s">
        <v>683</v>
      </c>
    </row>
    <row r="221" spans="1:12">
      <c r="A221" s="4" t="s">
        <v>228</v>
      </c>
      <c r="B221" s="4" t="s">
        <v>743</v>
      </c>
      <c r="C221" s="4" t="s">
        <v>324</v>
      </c>
      <c r="D221" s="4" t="s">
        <v>330</v>
      </c>
      <c r="E221" s="4" t="s">
        <v>326</v>
      </c>
      <c r="F221" s="13">
        <v>1</v>
      </c>
      <c r="G221" s="13">
        <v>1</v>
      </c>
      <c r="H221" s="4"/>
      <c r="I221" s="4"/>
      <c r="J221" s="4"/>
      <c r="K221" s="4" t="s">
        <v>254</v>
      </c>
      <c r="L221" s="4" t="s">
        <v>683</v>
      </c>
    </row>
    <row r="222" spans="1:12">
      <c r="A222" s="4" t="s">
        <v>744</v>
      </c>
      <c r="B222" s="4" t="s">
        <v>745</v>
      </c>
      <c r="C222" s="4" t="s">
        <v>324</v>
      </c>
      <c r="D222" s="4" t="s">
        <v>330</v>
      </c>
      <c r="E222" s="4" t="s">
        <v>326</v>
      </c>
      <c r="F222" s="13">
        <v>1</v>
      </c>
      <c r="G222" s="13">
        <v>1</v>
      </c>
      <c r="H222" s="4"/>
      <c r="I222" s="4"/>
      <c r="J222" s="4"/>
      <c r="K222" s="4" t="s">
        <v>254</v>
      </c>
      <c r="L222" s="4" t="s">
        <v>683</v>
      </c>
    </row>
    <row r="223" spans="1:12">
      <c r="A223" s="4" t="s">
        <v>746</v>
      </c>
      <c r="B223" s="4" t="s">
        <v>747</v>
      </c>
      <c r="C223" s="4" t="s">
        <v>324</v>
      </c>
      <c r="D223" s="4" t="s">
        <v>330</v>
      </c>
      <c r="E223" s="4" t="s">
        <v>326</v>
      </c>
      <c r="F223" s="13">
        <v>1</v>
      </c>
      <c r="G223" s="13">
        <v>1</v>
      </c>
      <c r="H223" s="4"/>
      <c r="I223" s="4"/>
      <c r="J223" s="4"/>
      <c r="K223" s="4" t="s">
        <v>254</v>
      </c>
      <c r="L223" s="4" t="s">
        <v>683</v>
      </c>
    </row>
    <row r="224" spans="1:12">
      <c r="A224" s="4" t="s">
        <v>748</v>
      </c>
      <c r="B224" s="4" t="s">
        <v>749</v>
      </c>
      <c r="C224" s="4" t="s">
        <v>324</v>
      </c>
      <c r="D224" s="4" t="s">
        <v>330</v>
      </c>
      <c r="E224" s="4" t="s">
        <v>326</v>
      </c>
      <c r="F224" s="13">
        <v>1</v>
      </c>
      <c r="G224" s="13">
        <v>1</v>
      </c>
      <c r="H224" s="4"/>
      <c r="I224" s="4"/>
      <c r="J224" s="4"/>
      <c r="K224" s="4" t="s">
        <v>254</v>
      </c>
      <c r="L224" s="4" t="s">
        <v>683</v>
      </c>
    </row>
    <row r="225" spans="1:12">
      <c r="A225" s="4" t="s">
        <v>750</v>
      </c>
      <c r="B225" s="4" t="s">
        <v>751</v>
      </c>
      <c r="C225" s="4" t="s">
        <v>324</v>
      </c>
      <c r="D225" s="4" t="s">
        <v>330</v>
      </c>
      <c r="E225" s="4" t="s">
        <v>326</v>
      </c>
      <c r="F225" s="13">
        <v>1</v>
      </c>
      <c r="G225" s="13">
        <v>1</v>
      </c>
      <c r="H225" s="4"/>
      <c r="I225" s="4"/>
      <c r="J225" s="4"/>
      <c r="K225" s="4" t="s">
        <v>254</v>
      </c>
      <c r="L225" s="4" t="s">
        <v>683</v>
      </c>
    </row>
    <row r="226" spans="1:12">
      <c r="A226" s="4" t="s">
        <v>752</v>
      </c>
      <c r="B226" s="4" t="s">
        <v>753</v>
      </c>
      <c r="C226" s="4" t="s">
        <v>324</v>
      </c>
      <c r="D226" s="4" t="s">
        <v>330</v>
      </c>
      <c r="E226" s="4" t="s">
        <v>326</v>
      </c>
      <c r="F226" s="13">
        <v>1</v>
      </c>
      <c r="G226" s="13">
        <v>1</v>
      </c>
      <c r="H226" s="4"/>
      <c r="I226" s="4"/>
      <c r="J226" s="4"/>
      <c r="K226" s="4" t="s">
        <v>254</v>
      </c>
      <c r="L226" s="4" t="s">
        <v>683</v>
      </c>
    </row>
    <row r="227" spans="1:12">
      <c r="A227" s="4" t="s">
        <v>754</v>
      </c>
      <c r="B227" s="4" t="s">
        <v>755</v>
      </c>
      <c r="C227" s="4" t="s">
        <v>324</v>
      </c>
      <c r="D227" s="4" t="s">
        <v>330</v>
      </c>
      <c r="E227" s="4" t="s">
        <v>326</v>
      </c>
      <c r="F227" s="13">
        <v>1</v>
      </c>
      <c r="G227" s="13">
        <v>1</v>
      </c>
      <c r="H227" s="4"/>
      <c r="I227" s="4"/>
      <c r="J227" s="4"/>
      <c r="K227" s="4" t="s">
        <v>254</v>
      </c>
      <c r="L227" s="4" t="s">
        <v>683</v>
      </c>
    </row>
    <row r="228" spans="1:12">
      <c r="A228" s="4" t="s">
        <v>756</v>
      </c>
      <c r="B228" s="4" t="s">
        <v>757</v>
      </c>
      <c r="C228" s="4" t="s">
        <v>324</v>
      </c>
      <c r="D228" s="4" t="s">
        <v>330</v>
      </c>
      <c r="E228" s="4" t="s">
        <v>326</v>
      </c>
      <c r="F228" s="13">
        <v>1</v>
      </c>
      <c r="G228" s="13">
        <v>1</v>
      </c>
      <c r="H228" s="4"/>
      <c r="I228" s="4"/>
      <c r="J228" s="4"/>
      <c r="K228" s="4" t="s">
        <v>254</v>
      </c>
      <c r="L228" s="4" t="s">
        <v>683</v>
      </c>
    </row>
    <row r="229" spans="1:12">
      <c r="A229" s="4" t="s">
        <v>758</v>
      </c>
      <c r="B229" s="4" t="s">
        <v>759</v>
      </c>
      <c r="C229" s="4" t="s">
        <v>324</v>
      </c>
      <c r="D229" s="4" t="s">
        <v>330</v>
      </c>
      <c r="E229" s="4" t="s">
        <v>326</v>
      </c>
      <c r="F229" s="13">
        <v>1</v>
      </c>
      <c r="G229" s="13">
        <v>1</v>
      </c>
      <c r="H229" s="4"/>
      <c r="I229" s="4"/>
      <c r="J229" s="4"/>
      <c r="K229" s="4" t="s">
        <v>254</v>
      </c>
      <c r="L229" s="4" t="s">
        <v>683</v>
      </c>
    </row>
    <row r="230" spans="1:12">
      <c r="A230" s="4" t="s">
        <v>760</v>
      </c>
      <c r="B230" s="4" t="s">
        <v>761</v>
      </c>
      <c r="C230" s="4" t="s">
        <v>324</v>
      </c>
      <c r="D230" s="4" t="s">
        <v>330</v>
      </c>
      <c r="E230" s="4" t="s">
        <v>326</v>
      </c>
      <c r="F230" s="13">
        <v>1</v>
      </c>
      <c r="G230" s="13">
        <v>1</v>
      </c>
      <c r="H230" s="4"/>
      <c r="I230" s="4"/>
      <c r="J230" s="4"/>
      <c r="K230" s="4" t="s">
        <v>254</v>
      </c>
      <c r="L230" s="4" t="s">
        <v>683</v>
      </c>
    </row>
    <row r="231" spans="1:12">
      <c r="A231" s="4" t="s">
        <v>762</v>
      </c>
      <c r="B231" s="4" t="s">
        <v>763</v>
      </c>
      <c r="C231" s="4" t="s">
        <v>324</v>
      </c>
      <c r="D231" s="4" t="s">
        <v>330</v>
      </c>
      <c r="E231" s="4" t="s">
        <v>326</v>
      </c>
      <c r="F231" s="13">
        <v>1</v>
      </c>
      <c r="G231" s="13">
        <v>1</v>
      </c>
      <c r="H231" s="4"/>
      <c r="I231" s="4"/>
      <c r="J231" s="4"/>
      <c r="K231" s="4" t="s">
        <v>254</v>
      </c>
      <c r="L231" s="4" t="s">
        <v>683</v>
      </c>
    </row>
    <row r="232" spans="1:12">
      <c r="A232" s="4" t="s">
        <v>764</v>
      </c>
      <c r="B232" s="4" t="s">
        <v>765</v>
      </c>
      <c r="C232" s="4" t="s">
        <v>324</v>
      </c>
      <c r="D232" s="4" t="s">
        <v>330</v>
      </c>
      <c r="E232" s="4" t="s">
        <v>326</v>
      </c>
      <c r="F232" s="13">
        <v>1</v>
      </c>
      <c r="G232" s="13">
        <v>1</v>
      </c>
      <c r="H232" s="4"/>
      <c r="I232" s="4"/>
      <c r="J232" s="4"/>
      <c r="K232" s="4" t="s">
        <v>254</v>
      </c>
      <c r="L232" s="4" t="s">
        <v>683</v>
      </c>
    </row>
    <row r="233" spans="1:12">
      <c r="A233" s="4" t="s">
        <v>766</v>
      </c>
      <c r="B233" s="4" t="s">
        <v>767</v>
      </c>
      <c r="C233" s="4" t="s">
        <v>324</v>
      </c>
      <c r="D233" s="4" t="s">
        <v>330</v>
      </c>
      <c r="E233" s="4" t="s">
        <v>326</v>
      </c>
      <c r="F233" s="13">
        <v>1</v>
      </c>
      <c r="G233" s="13">
        <v>1</v>
      </c>
      <c r="H233" s="4"/>
      <c r="I233" s="4"/>
      <c r="J233" s="4"/>
      <c r="K233" s="4" t="s">
        <v>254</v>
      </c>
      <c r="L233" s="4" t="s">
        <v>683</v>
      </c>
    </row>
    <row r="234" spans="1:12">
      <c r="A234" s="4" t="s">
        <v>768</v>
      </c>
      <c r="B234" s="4" t="s">
        <v>769</v>
      </c>
      <c r="C234" s="4" t="s">
        <v>324</v>
      </c>
      <c r="D234" s="4" t="s">
        <v>330</v>
      </c>
      <c r="E234" s="4" t="s">
        <v>326</v>
      </c>
      <c r="F234" s="13">
        <v>1</v>
      </c>
      <c r="G234" s="13">
        <v>1</v>
      </c>
      <c r="H234" s="4"/>
      <c r="I234" s="4"/>
      <c r="J234" s="4"/>
      <c r="K234" s="4" t="s">
        <v>254</v>
      </c>
      <c r="L234" s="4" t="s">
        <v>683</v>
      </c>
    </row>
    <row r="235" spans="1:12">
      <c r="A235" s="4" t="s">
        <v>230</v>
      </c>
      <c r="B235" s="4" t="s">
        <v>770</v>
      </c>
      <c r="C235" s="4" t="s">
        <v>324</v>
      </c>
      <c r="D235" s="4" t="s">
        <v>330</v>
      </c>
      <c r="E235" s="4" t="s">
        <v>326</v>
      </c>
      <c r="F235" s="13">
        <v>1</v>
      </c>
      <c r="G235" s="13">
        <v>1</v>
      </c>
      <c r="H235" s="4"/>
      <c r="I235" s="4"/>
      <c r="J235" s="4"/>
      <c r="K235" s="4" t="s">
        <v>254</v>
      </c>
      <c r="L235" s="4" t="s">
        <v>683</v>
      </c>
    </row>
    <row r="236" spans="1:12">
      <c r="A236" s="4" t="s">
        <v>232</v>
      </c>
      <c r="B236" s="4" t="s">
        <v>771</v>
      </c>
      <c r="C236" s="4" t="s">
        <v>324</v>
      </c>
      <c r="D236" s="4" t="s">
        <v>330</v>
      </c>
      <c r="E236" s="4" t="s">
        <v>326</v>
      </c>
      <c r="F236" s="13">
        <v>1</v>
      </c>
      <c r="G236" s="13">
        <v>1</v>
      </c>
      <c r="H236" s="4"/>
      <c r="I236" s="4"/>
      <c r="J236" s="4"/>
      <c r="K236" s="4" t="s">
        <v>254</v>
      </c>
      <c r="L236" s="4" t="s">
        <v>683</v>
      </c>
    </row>
    <row r="237" spans="1:12">
      <c r="A237" s="4" t="s">
        <v>772</v>
      </c>
      <c r="B237" s="4" t="s">
        <v>773</v>
      </c>
      <c r="C237" s="4" t="s">
        <v>324</v>
      </c>
      <c r="D237" s="4" t="s">
        <v>330</v>
      </c>
      <c r="E237" s="4" t="s">
        <v>326</v>
      </c>
      <c r="F237" s="13">
        <v>1</v>
      </c>
      <c r="G237" s="13">
        <v>1</v>
      </c>
      <c r="H237" s="4"/>
      <c r="I237" s="4"/>
      <c r="J237" s="4"/>
      <c r="K237" s="4" t="s">
        <v>254</v>
      </c>
      <c r="L237" s="4" t="s">
        <v>683</v>
      </c>
    </row>
    <row r="238" spans="1:12">
      <c r="A238" s="4" t="s">
        <v>774</v>
      </c>
      <c r="B238" s="4" t="s">
        <v>775</v>
      </c>
      <c r="C238" s="4" t="s">
        <v>324</v>
      </c>
      <c r="D238" s="4" t="s">
        <v>330</v>
      </c>
      <c r="E238" s="4" t="s">
        <v>326</v>
      </c>
      <c r="F238" s="13">
        <v>0</v>
      </c>
      <c r="G238" s="13">
        <v>1</v>
      </c>
      <c r="H238" s="4"/>
      <c r="I238" s="4"/>
      <c r="J238" s="4"/>
      <c r="K238" s="4" t="s">
        <v>256</v>
      </c>
      <c r="L238" s="4" t="s">
        <v>683</v>
      </c>
    </row>
    <row r="239" spans="1:12">
      <c r="A239" s="4" t="s">
        <v>234</v>
      </c>
      <c r="B239" s="4" t="s">
        <v>776</v>
      </c>
      <c r="C239" s="4" t="s">
        <v>324</v>
      </c>
      <c r="D239" s="4" t="s">
        <v>330</v>
      </c>
      <c r="E239" s="4" t="s">
        <v>326</v>
      </c>
      <c r="F239" s="13">
        <v>1</v>
      </c>
      <c r="G239" s="13">
        <v>1</v>
      </c>
      <c r="H239" s="4"/>
      <c r="I239" s="4"/>
      <c r="J239" s="4"/>
      <c r="K239" s="4" t="s">
        <v>254</v>
      </c>
      <c r="L239" s="4" t="s">
        <v>683</v>
      </c>
    </row>
    <row r="240" spans="1:12">
      <c r="A240" s="4" t="s">
        <v>777</v>
      </c>
      <c r="B240" s="4" t="s">
        <v>778</v>
      </c>
      <c r="C240" s="4" t="s">
        <v>324</v>
      </c>
      <c r="D240" s="4" t="s">
        <v>330</v>
      </c>
      <c r="E240" s="4" t="s">
        <v>326</v>
      </c>
      <c r="F240" s="13">
        <v>1</v>
      </c>
      <c r="G240" s="13">
        <v>1</v>
      </c>
      <c r="H240" s="4"/>
      <c r="I240" s="4"/>
      <c r="J240" s="4"/>
      <c r="K240" s="4" t="s">
        <v>254</v>
      </c>
      <c r="L240" s="4" t="s">
        <v>683</v>
      </c>
    </row>
    <row r="241" spans="1:12">
      <c r="A241" s="4" t="s">
        <v>779</v>
      </c>
      <c r="B241" s="4" t="s">
        <v>780</v>
      </c>
      <c r="C241" s="4" t="s">
        <v>324</v>
      </c>
      <c r="D241" s="4" t="s">
        <v>330</v>
      </c>
      <c r="E241" s="4" t="s">
        <v>326</v>
      </c>
      <c r="F241" s="13">
        <v>1</v>
      </c>
      <c r="G241" s="13">
        <v>1</v>
      </c>
      <c r="H241" s="4"/>
      <c r="I241" s="4"/>
      <c r="J241" s="4"/>
      <c r="K241" s="4" t="s">
        <v>254</v>
      </c>
      <c r="L241" s="4" t="s">
        <v>683</v>
      </c>
    </row>
    <row r="242" spans="1:12">
      <c r="A242" s="4" t="s">
        <v>781</v>
      </c>
      <c r="B242" s="4" t="s">
        <v>782</v>
      </c>
      <c r="C242" s="4" t="s">
        <v>324</v>
      </c>
      <c r="D242" s="4" t="s">
        <v>330</v>
      </c>
      <c r="E242" s="4" t="s">
        <v>326</v>
      </c>
      <c r="F242" s="13">
        <v>1</v>
      </c>
      <c r="G242" s="13">
        <v>1</v>
      </c>
      <c r="H242" s="4"/>
      <c r="I242" s="4"/>
      <c r="J242" s="4"/>
      <c r="K242" s="4" t="s">
        <v>254</v>
      </c>
      <c r="L242" s="4" t="s">
        <v>683</v>
      </c>
    </row>
    <row r="243" spans="1:12">
      <c r="A243" s="4" t="s">
        <v>783</v>
      </c>
      <c r="B243" s="4" t="s">
        <v>784</v>
      </c>
      <c r="C243" s="4" t="s">
        <v>324</v>
      </c>
      <c r="D243" s="4" t="s">
        <v>330</v>
      </c>
      <c r="E243" s="4" t="s">
        <v>326</v>
      </c>
      <c r="F243" s="13">
        <v>1</v>
      </c>
      <c r="G243" s="13">
        <v>1</v>
      </c>
      <c r="H243" s="4"/>
      <c r="I243" s="4"/>
      <c r="J243" s="4"/>
      <c r="K243" s="4" t="s">
        <v>254</v>
      </c>
      <c r="L243" s="4" t="s">
        <v>683</v>
      </c>
    </row>
    <row r="244" spans="1:12">
      <c r="A244" s="4" t="s">
        <v>785</v>
      </c>
      <c r="B244" s="4" t="s">
        <v>786</v>
      </c>
      <c r="C244" s="4" t="s">
        <v>324</v>
      </c>
      <c r="D244" s="4" t="s">
        <v>330</v>
      </c>
      <c r="E244" s="4" t="s">
        <v>326</v>
      </c>
      <c r="F244" s="13">
        <v>1</v>
      </c>
      <c r="G244" s="13">
        <v>1</v>
      </c>
      <c r="H244" s="4"/>
      <c r="I244" s="4"/>
      <c r="J244" s="4"/>
      <c r="K244" s="4" t="s">
        <v>254</v>
      </c>
      <c r="L244" s="4" t="s">
        <v>683</v>
      </c>
    </row>
    <row r="245" spans="1:12">
      <c r="A245" s="4" t="s">
        <v>787</v>
      </c>
      <c r="B245" s="4" t="s">
        <v>788</v>
      </c>
      <c r="C245" s="4" t="s">
        <v>324</v>
      </c>
      <c r="D245" s="4" t="s">
        <v>330</v>
      </c>
      <c r="E245" s="4" t="s">
        <v>326</v>
      </c>
      <c r="F245" s="13">
        <v>1</v>
      </c>
      <c r="G245" s="13">
        <v>1</v>
      </c>
      <c r="H245" s="4"/>
      <c r="I245" s="4"/>
      <c r="J245" s="4"/>
      <c r="K245" s="4" t="s">
        <v>254</v>
      </c>
      <c r="L245" s="4" t="s">
        <v>683</v>
      </c>
    </row>
    <row r="246" spans="1:12">
      <c r="A246" s="4" t="s">
        <v>789</v>
      </c>
      <c r="B246" s="4" t="s">
        <v>790</v>
      </c>
      <c r="C246" s="4" t="s">
        <v>324</v>
      </c>
      <c r="D246" s="4" t="s">
        <v>330</v>
      </c>
      <c r="E246" s="4" t="s">
        <v>326</v>
      </c>
      <c r="F246" s="13">
        <v>0</v>
      </c>
      <c r="G246" s="13">
        <v>1</v>
      </c>
      <c r="H246" s="4"/>
      <c r="I246" s="4"/>
      <c r="J246" s="4"/>
      <c r="K246" s="4" t="s">
        <v>254</v>
      </c>
      <c r="L246" s="4" t="s">
        <v>683</v>
      </c>
    </row>
    <row r="247" spans="1:12">
      <c r="A247" s="4" t="s">
        <v>791</v>
      </c>
      <c r="B247" s="4" t="s">
        <v>792</v>
      </c>
      <c r="C247" s="4" t="s">
        <v>324</v>
      </c>
      <c r="D247" s="4" t="s">
        <v>330</v>
      </c>
      <c r="E247" s="4" t="s">
        <v>326</v>
      </c>
      <c r="F247" s="13">
        <v>1</v>
      </c>
      <c r="G247" s="13">
        <v>1</v>
      </c>
      <c r="H247" s="4"/>
      <c r="I247" s="4"/>
      <c r="J247" s="4"/>
      <c r="K247" s="4" t="s">
        <v>254</v>
      </c>
      <c r="L247" s="4" t="s">
        <v>683</v>
      </c>
    </row>
    <row r="248" spans="1:12">
      <c r="A248" s="4" t="s">
        <v>793</v>
      </c>
      <c r="B248" s="4" t="s">
        <v>794</v>
      </c>
      <c r="C248" s="4" t="s">
        <v>324</v>
      </c>
      <c r="D248" s="4" t="s">
        <v>330</v>
      </c>
      <c r="E248" s="4" t="s">
        <v>326</v>
      </c>
      <c r="F248" s="13">
        <v>1</v>
      </c>
      <c r="G248" s="13">
        <v>1</v>
      </c>
      <c r="H248" s="4"/>
      <c r="I248" s="4"/>
      <c r="J248" s="4"/>
      <c r="K248" s="4" t="s">
        <v>254</v>
      </c>
      <c r="L248" s="4" t="s">
        <v>683</v>
      </c>
    </row>
    <row r="249" spans="1:12">
      <c r="A249" s="4" t="s">
        <v>236</v>
      </c>
      <c r="B249" s="4" t="s">
        <v>795</v>
      </c>
      <c r="C249" s="4" t="s">
        <v>324</v>
      </c>
      <c r="D249" s="4" t="s">
        <v>330</v>
      </c>
      <c r="E249" s="4" t="s">
        <v>326</v>
      </c>
      <c r="F249" s="13">
        <v>1</v>
      </c>
      <c r="G249" s="13">
        <v>1</v>
      </c>
      <c r="H249" s="4"/>
      <c r="I249" s="4"/>
      <c r="J249" s="4"/>
      <c r="K249" s="4" t="s">
        <v>254</v>
      </c>
      <c r="L249" s="4" t="s">
        <v>683</v>
      </c>
    </row>
    <row r="250" spans="1:12">
      <c r="A250" s="4" t="s">
        <v>796</v>
      </c>
      <c r="B250" s="4" t="s">
        <v>797</v>
      </c>
      <c r="C250" s="4" t="s">
        <v>324</v>
      </c>
      <c r="D250" s="4" t="s">
        <v>330</v>
      </c>
      <c r="E250" s="4" t="s">
        <v>326</v>
      </c>
      <c r="F250" s="13">
        <v>1</v>
      </c>
      <c r="G250" s="13">
        <v>1</v>
      </c>
      <c r="H250" s="4"/>
      <c r="I250" s="4"/>
      <c r="J250" s="4"/>
      <c r="K250" s="4" t="s">
        <v>254</v>
      </c>
      <c r="L250" s="4" t="s">
        <v>683</v>
      </c>
    </row>
    <row r="251" spans="1:12">
      <c r="A251" s="4" t="s">
        <v>798</v>
      </c>
      <c r="B251" s="4" t="s">
        <v>799</v>
      </c>
      <c r="C251" s="4" t="s">
        <v>324</v>
      </c>
      <c r="D251" s="4" t="s">
        <v>330</v>
      </c>
      <c r="E251" s="4" t="s">
        <v>326</v>
      </c>
      <c r="F251" s="13">
        <v>1</v>
      </c>
      <c r="G251" s="13">
        <v>1</v>
      </c>
      <c r="H251" s="4"/>
      <c r="I251" s="4"/>
      <c r="J251" s="4"/>
      <c r="K251" s="4" t="s">
        <v>254</v>
      </c>
      <c r="L251" s="4" t="s">
        <v>683</v>
      </c>
    </row>
    <row r="252" spans="1:12">
      <c r="A252" s="4" t="s">
        <v>238</v>
      </c>
      <c r="B252" s="4" t="s">
        <v>800</v>
      </c>
      <c r="C252" s="4" t="s">
        <v>324</v>
      </c>
      <c r="D252" s="4" t="s">
        <v>330</v>
      </c>
      <c r="E252" s="4" t="s">
        <v>326</v>
      </c>
      <c r="F252" s="13">
        <v>1</v>
      </c>
      <c r="G252" s="13">
        <v>1</v>
      </c>
      <c r="H252" s="4"/>
      <c r="I252" s="4"/>
      <c r="J252" s="4"/>
      <c r="K252" s="4" t="s">
        <v>254</v>
      </c>
      <c r="L252" s="4" t="s">
        <v>683</v>
      </c>
    </row>
    <row r="253" spans="1:12">
      <c r="A253" s="4" t="s">
        <v>240</v>
      </c>
      <c r="B253" s="4" t="s">
        <v>241</v>
      </c>
      <c r="C253" s="4" t="s">
        <v>801</v>
      </c>
      <c r="D253" s="4" t="s">
        <v>330</v>
      </c>
      <c r="E253" s="4" t="s">
        <v>326</v>
      </c>
      <c r="F253" s="13">
        <v>0</v>
      </c>
      <c r="G253" s="13">
        <v>1</v>
      </c>
      <c r="H253" s="4"/>
      <c r="I253" s="4"/>
      <c r="J253" s="4"/>
      <c r="K253" s="4" t="s">
        <v>254</v>
      </c>
      <c r="L253" s="4" t="s">
        <v>683</v>
      </c>
    </row>
    <row r="254" spans="1:12">
      <c r="A254" s="4" t="s">
        <v>802</v>
      </c>
      <c r="B254" s="4" t="s">
        <v>803</v>
      </c>
      <c r="C254" s="4" t="s">
        <v>324</v>
      </c>
      <c r="D254" s="4" t="s">
        <v>330</v>
      </c>
      <c r="E254" s="4" t="s">
        <v>326</v>
      </c>
      <c r="F254" s="13">
        <v>1</v>
      </c>
      <c r="G254" s="13">
        <v>1</v>
      </c>
      <c r="H254" s="4"/>
      <c r="I254" s="4"/>
      <c r="J254" s="4"/>
      <c r="K254" s="4" t="s">
        <v>254</v>
      </c>
      <c r="L254" s="4" t="s">
        <v>683</v>
      </c>
    </row>
    <row r="255" spans="1:12">
      <c r="A255" s="4" t="s">
        <v>242</v>
      </c>
      <c r="B255" s="4" t="s">
        <v>804</v>
      </c>
      <c r="C255" s="4" t="s">
        <v>324</v>
      </c>
      <c r="D255" s="4" t="s">
        <v>330</v>
      </c>
      <c r="E255" s="4" t="s">
        <v>326</v>
      </c>
      <c r="F255" s="13">
        <v>1</v>
      </c>
      <c r="G255" s="13">
        <v>1</v>
      </c>
      <c r="H255" s="4"/>
      <c r="I255" s="4"/>
      <c r="J255" s="4"/>
      <c r="K255" s="4" t="s">
        <v>254</v>
      </c>
      <c r="L255" s="4" t="s">
        <v>683</v>
      </c>
    </row>
    <row r="256" spans="1:12">
      <c r="A256" s="4" t="s">
        <v>805</v>
      </c>
      <c r="B256" s="4" t="s">
        <v>806</v>
      </c>
      <c r="C256" s="4" t="s">
        <v>324</v>
      </c>
      <c r="D256" s="4" t="s">
        <v>330</v>
      </c>
      <c r="E256" s="4" t="s">
        <v>326</v>
      </c>
      <c r="F256" s="13">
        <v>1</v>
      </c>
      <c r="G256" s="13">
        <v>1</v>
      </c>
      <c r="H256" s="4"/>
      <c r="I256" s="4"/>
      <c r="J256" s="4"/>
      <c r="K256" s="4" t="s">
        <v>254</v>
      </c>
      <c r="L256" s="4" t="s">
        <v>683</v>
      </c>
    </row>
    <row r="257" spans="1:12">
      <c r="A257" s="4" t="s">
        <v>807</v>
      </c>
      <c r="B257" s="4" t="s">
        <v>808</v>
      </c>
      <c r="C257" s="4" t="s">
        <v>324</v>
      </c>
      <c r="D257" s="4" t="s">
        <v>330</v>
      </c>
      <c r="E257" s="4" t="s">
        <v>326</v>
      </c>
      <c r="F257" s="13">
        <v>1</v>
      </c>
      <c r="G257" s="13">
        <v>1</v>
      </c>
      <c r="H257" s="4"/>
      <c r="I257" s="4"/>
      <c r="J257" s="4"/>
      <c r="K257" s="4" t="s">
        <v>254</v>
      </c>
      <c r="L257" s="4" t="s">
        <v>683</v>
      </c>
    </row>
    <row r="258" spans="1:12">
      <c r="A258" s="4" t="s">
        <v>809</v>
      </c>
      <c r="B258" s="4" t="s">
        <v>810</v>
      </c>
      <c r="C258" s="4" t="s">
        <v>324</v>
      </c>
      <c r="D258" s="4" t="s">
        <v>330</v>
      </c>
      <c r="E258" s="4" t="s">
        <v>326</v>
      </c>
      <c r="F258" s="13">
        <v>1</v>
      </c>
      <c r="G258" s="13">
        <v>1</v>
      </c>
      <c r="H258" s="4"/>
      <c r="I258" s="4"/>
      <c r="J258" s="4"/>
      <c r="K258" s="4" t="s">
        <v>254</v>
      </c>
      <c r="L258" s="4" t="s">
        <v>683</v>
      </c>
    </row>
    <row r="259" spans="1:12">
      <c r="A259" s="4" t="s">
        <v>811</v>
      </c>
      <c r="B259" s="4" t="s">
        <v>812</v>
      </c>
      <c r="C259" s="4" t="s">
        <v>324</v>
      </c>
      <c r="D259" s="4" t="s">
        <v>330</v>
      </c>
      <c r="E259" s="4" t="s">
        <v>326</v>
      </c>
      <c r="F259" s="13">
        <v>1</v>
      </c>
      <c r="G259" s="13">
        <v>1</v>
      </c>
      <c r="H259" s="4"/>
      <c r="I259" s="4"/>
      <c r="J259" s="4"/>
      <c r="K259" s="4" t="s">
        <v>254</v>
      </c>
      <c r="L259" s="4" t="s">
        <v>683</v>
      </c>
    </row>
    <row r="260" spans="1:12">
      <c r="A260" s="4" t="s">
        <v>813</v>
      </c>
      <c r="B260" s="4" t="s">
        <v>814</v>
      </c>
      <c r="C260" s="4" t="s">
        <v>324</v>
      </c>
      <c r="D260" s="4" t="s">
        <v>330</v>
      </c>
      <c r="E260" s="4" t="s">
        <v>326</v>
      </c>
      <c r="F260" s="13">
        <v>1</v>
      </c>
      <c r="G260" s="13">
        <v>1</v>
      </c>
      <c r="H260" s="4"/>
      <c r="I260" s="4"/>
      <c r="J260" s="4"/>
      <c r="K260" s="4" t="s">
        <v>254</v>
      </c>
      <c r="L260" s="4" t="s">
        <v>683</v>
      </c>
    </row>
    <row r="261" spans="1:12">
      <c r="A261" s="4" t="s">
        <v>815</v>
      </c>
      <c r="B261" s="4" t="s">
        <v>816</v>
      </c>
      <c r="C261" s="4" t="s">
        <v>324</v>
      </c>
      <c r="D261" s="4" t="s">
        <v>330</v>
      </c>
      <c r="E261" s="4" t="s">
        <v>326</v>
      </c>
      <c r="F261" s="13">
        <v>1</v>
      </c>
      <c r="G261" s="13">
        <v>1</v>
      </c>
      <c r="H261" s="4"/>
      <c r="I261" s="4"/>
      <c r="J261" s="4"/>
      <c r="K261" s="4" t="s">
        <v>254</v>
      </c>
      <c r="L261" s="4" t="s">
        <v>683</v>
      </c>
    </row>
    <row r="262" spans="1:12">
      <c r="A262" s="4" t="s">
        <v>244</v>
      </c>
      <c r="B262" s="4" t="s">
        <v>817</v>
      </c>
      <c r="C262" s="4" t="s">
        <v>324</v>
      </c>
      <c r="D262" s="4" t="s">
        <v>330</v>
      </c>
      <c r="E262" s="4" t="s">
        <v>326</v>
      </c>
      <c r="F262" s="13">
        <v>1</v>
      </c>
      <c r="G262" s="13">
        <v>1</v>
      </c>
      <c r="H262" s="4"/>
      <c r="I262" s="4"/>
      <c r="J262" s="4"/>
      <c r="K262" s="4" t="s">
        <v>254</v>
      </c>
      <c r="L262" s="4" t="s">
        <v>683</v>
      </c>
    </row>
    <row r="263" spans="1:12">
      <c r="A263" s="4" t="s">
        <v>818</v>
      </c>
      <c r="B263" s="4" t="s">
        <v>819</v>
      </c>
      <c r="C263" s="4" t="s">
        <v>324</v>
      </c>
      <c r="D263" s="4" t="s">
        <v>330</v>
      </c>
      <c r="E263" s="4" t="s">
        <v>326</v>
      </c>
      <c r="F263" s="13">
        <v>1</v>
      </c>
      <c r="G263" s="13">
        <v>1</v>
      </c>
      <c r="H263" s="4"/>
      <c r="I263" s="4"/>
      <c r="J263" s="4"/>
      <c r="K263" s="4" t="s">
        <v>254</v>
      </c>
      <c r="L263" s="4" t="s">
        <v>683</v>
      </c>
    </row>
    <row r="264" spans="1:12">
      <c r="A264" s="4" t="s">
        <v>820</v>
      </c>
      <c r="B264" s="4" t="s">
        <v>821</v>
      </c>
      <c r="C264" s="4" t="s">
        <v>324</v>
      </c>
      <c r="D264" s="4" t="s">
        <v>330</v>
      </c>
      <c r="E264" s="4" t="s">
        <v>326</v>
      </c>
      <c r="F264" s="13">
        <v>1</v>
      </c>
      <c r="G264" s="13">
        <v>1</v>
      </c>
      <c r="H264" s="4"/>
      <c r="I264" s="4"/>
      <c r="J264" s="4"/>
      <c r="K264" s="4" t="s">
        <v>254</v>
      </c>
      <c r="L264" s="4" t="s">
        <v>683</v>
      </c>
    </row>
    <row r="265" spans="1:12">
      <c r="A265" s="4" t="s">
        <v>822</v>
      </c>
      <c r="B265" s="4" t="s">
        <v>823</v>
      </c>
      <c r="C265" s="4" t="s">
        <v>324</v>
      </c>
      <c r="D265" s="4" t="s">
        <v>330</v>
      </c>
      <c r="E265" s="4" t="s">
        <v>326</v>
      </c>
      <c r="F265" s="13">
        <v>1</v>
      </c>
      <c r="G265" s="13">
        <v>1</v>
      </c>
      <c r="H265" s="4"/>
      <c r="I265" s="4"/>
      <c r="J265" s="4"/>
      <c r="K265" s="4" t="s">
        <v>254</v>
      </c>
      <c r="L265" s="4" t="s">
        <v>683</v>
      </c>
    </row>
    <row r="266" spans="1:12">
      <c r="A266" s="4" t="s">
        <v>246</v>
      </c>
      <c r="B266" s="4" t="s">
        <v>824</v>
      </c>
      <c r="C266" s="4" t="s">
        <v>324</v>
      </c>
      <c r="D266" s="4" t="s">
        <v>325</v>
      </c>
      <c r="E266" s="4" t="s">
        <v>326</v>
      </c>
      <c r="F266" s="13">
        <v>1</v>
      </c>
      <c r="G266" s="13">
        <v>2</v>
      </c>
      <c r="H266" s="4"/>
      <c r="I266" s="4"/>
      <c r="J266" s="4"/>
      <c r="K266" s="4" t="s">
        <v>252</v>
      </c>
      <c r="L266" s="4"/>
    </row>
    <row r="267" spans="1:12">
      <c r="A267" s="4" t="s">
        <v>825</v>
      </c>
      <c r="B267" s="4" t="s">
        <v>826</v>
      </c>
      <c r="C267" s="4" t="s">
        <v>324</v>
      </c>
      <c r="D267" s="4" t="s">
        <v>330</v>
      </c>
      <c r="E267" s="4" t="s">
        <v>326</v>
      </c>
      <c r="F267" s="13">
        <v>1</v>
      </c>
      <c r="G267" s="13">
        <v>1</v>
      </c>
      <c r="H267" s="4"/>
      <c r="I267" s="4"/>
      <c r="J267" s="4"/>
      <c r="K267" s="4" t="s">
        <v>252</v>
      </c>
      <c r="L267" s="4" t="s">
        <v>683</v>
      </c>
    </row>
    <row r="268" spans="1:12">
      <c r="A268" s="4" t="s">
        <v>827</v>
      </c>
      <c r="B268" s="4" t="s">
        <v>828</v>
      </c>
      <c r="C268" s="4" t="s">
        <v>324</v>
      </c>
      <c r="D268" s="4" t="s">
        <v>330</v>
      </c>
      <c r="E268" s="4" t="s">
        <v>326</v>
      </c>
      <c r="F268" s="13">
        <v>1</v>
      </c>
      <c r="G268" s="13">
        <v>1</v>
      </c>
      <c r="H268" s="4"/>
      <c r="I268" s="4"/>
      <c r="J268" s="4"/>
      <c r="K268" s="4" t="s">
        <v>252</v>
      </c>
      <c r="L268" s="4" t="s">
        <v>683</v>
      </c>
    </row>
    <row r="269" spans="1:12">
      <c r="A269" s="4" t="s">
        <v>829</v>
      </c>
      <c r="B269" s="4" t="s">
        <v>830</v>
      </c>
      <c r="C269" s="4" t="s">
        <v>324</v>
      </c>
      <c r="D269" s="4" t="s">
        <v>330</v>
      </c>
      <c r="E269" s="4" t="s">
        <v>326</v>
      </c>
      <c r="F269" s="13">
        <v>1</v>
      </c>
      <c r="G269" s="13">
        <v>1</v>
      </c>
      <c r="H269" s="4"/>
      <c r="I269" s="4"/>
      <c r="J269" s="4"/>
      <c r="K269" s="4" t="s">
        <v>252</v>
      </c>
      <c r="L269" s="4" t="s">
        <v>683</v>
      </c>
    </row>
    <row r="270" spans="1:12">
      <c r="A270" s="4" t="s">
        <v>831</v>
      </c>
      <c r="B270" s="4" t="s">
        <v>832</v>
      </c>
      <c r="C270" s="4" t="s">
        <v>324</v>
      </c>
      <c r="D270" s="4" t="s">
        <v>330</v>
      </c>
      <c r="E270" s="4" t="s">
        <v>326</v>
      </c>
      <c r="F270" s="13">
        <v>1</v>
      </c>
      <c r="G270" s="13">
        <v>1</v>
      </c>
      <c r="H270" s="4"/>
      <c r="I270" s="4"/>
      <c r="J270" s="4"/>
      <c r="K270" s="4" t="s">
        <v>252</v>
      </c>
      <c r="L270" s="4" t="s">
        <v>683</v>
      </c>
    </row>
    <row r="271" spans="1:12">
      <c r="A271" s="4" t="s">
        <v>833</v>
      </c>
      <c r="B271" s="4" t="s">
        <v>834</v>
      </c>
      <c r="C271" s="4" t="s">
        <v>324</v>
      </c>
      <c r="D271" s="4" t="s">
        <v>330</v>
      </c>
      <c r="E271" s="4" t="s">
        <v>326</v>
      </c>
      <c r="F271" s="13">
        <v>1</v>
      </c>
      <c r="G271" s="13">
        <v>1</v>
      </c>
      <c r="H271" s="4"/>
      <c r="I271" s="4"/>
      <c r="J271" s="4"/>
      <c r="K271" s="4" t="s">
        <v>252</v>
      </c>
      <c r="L271" s="4" t="s">
        <v>683</v>
      </c>
    </row>
    <row r="272" spans="1:12">
      <c r="A272" s="4" t="s">
        <v>835</v>
      </c>
      <c r="B272" s="4" t="s">
        <v>836</v>
      </c>
      <c r="C272" s="4" t="s">
        <v>324</v>
      </c>
      <c r="D272" s="4" t="s">
        <v>330</v>
      </c>
      <c r="E272" s="4" t="s">
        <v>326</v>
      </c>
      <c r="F272" s="13">
        <v>1</v>
      </c>
      <c r="G272" s="13">
        <v>1</v>
      </c>
      <c r="H272" s="4"/>
      <c r="I272" s="4"/>
      <c r="J272" s="4"/>
      <c r="K272" s="4" t="s">
        <v>252</v>
      </c>
      <c r="L272" s="4" t="s">
        <v>683</v>
      </c>
    </row>
    <row r="273" spans="1:12">
      <c r="A273" s="4" t="s">
        <v>837</v>
      </c>
      <c r="B273" s="4" t="s">
        <v>838</v>
      </c>
      <c r="C273" s="4" t="s">
        <v>324</v>
      </c>
      <c r="D273" s="4" t="s">
        <v>330</v>
      </c>
      <c r="E273" s="4" t="s">
        <v>326</v>
      </c>
      <c r="F273" s="13">
        <v>1</v>
      </c>
      <c r="G273" s="13">
        <v>1</v>
      </c>
      <c r="H273" s="4"/>
      <c r="I273" s="4"/>
      <c r="J273" s="4"/>
      <c r="K273" s="4" t="s">
        <v>252</v>
      </c>
      <c r="L273" s="4" t="s">
        <v>683</v>
      </c>
    </row>
    <row r="274" spans="1:12">
      <c r="A274" s="4" t="s">
        <v>839</v>
      </c>
      <c r="B274" s="4" t="s">
        <v>840</v>
      </c>
      <c r="C274" s="4" t="s">
        <v>324</v>
      </c>
      <c r="D274" s="4" t="s">
        <v>330</v>
      </c>
      <c r="E274" s="4" t="s">
        <v>326</v>
      </c>
      <c r="F274" s="13">
        <v>1</v>
      </c>
      <c r="G274" s="13">
        <v>1</v>
      </c>
      <c r="H274" s="4"/>
      <c r="I274" s="4"/>
      <c r="J274" s="4"/>
      <c r="K274" s="4" t="s">
        <v>252</v>
      </c>
      <c r="L274" s="4" t="s">
        <v>683</v>
      </c>
    </row>
    <row r="275" spans="1:12">
      <c r="A275" s="4" t="s">
        <v>841</v>
      </c>
      <c r="B275" s="4" t="s">
        <v>842</v>
      </c>
      <c r="C275" s="4" t="s">
        <v>324</v>
      </c>
      <c r="D275" s="4" t="s">
        <v>330</v>
      </c>
      <c r="E275" s="4" t="s">
        <v>326</v>
      </c>
      <c r="F275" s="13">
        <v>1</v>
      </c>
      <c r="G275" s="13">
        <v>1</v>
      </c>
      <c r="H275" s="4"/>
      <c r="I275" s="4"/>
      <c r="J275" s="4"/>
      <c r="K275" s="4" t="s">
        <v>252</v>
      </c>
      <c r="L275" s="4" t="s">
        <v>683</v>
      </c>
    </row>
    <row r="276" spans="1:12">
      <c r="A276" s="4" t="s">
        <v>843</v>
      </c>
      <c r="B276" s="4" t="s">
        <v>844</v>
      </c>
      <c r="C276" s="4" t="s">
        <v>324</v>
      </c>
      <c r="D276" s="4" t="s">
        <v>330</v>
      </c>
      <c r="E276" s="4" t="s">
        <v>326</v>
      </c>
      <c r="F276" s="13">
        <v>1</v>
      </c>
      <c r="G276" s="13">
        <v>1</v>
      </c>
      <c r="H276" s="4"/>
      <c r="I276" s="4"/>
      <c r="J276" s="4"/>
      <c r="K276" s="4" t="s">
        <v>252</v>
      </c>
      <c r="L276" s="4" t="s">
        <v>683</v>
      </c>
    </row>
    <row r="277" spans="1:12">
      <c r="A277" s="4" t="s">
        <v>845</v>
      </c>
      <c r="B277" s="4" t="s">
        <v>846</v>
      </c>
      <c r="C277" s="4" t="s">
        <v>324</v>
      </c>
      <c r="D277" s="4" t="s">
        <v>330</v>
      </c>
      <c r="E277" s="4" t="s">
        <v>326</v>
      </c>
      <c r="F277" s="13">
        <v>1</v>
      </c>
      <c r="G277" s="13">
        <v>1</v>
      </c>
      <c r="H277" s="4"/>
      <c r="I277" s="4"/>
      <c r="J277" s="4"/>
      <c r="K277" s="4" t="s">
        <v>252</v>
      </c>
      <c r="L277" s="4" t="s">
        <v>683</v>
      </c>
    </row>
    <row r="278" spans="1:12">
      <c r="A278" s="4" t="s">
        <v>847</v>
      </c>
      <c r="B278" s="4" t="s">
        <v>848</v>
      </c>
      <c r="C278" s="4" t="s">
        <v>324</v>
      </c>
      <c r="D278" s="4" t="s">
        <v>330</v>
      </c>
      <c r="E278" s="4" t="s">
        <v>326</v>
      </c>
      <c r="F278" s="13">
        <v>1</v>
      </c>
      <c r="G278" s="13">
        <v>1</v>
      </c>
      <c r="H278" s="4"/>
      <c r="I278" s="4"/>
      <c r="J278" s="4"/>
      <c r="K278" s="4" t="s">
        <v>252</v>
      </c>
      <c r="L278" s="4" t="s">
        <v>683</v>
      </c>
    </row>
    <row r="279" spans="1:12">
      <c r="A279" s="4" t="s">
        <v>849</v>
      </c>
      <c r="B279" s="4" t="s">
        <v>850</v>
      </c>
      <c r="C279" s="4" t="s">
        <v>324</v>
      </c>
      <c r="D279" s="4" t="s">
        <v>330</v>
      </c>
      <c r="E279" s="4" t="s">
        <v>326</v>
      </c>
      <c r="F279" s="13">
        <v>1</v>
      </c>
      <c r="G279" s="13">
        <v>1</v>
      </c>
      <c r="H279" s="4"/>
      <c r="I279" s="4"/>
      <c r="J279" s="4"/>
      <c r="K279" s="4" t="s">
        <v>252</v>
      </c>
      <c r="L279" s="4" t="s">
        <v>683</v>
      </c>
    </row>
    <row r="280" spans="1:12">
      <c r="A280" s="4" t="s">
        <v>851</v>
      </c>
      <c r="B280" s="4" t="s">
        <v>852</v>
      </c>
      <c r="C280" s="4" t="s">
        <v>324</v>
      </c>
      <c r="D280" s="4" t="s">
        <v>330</v>
      </c>
      <c r="E280" s="4" t="s">
        <v>326</v>
      </c>
      <c r="F280" s="13">
        <v>1</v>
      </c>
      <c r="G280" s="13">
        <v>1</v>
      </c>
      <c r="H280" s="4"/>
      <c r="I280" s="4"/>
      <c r="J280" s="4"/>
      <c r="K280" s="4" t="s">
        <v>252</v>
      </c>
      <c r="L280" s="4" t="s">
        <v>683</v>
      </c>
    </row>
    <row r="281" spans="1:12">
      <c r="A281" s="4" t="s">
        <v>853</v>
      </c>
      <c r="B281" s="4" t="s">
        <v>854</v>
      </c>
      <c r="C281" s="4" t="s">
        <v>324</v>
      </c>
      <c r="D281" s="4" t="s">
        <v>330</v>
      </c>
      <c r="E281" s="4" t="s">
        <v>326</v>
      </c>
      <c r="F281" s="13">
        <v>1</v>
      </c>
      <c r="G281" s="13">
        <v>1</v>
      </c>
      <c r="H281" s="4"/>
      <c r="I281" s="4"/>
      <c r="J281" s="4"/>
      <c r="K281" s="4" t="s">
        <v>252</v>
      </c>
      <c r="L281" s="4" t="s">
        <v>683</v>
      </c>
    </row>
    <row r="282" spans="1:12">
      <c r="A282" s="4" t="s">
        <v>855</v>
      </c>
      <c r="B282" s="4" t="s">
        <v>856</v>
      </c>
      <c r="C282" s="4" t="s">
        <v>324</v>
      </c>
      <c r="D282" s="4" t="s">
        <v>330</v>
      </c>
      <c r="E282" s="4" t="s">
        <v>326</v>
      </c>
      <c r="F282" s="13">
        <v>0</v>
      </c>
      <c r="G282" s="13">
        <v>1</v>
      </c>
      <c r="H282" s="4"/>
      <c r="I282" s="4"/>
      <c r="J282" s="4"/>
      <c r="K282" s="4"/>
      <c r="L282" s="4" t="s">
        <v>683</v>
      </c>
    </row>
    <row r="283" spans="1:12">
      <c r="A283" s="4" t="s">
        <v>857</v>
      </c>
      <c r="B283" s="4" t="s">
        <v>858</v>
      </c>
      <c r="C283" s="4" t="s">
        <v>324</v>
      </c>
      <c r="D283" s="4" t="s">
        <v>330</v>
      </c>
      <c r="E283" s="4" t="s">
        <v>326</v>
      </c>
      <c r="F283" s="13">
        <v>1</v>
      </c>
      <c r="G283" s="13">
        <v>1</v>
      </c>
      <c r="H283" s="4"/>
      <c r="I283" s="4"/>
      <c r="J283" s="4"/>
      <c r="K283" s="4" t="s">
        <v>252</v>
      </c>
      <c r="L283" s="4" t="s">
        <v>683</v>
      </c>
    </row>
    <row r="284" spans="1:12">
      <c r="A284" s="4" t="s">
        <v>859</v>
      </c>
      <c r="B284" s="4" t="s">
        <v>860</v>
      </c>
      <c r="C284" s="4" t="s">
        <v>324</v>
      </c>
      <c r="D284" s="4" t="s">
        <v>330</v>
      </c>
      <c r="E284" s="4" t="s">
        <v>326</v>
      </c>
      <c r="F284" s="13">
        <v>1</v>
      </c>
      <c r="G284" s="13">
        <v>1</v>
      </c>
      <c r="H284" s="4"/>
      <c r="I284" s="4"/>
      <c r="J284" s="4"/>
      <c r="K284" s="4" t="s">
        <v>252</v>
      </c>
      <c r="L284" s="4" t="s">
        <v>683</v>
      </c>
    </row>
    <row r="285" spans="1:12">
      <c r="A285" s="4" t="s">
        <v>861</v>
      </c>
      <c r="B285" s="4" t="s">
        <v>862</v>
      </c>
      <c r="C285" s="4" t="s">
        <v>324</v>
      </c>
      <c r="D285" s="4" t="s">
        <v>330</v>
      </c>
      <c r="E285" s="4" t="s">
        <v>326</v>
      </c>
      <c r="F285" s="13">
        <v>1</v>
      </c>
      <c r="G285" s="13">
        <v>1</v>
      </c>
      <c r="H285" s="4"/>
      <c r="I285" s="4"/>
      <c r="J285" s="4"/>
      <c r="K285" s="4" t="s">
        <v>252</v>
      </c>
      <c r="L285" s="4" t="s">
        <v>683</v>
      </c>
    </row>
    <row r="286" spans="1:12">
      <c r="A286" s="4" t="s">
        <v>863</v>
      </c>
      <c r="B286" s="4" t="s">
        <v>864</v>
      </c>
      <c r="C286" s="4" t="s">
        <v>324</v>
      </c>
      <c r="D286" s="4" t="s">
        <v>330</v>
      </c>
      <c r="E286" s="4" t="s">
        <v>326</v>
      </c>
      <c r="F286" s="13">
        <v>1</v>
      </c>
      <c r="G286" s="13">
        <v>1</v>
      </c>
      <c r="H286" s="4"/>
      <c r="I286" s="4"/>
      <c r="J286" s="4"/>
      <c r="K286" s="4" t="s">
        <v>252</v>
      </c>
      <c r="L286" s="4" t="s">
        <v>683</v>
      </c>
    </row>
    <row r="287" spans="1:12">
      <c r="A287" s="4" t="s">
        <v>865</v>
      </c>
      <c r="B287" s="4" t="s">
        <v>866</v>
      </c>
      <c r="C287" s="4" t="s">
        <v>324</v>
      </c>
      <c r="D287" s="4" t="s">
        <v>330</v>
      </c>
      <c r="E287" s="4" t="s">
        <v>326</v>
      </c>
      <c r="F287" s="13">
        <v>1</v>
      </c>
      <c r="G287" s="13">
        <v>1</v>
      </c>
      <c r="H287" s="4"/>
      <c r="I287" s="4"/>
      <c r="J287" s="4"/>
      <c r="K287" s="4" t="s">
        <v>252</v>
      </c>
      <c r="L287" s="4" t="s">
        <v>683</v>
      </c>
    </row>
    <row r="288" spans="1:12">
      <c r="A288" s="4" t="s">
        <v>867</v>
      </c>
      <c r="B288" s="4" t="s">
        <v>868</v>
      </c>
      <c r="C288" s="4" t="s">
        <v>324</v>
      </c>
      <c r="D288" s="4" t="s">
        <v>330</v>
      </c>
      <c r="E288" s="4" t="s">
        <v>326</v>
      </c>
      <c r="F288" s="13">
        <v>1</v>
      </c>
      <c r="G288" s="13">
        <v>1</v>
      </c>
      <c r="H288" s="4"/>
      <c r="I288" s="4"/>
      <c r="J288" s="4"/>
      <c r="K288" s="4" t="s">
        <v>252</v>
      </c>
      <c r="L288" s="4" t="s">
        <v>869</v>
      </c>
    </row>
    <row r="289" spans="1:12">
      <c r="A289" s="4" t="s">
        <v>870</v>
      </c>
      <c r="B289" s="4" t="s">
        <v>871</v>
      </c>
      <c r="C289" s="4" t="s">
        <v>324</v>
      </c>
      <c r="D289" s="4" t="s">
        <v>330</v>
      </c>
      <c r="E289" s="4" t="s">
        <v>326</v>
      </c>
      <c r="F289" s="13">
        <v>1</v>
      </c>
      <c r="G289" s="13">
        <v>1</v>
      </c>
      <c r="H289" s="4"/>
      <c r="I289" s="4"/>
      <c r="J289" s="4"/>
      <c r="K289" s="4" t="s">
        <v>252</v>
      </c>
      <c r="L289" s="4" t="s">
        <v>683</v>
      </c>
    </row>
    <row r="290" spans="1:12">
      <c r="A290" s="4" t="s">
        <v>248</v>
      </c>
      <c r="B290" s="4" t="s">
        <v>872</v>
      </c>
      <c r="C290" s="4" t="s">
        <v>324</v>
      </c>
      <c r="D290" s="4" t="s">
        <v>330</v>
      </c>
      <c r="E290" s="4" t="s">
        <v>326</v>
      </c>
      <c r="F290" s="13">
        <v>1</v>
      </c>
      <c r="G290" s="13">
        <v>1</v>
      </c>
      <c r="H290" s="4"/>
      <c r="I290" s="4"/>
      <c r="J290" s="4"/>
      <c r="K290" s="4" t="s">
        <v>252</v>
      </c>
      <c r="L290" s="4" t="s">
        <v>683</v>
      </c>
    </row>
    <row r="291" spans="1:12">
      <c r="A291" s="4" t="s">
        <v>873</v>
      </c>
      <c r="B291" s="4" t="s">
        <v>874</v>
      </c>
      <c r="C291" s="4" t="s">
        <v>324</v>
      </c>
      <c r="D291" s="4" t="s">
        <v>330</v>
      </c>
      <c r="E291" s="4" t="s">
        <v>326</v>
      </c>
      <c r="F291" s="13">
        <v>1</v>
      </c>
      <c r="G291" s="13">
        <v>1</v>
      </c>
      <c r="H291" s="4"/>
      <c r="I291" s="4"/>
      <c r="J291" s="4"/>
      <c r="K291" s="4" t="s">
        <v>252</v>
      </c>
      <c r="L291" s="4" t="s">
        <v>683</v>
      </c>
    </row>
    <row r="292" spans="1:12">
      <c r="A292" s="4" t="s">
        <v>875</v>
      </c>
      <c r="B292" s="4" t="s">
        <v>876</v>
      </c>
      <c r="C292" s="4" t="s">
        <v>324</v>
      </c>
      <c r="D292" s="4" t="s">
        <v>330</v>
      </c>
      <c r="E292" s="4" t="s">
        <v>326</v>
      </c>
      <c r="F292" s="13">
        <v>0</v>
      </c>
      <c r="G292" s="13">
        <v>1</v>
      </c>
      <c r="H292" s="4"/>
      <c r="I292" s="4"/>
      <c r="J292" s="4"/>
      <c r="K292" s="4"/>
      <c r="L292" s="4" t="s">
        <v>683</v>
      </c>
    </row>
    <row r="293" spans="1:12">
      <c r="A293" s="4" t="s">
        <v>877</v>
      </c>
      <c r="B293" s="4" t="s">
        <v>878</v>
      </c>
      <c r="C293" s="4" t="s">
        <v>324</v>
      </c>
      <c r="D293" s="4" t="s">
        <v>330</v>
      </c>
      <c r="E293" s="4" t="s">
        <v>326</v>
      </c>
      <c r="F293" s="13">
        <v>0</v>
      </c>
      <c r="G293" s="13">
        <v>1</v>
      </c>
      <c r="H293" s="4"/>
      <c r="I293" s="4"/>
      <c r="J293" s="4"/>
      <c r="K293" s="4" t="s">
        <v>252</v>
      </c>
      <c r="L293" s="4" t="s">
        <v>683</v>
      </c>
    </row>
    <row r="294" spans="1:12">
      <c r="A294" s="4" t="s">
        <v>879</v>
      </c>
      <c r="B294" s="4" t="s">
        <v>880</v>
      </c>
      <c r="C294" s="4" t="s">
        <v>324</v>
      </c>
      <c r="D294" s="4" t="s">
        <v>325</v>
      </c>
      <c r="E294" s="4" t="s">
        <v>326</v>
      </c>
      <c r="F294" s="13">
        <v>1</v>
      </c>
      <c r="G294" s="13">
        <v>1</v>
      </c>
      <c r="H294" s="4"/>
      <c r="I294" s="4"/>
      <c r="J294" s="4"/>
      <c r="K294" s="4" t="s">
        <v>252</v>
      </c>
      <c r="L294" s="4" t="s">
        <v>881</v>
      </c>
    </row>
    <row r="295" spans="1:12">
      <c r="A295" s="4" t="s">
        <v>882</v>
      </c>
      <c r="B295" s="4" t="s">
        <v>883</v>
      </c>
      <c r="C295" s="4" t="s">
        <v>324</v>
      </c>
      <c r="D295" s="4" t="s">
        <v>330</v>
      </c>
      <c r="E295" s="4" t="s">
        <v>326</v>
      </c>
      <c r="F295" s="13">
        <v>1</v>
      </c>
      <c r="G295" s="13">
        <v>1</v>
      </c>
      <c r="H295" s="4"/>
      <c r="I295" s="4"/>
      <c r="J295" s="4"/>
      <c r="K295" s="4" t="s">
        <v>252</v>
      </c>
      <c r="L295" s="4" t="s">
        <v>683</v>
      </c>
    </row>
    <row r="296" spans="1:12">
      <c r="A296" s="4" t="s">
        <v>884</v>
      </c>
      <c r="B296" s="4" t="s">
        <v>885</v>
      </c>
      <c r="C296" s="4" t="s">
        <v>324</v>
      </c>
      <c r="D296" s="4" t="s">
        <v>330</v>
      </c>
      <c r="E296" s="4" t="s">
        <v>326</v>
      </c>
      <c r="F296" s="13">
        <v>1</v>
      </c>
      <c r="G296" s="13">
        <v>1</v>
      </c>
      <c r="H296" s="4"/>
      <c r="I296" s="4"/>
      <c r="J296" s="4"/>
      <c r="K296" s="4" t="s">
        <v>252</v>
      </c>
      <c r="L296" s="4" t="s">
        <v>683</v>
      </c>
    </row>
    <row r="297" spans="1:12">
      <c r="A297" s="4" t="s">
        <v>886</v>
      </c>
      <c r="B297" s="4" t="s">
        <v>887</v>
      </c>
      <c r="C297" s="4" t="s">
        <v>324</v>
      </c>
      <c r="D297" s="4" t="s">
        <v>330</v>
      </c>
      <c r="E297" s="4" t="s">
        <v>326</v>
      </c>
      <c r="F297" s="13">
        <v>1</v>
      </c>
      <c r="G297" s="13">
        <v>1</v>
      </c>
      <c r="H297" s="4"/>
      <c r="I297" s="4"/>
      <c r="J297" s="4"/>
      <c r="K297" s="4" t="s">
        <v>252</v>
      </c>
      <c r="L297" s="4" t="s">
        <v>683</v>
      </c>
    </row>
    <row r="298" spans="1:12">
      <c r="A298" s="4" t="s">
        <v>888</v>
      </c>
      <c r="B298" s="4" t="s">
        <v>889</v>
      </c>
      <c r="C298" s="4" t="s">
        <v>324</v>
      </c>
      <c r="D298" s="4" t="s">
        <v>330</v>
      </c>
      <c r="E298" s="4" t="s">
        <v>326</v>
      </c>
      <c r="F298" s="13">
        <v>1</v>
      </c>
      <c r="G298" s="13">
        <v>1</v>
      </c>
      <c r="H298" s="4"/>
      <c r="I298" s="4"/>
      <c r="J298" s="4"/>
      <c r="K298" s="4" t="s">
        <v>252</v>
      </c>
      <c r="L298" s="4" t="s">
        <v>683</v>
      </c>
    </row>
    <row r="299" spans="1:12">
      <c r="A299" s="4" t="s">
        <v>890</v>
      </c>
      <c r="B299" s="4" t="s">
        <v>891</v>
      </c>
      <c r="C299" s="4" t="s">
        <v>324</v>
      </c>
      <c r="D299" s="4" t="s">
        <v>330</v>
      </c>
      <c r="E299" s="4" t="s">
        <v>326</v>
      </c>
      <c r="F299" s="13">
        <v>1</v>
      </c>
      <c r="G299" s="13">
        <v>1</v>
      </c>
      <c r="H299" s="4"/>
      <c r="I299" s="4"/>
      <c r="J299" s="4"/>
      <c r="K299" s="4" t="s">
        <v>252</v>
      </c>
      <c r="L299" s="4" t="s">
        <v>683</v>
      </c>
    </row>
    <row r="300" spans="1:12">
      <c r="A300" s="4" t="s">
        <v>892</v>
      </c>
      <c r="B300" s="4" t="s">
        <v>893</v>
      </c>
      <c r="C300" s="4" t="s">
        <v>324</v>
      </c>
      <c r="D300" s="4" t="s">
        <v>330</v>
      </c>
      <c r="E300" s="4" t="s">
        <v>326</v>
      </c>
      <c r="F300" s="13">
        <v>1</v>
      </c>
      <c r="G300" s="13">
        <v>1</v>
      </c>
      <c r="H300" s="4"/>
      <c r="I300" s="4"/>
      <c r="J300" s="4"/>
      <c r="K300" s="4" t="s">
        <v>252</v>
      </c>
      <c r="L300" s="4" t="s">
        <v>683</v>
      </c>
    </row>
    <row r="301" spans="1:12">
      <c r="A301" s="4" t="s">
        <v>894</v>
      </c>
      <c r="B301" s="4" t="s">
        <v>895</v>
      </c>
      <c r="C301" s="4" t="s">
        <v>324</v>
      </c>
      <c r="D301" s="4" t="s">
        <v>330</v>
      </c>
      <c r="E301" s="4" t="s">
        <v>326</v>
      </c>
      <c r="F301" s="13">
        <v>0</v>
      </c>
      <c r="G301" s="13">
        <v>1</v>
      </c>
      <c r="H301" s="4"/>
      <c r="I301" s="4"/>
      <c r="J301" s="4"/>
      <c r="K301" s="4" t="s">
        <v>252</v>
      </c>
      <c r="L301" s="4" t="s">
        <v>683</v>
      </c>
    </row>
    <row r="302" spans="1:12">
      <c r="A302" s="4" t="s">
        <v>896</v>
      </c>
      <c r="B302" s="4" t="s">
        <v>897</v>
      </c>
      <c r="C302" s="4" t="s">
        <v>324</v>
      </c>
      <c r="D302" s="4" t="s">
        <v>330</v>
      </c>
      <c r="E302" s="4" t="s">
        <v>326</v>
      </c>
      <c r="F302" s="13">
        <v>0</v>
      </c>
      <c r="G302" s="13">
        <v>1</v>
      </c>
      <c r="H302" s="4"/>
      <c r="I302" s="4"/>
      <c r="J302" s="4"/>
      <c r="K302" s="4" t="s">
        <v>252</v>
      </c>
      <c r="L302" s="4" t="s">
        <v>683</v>
      </c>
    </row>
    <row r="303" spans="1:12">
      <c r="A303" s="4" t="s">
        <v>898</v>
      </c>
      <c r="B303" s="4" t="s">
        <v>899</v>
      </c>
      <c r="C303" s="4" t="s">
        <v>324</v>
      </c>
      <c r="D303" s="4" t="s">
        <v>330</v>
      </c>
      <c r="E303" s="4" t="s">
        <v>326</v>
      </c>
      <c r="F303" s="13">
        <v>0</v>
      </c>
      <c r="G303" s="13">
        <v>1</v>
      </c>
      <c r="H303" s="4"/>
      <c r="I303" s="4"/>
      <c r="J303" s="4"/>
      <c r="K303" s="4" t="s">
        <v>252</v>
      </c>
      <c r="L303" s="4" t="s">
        <v>683</v>
      </c>
    </row>
    <row r="304" spans="1:12">
      <c r="A304" s="4" t="s">
        <v>900</v>
      </c>
      <c r="B304" s="4" t="s">
        <v>901</v>
      </c>
      <c r="C304" s="4" t="s">
        <v>324</v>
      </c>
      <c r="D304" s="4" t="s">
        <v>330</v>
      </c>
      <c r="E304" s="4" t="s">
        <v>326</v>
      </c>
      <c r="F304" s="13">
        <v>0</v>
      </c>
      <c r="G304" s="13">
        <v>1</v>
      </c>
      <c r="H304" s="4"/>
      <c r="I304" s="4"/>
      <c r="J304" s="4"/>
      <c r="K304" s="4" t="s">
        <v>252</v>
      </c>
      <c r="L304" s="4" t="s">
        <v>683</v>
      </c>
    </row>
    <row r="305" spans="1:12">
      <c r="A305" s="4" t="s">
        <v>250</v>
      </c>
      <c r="B305" s="4" t="s">
        <v>251</v>
      </c>
      <c r="C305" s="4" t="s">
        <v>324</v>
      </c>
      <c r="D305" s="4" t="s">
        <v>325</v>
      </c>
      <c r="E305" s="4" t="s">
        <v>326</v>
      </c>
      <c r="F305" s="13">
        <v>0</v>
      </c>
      <c r="G305" s="13">
        <v>1</v>
      </c>
      <c r="H305" s="4"/>
      <c r="I305" s="4"/>
      <c r="J305" s="4"/>
      <c r="K305" s="4" t="s">
        <v>252</v>
      </c>
      <c r="L305" s="4" t="s">
        <v>881</v>
      </c>
    </row>
    <row r="306" spans="1:12">
      <c r="A306" s="4" t="s">
        <v>902</v>
      </c>
      <c r="B306" s="4" t="s">
        <v>903</v>
      </c>
      <c r="C306" s="4" t="s">
        <v>324</v>
      </c>
      <c r="D306" s="4" t="s">
        <v>330</v>
      </c>
      <c r="E306" s="4" t="s">
        <v>326</v>
      </c>
      <c r="F306" s="13">
        <v>0</v>
      </c>
      <c r="G306" s="13">
        <v>1</v>
      </c>
      <c r="H306" s="4"/>
      <c r="I306" s="4"/>
      <c r="J306" s="4"/>
      <c r="K306" s="4" t="s">
        <v>252</v>
      </c>
      <c r="L306" s="4" t="s">
        <v>683</v>
      </c>
    </row>
    <row r="307" spans="1:12">
      <c r="A307" s="4" t="s">
        <v>904</v>
      </c>
      <c r="B307" s="4" t="s">
        <v>905</v>
      </c>
      <c r="C307" s="4" t="s">
        <v>324</v>
      </c>
      <c r="D307" s="4" t="s">
        <v>330</v>
      </c>
      <c r="E307" s="4" t="s">
        <v>326</v>
      </c>
      <c r="F307" s="13">
        <v>0</v>
      </c>
      <c r="G307" s="13">
        <v>1</v>
      </c>
      <c r="H307" s="4"/>
      <c r="I307" s="4"/>
      <c r="J307" s="4"/>
      <c r="K307" s="4" t="s">
        <v>252</v>
      </c>
      <c r="L307" s="4" t="s">
        <v>683</v>
      </c>
    </row>
    <row r="308" spans="1:12">
      <c r="A308" s="4" t="s">
        <v>906</v>
      </c>
      <c r="B308" s="4" t="s">
        <v>907</v>
      </c>
      <c r="C308" s="4" t="s">
        <v>324</v>
      </c>
      <c r="D308" s="4" t="s">
        <v>330</v>
      </c>
      <c r="E308" s="4" t="s">
        <v>326</v>
      </c>
      <c r="F308" s="13">
        <v>0</v>
      </c>
      <c r="G308" s="13">
        <v>1</v>
      </c>
      <c r="H308" s="4"/>
      <c r="I308" s="4"/>
      <c r="J308" s="4"/>
      <c r="K308" s="4" t="s">
        <v>252</v>
      </c>
      <c r="L308" s="4" t="s">
        <v>683</v>
      </c>
    </row>
    <row r="309" spans="1:12">
      <c r="A309" s="4" t="s">
        <v>908</v>
      </c>
      <c r="B309" s="4" t="s">
        <v>909</v>
      </c>
      <c r="C309" s="4" t="s">
        <v>324</v>
      </c>
      <c r="D309" s="4" t="s">
        <v>330</v>
      </c>
      <c r="E309" s="4" t="s">
        <v>326</v>
      </c>
      <c r="F309" s="13">
        <v>0</v>
      </c>
      <c r="G309" s="13">
        <v>1</v>
      </c>
      <c r="H309" s="4"/>
      <c r="I309" s="4"/>
      <c r="J309" s="4"/>
      <c r="K309" s="4" t="s">
        <v>252</v>
      </c>
      <c r="L309" s="4" t="s">
        <v>683</v>
      </c>
    </row>
    <row r="310" spans="1:12">
      <c r="A310" s="4" t="s">
        <v>910</v>
      </c>
      <c r="B310" s="4" t="s">
        <v>911</v>
      </c>
      <c r="C310" s="4" t="s">
        <v>324</v>
      </c>
      <c r="D310" s="4" t="s">
        <v>330</v>
      </c>
      <c r="E310" s="4" t="s">
        <v>326</v>
      </c>
      <c r="F310" s="13">
        <v>0</v>
      </c>
      <c r="G310" s="13">
        <v>1</v>
      </c>
      <c r="H310" s="4"/>
      <c r="I310" s="4"/>
      <c r="J310" s="4"/>
      <c r="K310" s="4" t="s">
        <v>252</v>
      </c>
      <c r="L310" s="4" t="s">
        <v>683</v>
      </c>
    </row>
    <row r="311" spans="1:12">
      <c r="A311" s="4" t="s">
        <v>912</v>
      </c>
      <c r="B311" s="4" t="s">
        <v>913</v>
      </c>
      <c r="C311" s="4" t="s">
        <v>324</v>
      </c>
      <c r="D311" s="4" t="s">
        <v>330</v>
      </c>
      <c r="E311" s="4" t="s">
        <v>326</v>
      </c>
      <c r="F311" s="13">
        <v>0</v>
      </c>
      <c r="G311" s="13">
        <v>1</v>
      </c>
      <c r="H311" s="4"/>
      <c r="I311" s="4"/>
      <c r="J311" s="4"/>
      <c r="K311" s="4" t="s">
        <v>252</v>
      </c>
      <c r="L311" s="4" t="s">
        <v>683</v>
      </c>
    </row>
    <row r="312" spans="1:12">
      <c r="A312" s="4" t="s">
        <v>914</v>
      </c>
      <c r="B312" s="4" t="s">
        <v>915</v>
      </c>
      <c r="C312" s="4" t="s">
        <v>324</v>
      </c>
      <c r="D312" s="4" t="s">
        <v>330</v>
      </c>
      <c r="E312" s="4" t="s">
        <v>326</v>
      </c>
      <c r="F312" s="13">
        <v>0</v>
      </c>
      <c r="G312" s="13">
        <v>1</v>
      </c>
      <c r="H312" s="4"/>
      <c r="I312" s="4"/>
      <c r="J312" s="4"/>
      <c r="K312" s="4" t="s">
        <v>252</v>
      </c>
      <c r="L312" s="4" t="s">
        <v>683</v>
      </c>
    </row>
    <row r="313" spans="1:12">
      <c r="A313" s="4" t="s">
        <v>916</v>
      </c>
      <c r="B313" s="4" t="s">
        <v>917</v>
      </c>
      <c r="C313" s="4" t="s">
        <v>324</v>
      </c>
      <c r="D313" s="4" t="s">
        <v>330</v>
      </c>
      <c r="E313" s="4" t="s">
        <v>326</v>
      </c>
      <c r="F313" s="13">
        <v>0</v>
      </c>
      <c r="G313" s="13">
        <v>1</v>
      </c>
      <c r="H313" s="4"/>
      <c r="I313" s="4"/>
      <c r="J313" s="4"/>
      <c r="K313" s="4" t="s">
        <v>252</v>
      </c>
      <c r="L313" s="4" t="s">
        <v>683</v>
      </c>
    </row>
    <row r="314" spans="1:12">
      <c r="A314" s="4" t="s">
        <v>918</v>
      </c>
      <c r="B314" s="4" t="s">
        <v>919</v>
      </c>
      <c r="C314" s="4" t="s">
        <v>324</v>
      </c>
      <c r="D314" s="4" t="s">
        <v>330</v>
      </c>
      <c r="E314" s="4" t="s">
        <v>326</v>
      </c>
      <c r="F314" s="13">
        <v>0</v>
      </c>
      <c r="G314" s="13">
        <v>1</v>
      </c>
      <c r="H314" s="4"/>
      <c r="I314" s="4"/>
      <c r="J314" s="4"/>
      <c r="K314" s="4" t="s">
        <v>252</v>
      </c>
      <c r="L314" s="4" t="s">
        <v>683</v>
      </c>
    </row>
    <row r="315" spans="1:12">
      <c r="A315" s="4" t="s">
        <v>920</v>
      </c>
      <c r="B315" s="4" t="s">
        <v>921</v>
      </c>
      <c r="C315" s="4" t="s">
        <v>324</v>
      </c>
      <c r="D315" s="4" t="s">
        <v>330</v>
      </c>
      <c r="E315" s="4" t="s">
        <v>326</v>
      </c>
      <c r="F315" s="13">
        <v>0</v>
      </c>
      <c r="G315" s="13">
        <v>1</v>
      </c>
      <c r="H315" s="4"/>
      <c r="I315" s="4"/>
      <c r="J315" s="4"/>
      <c r="K315" s="4" t="s">
        <v>252</v>
      </c>
      <c r="L315" s="4" t="s">
        <v>683</v>
      </c>
    </row>
    <row r="316" spans="1:12">
      <c r="A316" s="4" t="s">
        <v>922</v>
      </c>
      <c r="B316" s="4" t="s">
        <v>923</v>
      </c>
      <c r="C316" s="4" t="s">
        <v>324</v>
      </c>
      <c r="D316" s="4" t="s">
        <v>330</v>
      </c>
      <c r="E316" s="4" t="s">
        <v>326</v>
      </c>
      <c r="F316" s="13">
        <v>0</v>
      </c>
      <c r="G316" s="13">
        <v>1</v>
      </c>
      <c r="H316" s="4"/>
      <c r="I316" s="4"/>
      <c r="J316" s="4"/>
      <c r="K316" s="4" t="s">
        <v>252</v>
      </c>
      <c r="L316" s="4" t="s">
        <v>683</v>
      </c>
    </row>
    <row r="317" spans="1:12">
      <c r="A317" s="4" t="s">
        <v>924</v>
      </c>
      <c r="B317" s="4" t="s">
        <v>925</v>
      </c>
      <c r="C317" s="4" t="s">
        <v>324</v>
      </c>
      <c r="D317" s="4" t="s">
        <v>330</v>
      </c>
      <c r="E317" s="4" t="s">
        <v>326</v>
      </c>
      <c r="F317" s="13">
        <v>0</v>
      </c>
      <c r="G317" s="13">
        <v>1</v>
      </c>
      <c r="H317" s="4"/>
      <c r="I317" s="4"/>
      <c r="J317" s="4"/>
      <c r="K317" s="4" t="s">
        <v>252</v>
      </c>
      <c r="L317" s="4" t="s">
        <v>683</v>
      </c>
    </row>
    <row r="318" spans="1:12">
      <c r="A318" s="4" t="s">
        <v>926</v>
      </c>
      <c r="B318" s="4" t="s">
        <v>927</v>
      </c>
      <c r="C318" s="4" t="s">
        <v>324</v>
      </c>
      <c r="D318" s="4" t="s">
        <v>330</v>
      </c>
      <c r="E318" s="4" t="s">
        <v>326</v>
      </c>
      <c r="F318" s="13">
        <v>0</v>
      </c>
      <c r="G318" s="13">
        <v>1</v>
      </c>
      <c r="H318" s="4"/>
      <c r="I318" s="4"/>
      <c r="J318" s="4"/>
      <c r="K318" s="4" t="s">
        <v>252</v>
      </c>
      <c r="L318" s="4" t="s">
        <v>683</v>
      </c>
    </row>
    <row r="319" spans="1:12">
      <c r="A319" s="4" t="s">
        <v>928</v>
      </c>
      <c r="B319" s="4" t="s">
        <v>929</v>
      </c>
      <c r="C319" s="4" t="s">
        <v>324</v>
      </c>
      <c r="D319" s="4" t="s">
        <v>330</v>
      </c>
      <c r="E319" s="4" t="s">
        <v>326</v>
      </c>
      <c r="F319" s="13">
        <v>0</v>
      </c>
      <c r="G319" s="13">
        <v>1</v>
      </c>
      <c r="H319" s="4"/>
      <c r="I319" s="4"/>
      <c r="J319" s="4"/>
      <c r="K319" s="4" t="s">
        <v>252</v>
      </c>
      <c r="L319" s="4" t="s">
        <v>683</v>
      </c>
    </row>
    <row r="320" spans="1:12">
      <c r="A320" s="4" t="s">
        <v>930</v>
      </c>
      <c r="B320" s="4" t="s">
        <v>931</v>
      </c>
      <c r="C320" s="4" t="s">
        <v>324</v>
      </c>
      <c r="D320" s="4" t="s">
        <v>330</v>
      </c>
      <c r="E320" s="4" t="s">
        <v>326</v>
      </c>
      <c r="F320" s="13">
        <v>0</v>
      </c>
      <c r="G320" s="13">
        <v>1</v>
      </c>
      <c r="H320" s="4"/>
      <c r="I320" s="4"/>
      <c r="J320" s="4"/>
      <c r="K320" s="4" t="s">
        <v>252</v>
      </c>
      <c r="L320" s="4" t="s">
        <v>683</v>
      </c>
    </row>
    <row r="321" spans="1:12">
      <c r="A321" s="4" t="s">
        <v>932</v>
      </c>
      <c r="B321" s="4" t="s">
        <v>933</v>
      </c>
      <c r="C321" s="4" t="s">
        <v>324</v>
      </c>
      <c r="D321" s="4" t="s">
        <v>330</v>
      </c>
      <c r="E321" s="4" t="s">
        <v>326</v>
      </c>
      <c r="F321" s="13">
        <v>0</v>
      </c>
      <c r="G321" s="13">
        <v>1</v>
      </c>
      <c r="H321" s="4"/>
      <c r="I321" s="4"/>
      <c r="J321" s="4"/>
      <c r="K321" s="4" t="s">
        <v>252</v>
      </c>
      <c r="L321" s="4" t="s">
        <v>683</v>
      </c>
    </row>
    <row r="322" spans="1:12">
      <c r="A322" s="4" t="s">
        <v>252</v>
      </c>
      <c r="B322" s="4" t="s">
        <v>934</v>
      </c>
      <c r="C322" s="4" t="s">
        <v>324</v>
      </c>
      <c r="D322" s="4" t="s">
        <v>702</v>
      </c>
      <c r="E322" s="4" t="s">
        <v>326</v>
      </c>
      <c r="F322" s="13">
        <v>2</v>
      </c>
      <c r="G322" s="13">
        <v>1</v>
      </c>
      <c r="H322" s="4"/>
      <c r="I322" s="4"/>
      <c r="J322" s="4"/>
      <c r="K322" s="4" t="s">
        <v>254</v>
      </c>
      <c r="L322" s="4"/>
    </row>
    <row r="323" spans="1:12">
      <c r="A323" s="4" t="s">
        <v>935</v>
      </c>
      <c r="B323" s="4" t="s">
        <v>936</v>
      </c>
      <c r="C323" s="4" t="s">
        <v>324</v>
      </c>
      <c r="D323" s="4" t="s">
        <v>330</v>
      </c>
      <c r="E323" s="4" t="s">
        <v>326</v>
      </c>
      <c r="F323" s="13">
        <v>1</v>
      </c>
      <c r="G323" s="13">
        <v>1</v>
      </c>
      <c r="H323" s="4"/>
      <c r="I323" s="4"/>
      <c r="J323" s="4"/>
      <c r="K323" s="4" t="s">
        <v>254</v>
      </c>
      <c r="L323" s="4" t="s">
        <v>683</v>
      </c>
    </row>
    <row r="324" spans="1:12">
      <c r="A324" s="4" t="s">
        <v>937</v>
      </c>
      <c r="B324" s="4" t="s">
        <v>938</v>
      </c>
      <c r="C324" s="4" t="s">
        <v>324</v>
      </c>
      <c r="D324" s="4" t="s">
        <v>330</v>
      </c>
      <c r="E324" s="4" t="s">
        <v>326</v>
      </c>
      <c r="F324" s="13">
        <v>1</v>
      </c>
      <c r="G324" s="13">
        <v>1</v>
      </c>
      <c r="H324" s="4"/>
      <c r="I324" s="4"/>
      <c r="J324" s="4"/>
      <c r="K324" s="4" t="s">
        <v>254</v>
      </c>
      <c r="L324" s="4" t="s">
        <v>683</v>
      </c>
    </row>
    <row r="325" spans="1:12">
      <c r="A325" s="4" t="s">
        <v>939</v>
      </c>
      <c r="B325" s="4" t="s">
        <v>940</v>
      </c>
      <c r="C325" s="4" t="s">
        <v>324</v>
      </c>
      <c r="D325" s="4" t="s">
        <v>330</v>
      </c>
      <c r="E325" s="4" t="s">
        <v>326</v>
      </c>
      <c r="F325" s="13">
        <v>1</v>
      </c>
      <c r="G325" s="13">
        <v>1</v>
      </c>
      <c r="H325" s="4"/>
      <c r="I325" s="4"/>
      <c r="J325" s="4"/>
      <c r="K325" s="4" t="s">
        <v>254</v>
      </c>
      <c r="L325" s="4" t="s">
        <v>683</v>
      </c>
    </row>
    <row r="326" spans="1:12">
      <c r="A326" s="4" t="s">
        <v>941</v>
      </c>
      <c r="B326" s="4" t="s">
        <v>942</v>
      </c>
      <c r="C326" s="4" t="s">
        <v>324</v>
      </c>
      <c r="D326" s="4" t="s">
        <v>330</v>
      </c>
      <c r="E326" s="4" t="s">
        <v>326</v>
      </c>
      <c r="F326" s="13">
        <v>2</v>
      </c>
      <c r="G326" s="13">
        <v>1</v>
      </c>
      <c r="H326" s="4"/>
      <c r="I326" s="4"/>
      <c r="J326" s="4"/>
      <c r="K326" s="4" t="s">
        <v>254</v>
      </c>
      <c r="L326" s="4" t="s">
        <v>683</v>
      </c>
    </row>
    <row r="327" spans="1:12">
      <c r="A327" s="4" t="s">
        <v>943</v>
      </c>
      <c r="B327" s="4" t="s">
        <v>944</v>
      </c>
      <c r="C327" s="4" t="s">
        <v>324</v>
      </c>
      <c r="D327" s="4" t="s">
        <v>330</v>
      </c>
      <c r="E327" s="4" t="s">
        <v>326</v>
      </c>
      <c r="F327" s="13">
        <v>2</v>
      </c>
      <c r="G327" s="13">
        <v>1</v>
      </c>
      <c r="H327" s="4"/>
      <c r="I327" s="4"/>
      <c r="J327" s="4"/>
      <c r="K327" s="4" t="s">
        <v>254</v>
      </c>
      <c r="L327" s="4" t="s">
        <v>683</v>
      </c>
    </row>
    <row r="328" spans="1:12">
      <c r="A328" s="4" t="s">
        <v>945</v>
      </c>
      <c r="B328" s="4" t="s">
        <v>946</v>
      </c>
      <c r="C328" s="4" t="s">
        <v>324</v>
      </c>
      <c r="D328" s="4" t="s">
        <v>330</v>
      </c>
      <c r="E328" s="4" t="s">
        <v>326</v>
      </c>
      <c r="F328" s="13">
        <v>2</v>
      </c>
      <c r="G328" s="13">
        <v>1</v>
      </c>
      <c r="H328" s="4"/>
      <c r="I328" s="4"/>
      <c r="J328" s="4"/>
      <c r="K328" s="4" t="s">
        <v>254</v>
      </c>
      <c r="L328" s="4" t="s">
        <v>683</v>
      </c>
    </row>
    <row r="329" spans="1:12">
      <c r="A329" s="4" t="s">
        <v>947</v>
      </c>
      <c r="B329" s="4" t="s">
        <v>948</v>
      </c>
      <c r="C329" s="4" t="s">
        <v>324</v>
      </c>
      <c r="D329" s="4" t="s">
        <v>330</v>
      </c>
      <c r="E329" s="4" t="s">
        <v>326</v>
      </c>
      <c r="F329" s="13">
        <v>1</v>
      </c>
      <c r="G329" s="13">
        <v>1</v>
      </c>
      <c r="H329" s="4"/>
      <c r="I329" s="4"/>
      <c r="J329" s="4"/>
      <c r="K329" s="4" t="s">
        <v>254</v>
      </c>
      <c r="L329" s="4" t="s">
        <v>683</v>
      </c>
    </row>
    <row r="330" spans="1:12">
      <c r="A330" s="4" t="s">
        <v>949</v>
      </c>
      <c r="B330" s="4" t="s">
        <v>950</v>
      </c>
      <c r="C330" s="4" t="s">
        <v>324</v>
      </c>
      <c r="D330" s="4" t="s">
        <v>330</v>
      </c>
      <c r="E330" s="4" t="s">
        <v>326</v>
      </c>
      <c r="F330" s="13">
        <v>1</v>
      </c>
      <c r="G330" s="13">
        <v>1</v>
      </c>
      <c r="H330" s="4"/>
      <c r="I330" s="4"/>
      <c r="J330" s="4"/>
      <c r="K330" s="4" t="s">
        <v>254</v>
      </c>
      <c r="L330" s="4" t="s">
        <v>683</v>
      </c>
    </row>
    <row r="331" spans="1:12">
      <c r="A331" s="4" t="s">
        <v>951</v>
      </c>
      <c r="B331" s="4" t="s">
        <v>952</v>
      </c>
      <c r="C331" s="4" t="s">
        <v>324</v>
      </c>
      <c r="D331" s="4" t="s">
        <v>330</v>
      </c>
      <c r="E331" s="4" t="s">
        <v>326</v>
      </c>
      <c r="F331" s="13">
        <v>1</v>
      </c>
      <c r="G331" s="13">
        <v>1</v>
      </c>
      <c r="H331" s="4"/>
      <c r="I331" s="4"/>
      <c r="J331" s="4"/>
      <c r="K331" s="4" t="s">
        <v>254</v>
      </c>
      <c r="L331" s="4" t="s">
        <v>683</v>
      </c>
    </row>
    <row r="332" spans="1:12">
      <c r="A332" s="4" t="s">
        <v>953</v>
      </c>
      <c r="B332" s="4" t="s">
        <v>954</v>
      </c>
      <c r="C332" s="4" t="s">
        <v>324</v>
      </c>
      <c r="D332" s="4" t="s">
        <v>330</v>
      </c>
      <c r="E332" s="4" t="s">
        <v>326</v>
      </c>
      <c r="F332" s="13">
        <v>1</v>
      </c>
      <c r="G332" s="13">
        <v>1</v>
      </c>
      <c r="H332" s="4"/>
      <c r="I332" s="4"/>
      <c r="J332" s="4"/>
      <c r="K332" s="4" t="s">
        <v>254</v>
      </c>
      <c r="L332" s="4" t="s">
        <v>683</v>
      </c>
    </row>
    <row r="333" spans="1:12">
      <c r="A333" s="4" t="s">
        <v>955</v>
      </c>
      <c r="B333" s="4" t="s">
        <v>956</v>
      </c>
      <c r="C333" s="4" t="s">
        <v>324</v>
      </c>
      <c r="D333" s="4" t="s">
        <v>330</v>
      </c>
      <c r="E333" s="4" t="s">
        <v>326</v>
      </c>
      <c r="F333" s="13">
        <v>1</v>
      </c>
      <c r="G333" s="13">
        <v>1</v>
      </c>
      <c r="H333" s="4"/>
      <c r="I333" s="4"/>
      <c r="J333" s="4"/>
      <c r="K333" s="4" t="s">
        <v>254</v>
      </c>
      <c r="L333" s="4" t="s">
        <v>683</v>
      </c>
    </row>
    <row r="334" spans="1:12">
      <c r="A334" s="4" t="s">
        <v>957</v>
      </c>
      <c r="B334" s="4" t="s">
        <v>958</v>
      </c>
      <c r="C334" s="4" t="s">
        <v>324</v>
      </c>
      <c r="D334" s="4" t="s">
        <v>330</v>
      </c>
      <c r="E334" s="4" t="s">
        <v>326</v>
      </c>
      <c r="F334" s="13">
        <v>1</v>
      </c>
      <c r="G334" s="13">
        <v>1</v>
      </c>
      <c r="H334" s="4"/>
      <c r="I334" s="4"/>
      <c r="J334" s="4"/>
      <c r="K334" s="4" t="s">
        <v>254</v>
      </c>
      <c r="L334" s="4" t="s">
        <v>683</v>
      </c>
    </row>
    <row r="335" spans="1:12">
      <c r="A335" s="4" t="s">
        <v>959</v>
      </c>
      <c r="B335" s="4" t="s">
        <v>960</v>
      </c>
      <c r="C335" s="4" t="s">
        <v>324</v>
      </c>
      <c r="D335" s="4" t="s">
        <v>330</v>
      </c>
      <c r="E335" s="4" t="s">
        <v>326</v>
      </c>
      <c r="F335" s="13">
        <v>1</v>
      </c>
      <c r="G335" s="13">
        <v>1</v>
      </c>
      <c r="H335" s="4"/>
      <c r="I335" s="4"/>
      <c r="J335" s="4"/>
      <c r="K335" s="4" t="s">
        <v>254</v>
      </c>
      <c r="L335" s="4" t="s">
        <v>683</v>
      </c>
    </row>
    <row r="336" spans="1:12">
      <c r="A336" s="4" t="s">
        <v>961</v>
      </c>
      <c r="B336" s="4" t="s">
        <v>962</v>
      </c>
      <c r="C336" s="4" t="s">
        <v>324</v>
      </c>
      <c r="D336" s="4" t="s">
        <v>330</v>
      </c>
      <c r="E336" s="4" t="s">
        <v>326</v>
      </c>
      <c r="F336" s="13">
        <v>0</v>
      </c>
      <c r="G336" s="13">
        <v>1</v>
      </c>
      <c r="H336" s="4"/>
      <c r="I336" s="4"/>
      <c r="J336" s="4"/>
      <c r="K336" s="4"/>
      <c r="L336" s="4" t="s">
        <v>683</v>
      </c>
    </row>
    <row r="337" spans="1:12">
      <c r="A337" s="4" t="s">
        <v>254</v>
      </c>
      <c r="B337" s="4" t="s">
        <v>963</v>
      </c>
      <c r="C337" s="4" t="s">
        <v>324</v>
      </c>
      <c r="D337" s="4" t="s">
        <v>702</v>
      </c>
      <c r="E337" s="4" t="s">
        <v>326</v>
      </c>
      <c r="F337" s="13">
        <v>2</v>
      </c>
      <c r="G337" s="13">
        <v>1</v>
      </c>
      <c r="H337" s="4"/>
      <c r="I337" s="4"/>
      <c r="J337" s="4"/>
      <c r="K337" s="4" t="s">
        <v>256</v>
      </c>
      <c r="L337" s="4"/>
    </row>
    <row r="338" spans="1:12">
      <c r="A338" s="4" t="s">
        <v>964</v>
      </c>
      <c r="B338" s="4" t="s">
        <v>965</v>
      </c>
      <c r="C338" s="4" t="s">
        <v>324</v>
      </c>
      <c r="D338" s="4" t="s">
        <v>325</v>
      </c>
      <c r="E338" s="4" t="s">
        <v>326</v>
      </c>
      <c r="F338" s="13">
        <v>1</v>
      </c>
      <c r="G338" s="13">
        <v>2</v>
      </c>
      <c r="H338" s="4"/>
      <c r="I338" s="4"/>
      <c r="J338" s="4"/>
      <c r="K338" s="4"/>
      <c r="L338" s="4"/>
    </row>
    <row r="339" spans="1:12">
      <c r="A339" s="4" t="s">
        <v>966</v>
      </c>
      <c r="B339" s="4" t="s">
        <v>967</v>
      </c>
      <c r="C339" s="4" t="s">
        <v>324</v>
      </c>
      <c r="D339" s="4" t="s">
        <v>330</v>
      </c>
      <c r="E339" s="4" t="s">
        <v>326</v>
      </c>
      <c r="F339" s="13">
        <v>1</v>
      </c>
      <c r="G339" s="13">
        <v>1</v>
      </c>
      <c r="H339" s="4"/>
      <c r="I339" s="4"/>
      <c r="J339" s="4"/>
      <c r="K339" s="4" t="s">
        <v>968</v>
      </c>
      <c r="L339" s="4" t="s">
        <v>683</v>
      </c>
    </row>
    <row r="340" spans="1:12">
      <c r="A340" s="4" t="s">
        <v>969</v>
      </c>
      <c r="B340" s="4" t="s">
        <v>970</v>
      </c>
      <c r="C340" s="4" t="s">
        <v>324</v>
      </c>
      <c r="D340" s="4" t="s">
        <v>330</v>
      </c>
      <c r="E340" s="4" t="s">
        <v>326</v>
      </c>
      <c r="F340" s="13">
        <v>1</v>
      </c>
      <c r="G340" s="13">
        <v>1</v>
      </c>
      <c r="H340" s="4"/>
      <c r="I340" s="4"/>
      <c r="J340" s="4"/>
      <c r="K340" s="4" t="s">
        <v>968</v>
      </c>
      <c r="L340" s="4" t="s">
        <v>683</v>
      </c>
    </row>
    <row r="341" spans="1:12">
      <c r="A341" s="4" t="s">
        <v>971</v>
      </c>
      <c r="B341" s="4" t="s">
        <v>972</v>
      </c>
      <c r="C341" s="4" t="s">
        <v>324</v>
      </c>
      <c r="D341" s="4" t="s">
        <v>330</v>
      </c>
      <c r="E341" s="4" t="s">
        <v>326</v>
      </c>
      <c r="F341" s="13">
        <v>1</v>
      </c>
      <c r="G341" s="13">
        <v>1</v>
      </c>
      <c r="H341" s="4"/>
      <c r="I341" s="4"/>
      <c r="J341" s="4"/>
      <c r="K341" s="4" t="s">
        <v>968</v>
      </c>
      <c r="L341" s="4" t="s">
        <v>683</v>
      </c>
    </row>
    <row r="342" spans="1:12">
      <c r="A342" s="4" t="s">
        <v>973</v>
      </c>
      <c r="B342" s="4" t="s">
        <v>974</v>
      </c>
      <c r="C342" s="4" t="s">
        <v>324</v>
      </c>
      <c r="D342" s="4" t="s">
        <v>330</v>
      </c>
      <c r="E342" s="4" t="s">
        <v>326</v>
      </c>
      <c r="F342" s="13">
        <v>1</v>
      </c>
      <c r="G342" s="13">
        <v>1</v>
      </c>
      <c r="H342" s="4"/>
      <c r="I342" s="4"/>
      <c r="J342" s="4"/>
      <c r="K342" s="4" t="s">
        <v>968</v>
      </c>
      <c r="L342" s="4" t="s">
        <v>683</v>
      </c>
    </row>
    <row r="343" spans="1:12">
      <c r="A343" s="4" t="s">
        <v>975</v>
      </c>
      <c r="B343" s="4" t="s">
        <v>976</v>
      </c>
      <c r="C343" s="4" t="s">
        <v>324</v>
      </c>
      <c r="D343" s="4" t="s">
        <v>330</v>
      </c>
      <c r="E343" s="4" t="s">
        <v>326</v>
      </c>
      <c r="F343" s="13">
        <v>1</v>
      </c>
      <c r="G343" s="13">
        <v>1</v>
      </c>
      <c r="H343" s="4"/>
      <c r="I343" s="4"/>
      <c r="J343" s="4"/>
      <c r="K343" s="4" t="s">
        <v>968</v>
      </c>
      <c r="L343" s="4" t="s">
        <v>683</v>
      </c>
    </row>
    <row r="344" spans="1:12">
      <c r="A344" s="4" t="s">
        <v>977</v>
      </c>
      <c r="B344" s="4" t="s">
        <v>978</v>
      </c>
      <c r="C344" s="4" t="s">
        <v>324</v>
      </c>
      <c r="D344" s="4" t="s">
        <v>330</v>
      </c>
      <c r="E344" s="4" t="s">
        <v>326</v>
      </c>
      <c r="F344" s="13">
        <v>1</v>
      </c>
      <c r="G344" s="13">
        <v>1</v>
      </c>
      <c r="H344" s="4"/>
      <c r="I344" s="4"/>
      <c r="J344" s="4"/>
      <c r="K344" s="4" t="s">
        <v>968</v>
      </c>
      <c r="L344" s="4" t="s">
        <v>683</v>
      </c>
    </row>
    <row r="345" spans="1:12">
      <c r="A345" s="4" t="s">
        <v>979</v>
      </c>
      <c r="B345" s="4" t="s">
        <v>980</v>
      </c>
      <c r="C345" s="4" t="s">
        <v>324</v>
      </c>
      <c r="D345" s="4" t="s">
        <v>330</v>
      </c>
      <c r="E345" s="4" t="s">
        <v>326</v>
      </c>
      <c r="F345" s="13">
        <v>1</v>
      </c>
      <c r="G345" s="13">
        <v>1</v>
      </c>
      <c r="H345" s="4"/>
      <c r="I345" s="4"/>
      <c r="J345" s="4"/>
      <c r="K345" s="4" t="s">
        <v>968</v>
      </c>
      <c r="L345" s="4" t="s">
        <v>683</v>
      </c>
    </row>
    <row r="346" spans="1:12">
      <c r="A346" s="4" t="s">
        <v>981</v>
      </c>
      <c r="B346" s="4" t="s">
        <v>982</v>
      </c>
      <c r="C346" s="4" t="s">
        <v>324</v>
      </c>
      <c r="D346" s="4" t="s">
        <v>330</v>
      </c>
      <c r="E346" s="4" t="s">
        <v>326</v>
      </c>
      <c r="F346" s="13">
        <v>1</v>
      </c>
      <c r="G346" s="13">
        <v>1</v>
      </c>
      <c r="H346" s="4"/>
      <c r="I346" s="4"/>
      <c r="J346" s="4"/>
      <c r="K346" s="4" t="s">
        <v>968</v>
      </c>
      <c r="L346" s="4" t="s">
        <v>683</v>
      </c>
    </row>
    <row r="347" spans="1:12">
      <c r="A347" s="4" t="s">
        <v>983</v>
      </c>
      <c r="B347" s="4" t="s">
        <v>984</v>
      </c>
      <c r="C347" s="4" t="s">
        <v>324</v>
      </c>
      <c r="D347" s="4" t="s">
        <v>330</v>
      </c>
      <c r="E347" s="4" t="s">
        <v>326</v>
      </c>
      <c r="F347" s="13">
        <v>1</v>
      </c>
      <c r="G347" s="13">
        <v>1</v>
      </c>
      <c r="H347" s="4"/>
      <c r="I347" s="4"/>
      <c r="J347" s="4"/>
      <c r="K347" s="4" t="s">
        <v>968</v>
      </c>
      <c r="L347" s="4" t="s">
        <v>683</v>
      </c>
    </row>
    <row r="348" spans="1:12">
      <c r="A348" s="4" t="s">
        <v>985</v>
      </c>
      <c r="B348" s="4" t="s">
        <v>986</v>
      </c>
      <c r="C348" s="4" t="s">
        <v>324</v>
      </c>
      <c r="D348" s="4" t="s">
        <v>330</v>
      </c>
      <c r="E348" s="4" t="s">
        <v>326</v>
      </c>
      <c r="F348" s="13">
        <v>1</v>
      </c>
      <c r="G348" s="13">
        <v>1</v>
      </c>
      <c r="H348" s="4"/>
      <c r="I348" s="4"/>
      <c r="J348" s="4"/>
      <c r="K348" s="4" t="s">
        <v>968</v>
      </c>
      <c r="L348" s="4" t="s">
        <v>683</v>
      </c>
    </row>
    <row r="349" spans="1:12">
      <c r="A349" s="4" t="s">
        <v>987</v>
      </c>
      <c r="B349" s="4" t="s">
        <v>988</v>
      </c>
      <c r="C349" s="4" t="s">
        <v>324</v>
      </c>
      <c r="D349" s="4" t="s">
        <v>330</v>
      </c>
      <c r="E349" s="4" t="s">
        <v>326</v>
      </c>
      <c r="F349" s="13">
        <v>1</v>
      </c>
      <c r="G349" s="13">
        <v>1</v>
      </c>
      <c r="H349" s="4"/>
      <c r="I349" s="4"/>
      <c r="J349" s="4"/>
      <c r="K349" s="4" t="s">
        <v>968</v>
      </c>
      <c r="L349" s="4" t="s">
        <v>683</v>
      </c>
    </row>
    <row r="350" spans="1:12">
      <c r="A350" s="4" t="s">
        <v>989</v>
      </c>
      <c r="B350" s="4" t="s">
        <v>990</v>
      </c>
      <c r="C350" s="4" t="s">
        <v>324</v>
      </c>
      <c r="D350" s="4" t="s">
        <v>330</v>
      </c>
      <c r="E350" s="4" t="s">
        <v>326</v>
      </c>
      <c r="F350" s="13">
        <v>1</v>
      </c>
      <c r="G350" s="13">
        <v>1</v>
      </c>
      <c r="H350" s="4"/>
      <c r="I350" s="4"/>
      <c r="J350" s="4"/>
      <c r="K350" s="4" t="s">
        <v>968</v>
      </c>
      <c r="L350" s="4" t="s">
        <v>683</v>
      </c>
    </row>
    <row r="351" spans="1:12">
      <c r="A351" s="4" t="s">
        <v>991</v>
      </c>
      <c r="B351" s="4" t="s">
        <v>992</v>
      </c>
      <c r="C351" s="4" t="s">
        <v>324</v>
      </c>
      <c r="D351" s="4" t="s">
        <v>330</v>
      </c>
      <c r="E351" s="4" t="s">
        <v>326</v>
      </c>
      <c r="F351" s="13">
        <v>1</v>
      </c>
      <c r="G351" s="13">
        <v>1</v>
      </c>
      <c r="H351" s="4"/>
      <c r="I351" s="4"/>
      <c r="J351" s="4"/>
      <c r="K351" s="4" t="s">
        <v>968</v>
      </c>
      <c r="L351" s="4" t="s">
        <v>683</v>
      </c>
    </row>
    <row r="352" spans="1:12">
      <c r="A352" s="4" t="s">
        <v>993</v>
      </c>
      <c r="B352" s="4" t="s">
        <v>994</v>
      </c>
      <c r="C352" s="4" t="s">
        <v>324</v>
      </c>
      <c r="D352" s="4" t="s">
        <v>330</v>
      </c>
      <c r="E352" s="4" t="s">
        <v>326</v>
      </c>
      <c r="F352" s="13">
        <v>1</v>
      </c>
      <c r="G352" s="13">
        <v>1</v>
      </c>
      <c r="H352" s="4"/>
      <c r="I352" s="4"/>
      <c r="J352" s="4"/>
      <c r="K352" s="4" t="s">
        <v>968</v>
      </c>
      <c r="L352" s="4" t="s">
        <v>683</v>
      </c>
    </row>
    <row r="353" spans="1:12">
      <c r="A353" s="4" t="s">
        <v>995</v>
      </c>
      <c r="B353" s="4" t="s">
        <v>996</v>
      </c>
      <c r="C353" s="4" t="s">
        <v>324</v>
      </c>
      <c r="D353" s="4" t="s">
        <v>330</v>
      </c>
      <c r="E353" s="4" t="s">
        <v>326</v>
      </c>
      <c r="F353" s="13">
        <v>1</v>
      </c>
      <c r="G353" s="13">
        <v>1</v>
      </c>
      <c r="H353" s="4"/>
      <c r="I353" s="4"/>
      <c r="J353" s="4"/>
      <c r="K353" s="4" t="s">
        <v>968</v>
      </c>
      <c r="L353" s="4" t="s">
        <v>683</v>
      </c>
    </row>
    <row r="354" spans="1:12">
      <c r="A354" s="4" t="s">
        <v>997</v>
      </c>
      <c r="B354" s="4" t="s">
        <v>998</v>
      </c>
      <c r="C354" s="4" t="s">
        <v>324</v>
      </c>
      <c r="D354" s="4" t="s">
        <v>330</v>
      </c>
      <c r="E354" s="4" t="s">
        <v>326</v>
      </c>
      <c r="F354" s="13">
        <v>1</v>
      </c>
      <c r="G354" s="13">
        <v>1</v>
      </c>
      <c r="H354" s="4"/>
      <c r="I354" s="4"/>
      <c r="J354" s="4"/>
      <c r="K354" s="4" t="s">
        <v>968</v>
      </c>
      <c r="L354" s="4" t="s">
        <v>683</v>
      </c>
    </row>
    <row r="355" spans="1:12">
      <c r="A355" s="4" t="s">
        <v>999</v>
      </c>
      <c r="B355" s="4" t="s">
        <v>1000</v>
      </c>
      <c r="C355" s="4" t="s">
        <v>324</v>
      </c>
      <c r="D355" s="4" t="s">
        <v>330</v>
      </c>
      <c r="E355" s="4" t="s">
        <v>326</v>
      </c>
      <c r="F355" s="13">
        <v>1</v>
      </c>
      <c r="G355" s="13">
        <v>1</v>
      </c>
      <c r="H355" s="4"/>
      <c r="I355" s="4"/>
      <c r="J355" s="4"/>
      <c r="K355" s="4" t="s">
        <v>256</v>
      </c>
      <c r="L355" s="4" t="s">
        <v>683</v>
      </c>
    </row>
    <row r="356" spans="1:12">
      <c r="A356" s="4" t="s">
        <v>1001</v>
      </c>
      <c r="B356" s="4" t="s">
        <v>1002</v>
      </c>
      <c r="C356" s="4" t="s">
        <v>324</v>
      </c>
      <c r="D356" s="4" t="s">
        <v>330</v>
      </c>
      <c r="E356" s="4" t="s">
        <v>326</v>
      </c>
      <c r="F356" s="13">
        <v>1</v>
      </c>
      <c r="G356" s="13">
        <v>1</v>
      </c>
      <c r="H356" s="4"/>
      <c r="I356" s="4"/>
      <c r="J356" s="4"/>
      <c r="K356" s="4" t="s">
        <v>968</v>
      </c>
      <c r="L356" s="4" t="s">
        <v>683</v>
      </c>
    </row>
    <row r="357" spans="1:12">
      <c r="A357" s="4" t="s">
        <v>1003</v>
      </c>
      <c r="B357" s="4" t="s">
        <v>1004</v>
      </c>
      <c r="C357" s="4" t="s">
        <v>324</v>
      </c>
      <c r="D357" s="4" t="s">
        <v>330</v>
      </c>
      <c r="E357" s="4" t="s">
        <v>326</v>
      </c>
      <c r="F357" s="13">
        <v>1</v>
      </c>
      <c r="G357" s="13">
        <v>1</v>
      </c>
      <c r="H357" s="4"/>
      <c r="I357" s="4"/>
      <c r="J357" s="4"/>
      <c r="K357" s="4"/>
      <c r="L357" s="4" t="s">
        <v>683</v>
      </c>
    </row>
    <row r="358" spans="1:12">
      <c r="A358" s="4" t="s">
        <v>1005</v>
      </c>
      <c r="B358" s="4" t="s">
        <v>1006</v>
      </c>
      <c r="C358" s="4" t="s">
        <v>324</v>
      </c>
      <c r="D358" s="4" t="s">
        <v>330</v>
      </c>
      <c r="E358" s="4" t="s">
        <v>326</v>
      </c>
      <c r="F358" s="13">
        <v>1</v>
      </c>
      <c r="G358" s="13">
        <v>1</v>
      </c>
      <c r="H358" s="4"/>
      <c r="I358" s="4"/>
      <c r="J358" s="4"/>
      <c r="K358" s="4"/>
      <c r="L358" s="4" t="s">
        <v>683</v>
      </c>
    </row>
    <row r="359" spans="1:12">
      <c r="A359" s="4" t="s">
        <v>968</v>
      </c>
      <c r="B359" s="4" t="s">
        <v>1007</v>
      </c>
      <c r="C359" s="4" t="s">
        <v>324</v>
      </c>
      <c r="D359" s="4" t="s">
        <v>702</v>
      </c>
      <c r="E359" s="4" t="s">
        <v>326</v>
      </c>
      <c r="F359" s="13">
        <v>1</v>
      </c>
      <c r="G359" s="13">
        <v>1</v>
      </c>
      <c r="H359" s="4"/>
      <c r="I359" s="4"/>
      <c r="J359" s="4"/>
      <c r="K359" s="4" t="s">
        <v>256</v>
      </c>
      <c r="L359" s="4"/>
    </row>
    <row r="360" spans="1:12">
      <c r="A360" s="4" t="s">
        <v>256</v>
      </c>
      <c r="B360" s="4" t="s">
        <v>1008</v>
      </c>
      <c r="C360" s="4" t="s">
        <v>324</v>
      </c>
      <c r="D360" s="4" t="s">
        <v>702</v>
      </c>
      <c r="E360" s="4" t="s">
        <v>326</v>
      </c>
      <c r="F360" s="13">
        <v>3</v>
      </c>
      <c r="G360" s="13">
        <v>2</v>
      </c>
      <c r="H360" s="4"/>
      <c r="I360" s="4"/>
      <c r="J360" s="4"/>
      <c r="K360" s="4" t="s">
        <v>1009</v>
      </c>
      <c r="L360" s="4"/>
    </row>
    <row r="361" spans="1:12">
      <c r="A361" s="4" t="s">
        <v>258</v>
      </c>
      <c r="B361" s="4" t="s">
        <v>1010</v>
      </c>
      <c r="C361" s="4" t="s">
        <v>801</v>
      </c>
      <c r="D361" s="4" t="s">
        <v>325</v>
      </c>
      <c r="E361" s="4" t="s">
        <v>326</v>
      </c>
      <c r="F361" s="13">
        <v>1</v>
      </c>
      <c r="G361" s="13">
        <v>2</v>
      </c>
      <c r="H361" s="4"/>
      <c r="I361" s="4"/>
      <c r="J361" s="4"/>
      <c r="K361" s="4"/>
      <c r="L361" s="4"/>
    </row>
    <row r="362" spans="1:12">
      <c r="A362" s="4" t="s">
        <v>260</v>
      </c>
      <c r="B362" s="4" t="s">
        <v>1011</v>
      </c>
      <c r="C362" s="4" t="s">
        <v>801</v>
      </c>
      <c r="D362" s="4" t="s">
        <v>325</v>
      </c>
      <c r="E362" s="4" t="s">
        <v>326</v>
      </c>
      <c r="F362" s="13">
        <v>1</v>
      </c>
      <c r="G362" s="13">
        <v>2</v>
      </c>
      <c r="H362" s="4"/>
      <c r="I362" s="4"/>
      <c r="J362" s="4"/>
      <c r="K362" s="4"/>
      <c r="L362" s="4"/>
    </row>
    <row r="363" spans="1:12">
      <c r="A363" s="4" t="s">
        <v>1012</v>
      </c>
      <c r="B363" s="4" t="s">
        <v>1013</v>
      </c>
      <c r="C363" s="4" t="s">
        <v>324</v>
      </c>
      <c r="D363" s="4" t="s">
        <v>330</v>
      </c>
      <c r="E363" s="4" t="s">
        <v>326</v>
      </c>
      <c r="F363" s="13">
        <v>1</v>
      </c>
      <c r="G363" s="13">
        <v>1</v>
      </c>
      <c r="H363" s="4"/>
      <c r="I363" s="4"/>
      <c r="J363" s="4"/>
      <c r="K363" s="4"/>
      <c r="L363" s="4" t="s">
        <v>1014</v>
      </c>
    </row>
    <row r="364" spans="1:12">
      <c r="A364" s="4" t="s">
        <v>1015</v>
      </c>
      <c r="B364" s="4" t="s">
        <v>1016</v>
      </c>
      <c r="C364" s="4" t="s">
        <v>801</v>
      </c>
      <c r="D364" s="4" t="s">
        <v>330</v>
      </c>
      <c r="E364" s="4" t="s">
        <v>326</v>
      </c>
      <c r="F364" s="13">
        <v>1</v>
      </c>
      <c r="G364" s="13">
        <v>1</v>
      </c>
      <c r="H364" s="4"/>
      <c r="I364" s="4"/>
      <c r="J364" s="4"/>
      <c r="K364" s="4" t="s">
        <v>292</v>
      </c>
      <c r="L364" s="4" t="s">
        <v>683</v>
      </c>
    </row>
    <row r="365" spans="1:12">
      <c r="A365" s="4" t="s">
        <v>1017</v>
      </c>
      <c r="B365" s="4" t="s">
        <v>1018</v>
      </c>
      <c r="C365" s="4" t="s">
        <v>801</v>
      </c>
      <c r="D365" s="4" t="s">
        <v>330</v>
      </c>
      <c r="E365" s="4" t="s">
        <v>326</v>
      </c>
      <c r="F365" s="13">
        <v>1</v>
      </c>
      <c r="G365" s="13">
        <v>1</v>
      </c>
      <c r="H365" s="4"/>
      <c r="I365" s="4"/>
      <c r="J365" s="4"/>
      <c r="K365" s="4" t="s">
        <v>292</v>
      </c>
      <c r="L365" s="4" t="s">
        <v>683</v>
      </c>
    </row>
    <row r="366" spans="1:12">
      <c r="A366" s="4" t="s">
        <v>1019</v>
      </c>
      <c r="B366" s="4" t="s">
        <v>1020</v>
      </c>
      <c r="C366" s="4" t="s">
        <v>801</v>
      </c>
      <c r="D366" s="4" t="s">
        <v>330</v>
      </c>
      <c r="E366" s="4" t="s">
        <v>326</v>
      </c>
      <c r="F366" s="13">
        <v>0</v>
      </c>
      <c r="G366" s="13">
        <v>1</v>
      </c>
      <c r="H366" s="4"/>
      <c r="I366" s="4"/>
      <c r="J366" s="4"/>
      <c r="K366" s="4" t="s">
        <v>292</v>
      </c>
      <c r="L366" s="4" t="s">
        <v>683</v>
      </c>
    </row>
    <row r="367" spans="1:12">
      <c r="A367" s="4" t="s">
        <v>1021</v>
      </c>
      <c r="B367" s="4" t="s">
        <v>1022</v>
      </c>
      <c r="C367" s="4" t="s">
        <v>801</v>
      </c>
      <c r="D367" s="4" t="s">
        <v>330</v>
      </c>
      <c r="E367" s="4" t="s">
        <v>326</v>
      </c>
      <c r="F367" s="13">
        <v>0</v>
      </c>
      <c r="G367" s="13">
        <v>1</v>
      </c>
      <c r="H367" s="4"/>
      <c r="I367" s="4"/>
      <c r="J367" s="4"/>
      <c r="K367" s="4" t="s">
        <v>292</v>
      </c>
      <c r="L367" s="4" t="s">
        <v>683</v>
      </c>
    </row>
    <row r="368" spans="1:12">
      <c r="A368" s="4" t="s">
        <v>1023</v>
      </c>
      <c r="B368" s="4" t="s">
        <v>1024</v>
      </c>
      <c r="C368" s="4" t="s">
        <v>801</v>
      </c>
      <c r="D368" s="4" t="s">
        <v>330</v>
      </c>
      <c r="E368" s="4" t="s">
        <v>326</v>
      </c>
      <c r="F368" s="13">
        <v>0</v>
      </c>
      <c r="G368" s="13">
        <v>1</v>
      </c>
      <c r="H368" s="4"/>
      <c r="I368" s="4"/>
      <c r="J368" s="4"/>
      <c r="K368" s="4" t="s">
        <v>292</v>
      </c>
      <c r="L368" s="4" t="s">
        <v>683</v>
      </c>
    </row>
    <row r="369" spans="1:12">
      <c r="A369" s="4" t="s">
        <v>262</v>
      </c>
      <c r="B369" s="4" t="s">
        <v>1025</v>
      </c>
      <c r="C369" s="4" t="s">
        <v>801</v>
      </c>
      <c r="D369" s="4" t="s">
        <v>330</v>
      </c>
      <c r="E369" s="4" t="s">
        <v>326</v>
      </c>
      <c r="F369" s="13">
        <v>1</v>
      </c>
      <c r="G369" s="13">
        <v>1</v>
      </c>
      <c r="H369" s="4"/>
      <c r="I369" s="4"/>
      <c r="J369" s="4"/>
      <c r="K369" s="4" t="s">
        <v>292</v>
      </c>
      <c r="L369" s="4" t="s">
        <v>683</v>
      </c>
    </row>
    <row r="370" spans="1:12">
      <c r="A370" s="4" t="s">
        <v>1026</v>
      </c>
      <c r="B370" s="4" t="s">
        <v>1027</v>
      </c>
      <c r="C370" s="4" t="s">
        <v>324</v>
      </c>
      <c r="D370" s="4" t="s">
        <v>330</v>
      </c>
      <c r="E370" s="4" t="s">
        <v>587</v>
      </c>
      <c r="F370" s="13">
        <v>0</v>
      </c>
      <c r="G370" s="13">
        <v>1</v>
      </c>
      <c r="H370" s="4"/>
      <c r="I370" s="4"/>
      <c r="J370" s="4"/>
      <c r="K370" s="4"/>
      <c r="L370" s="4"/>
    </row>
    <row r="371" spans="1:12">
      <c r="A371" s="4" t="s">
        <v>1028</v>
      </c>
      <c r="B371" s="4" t="s">
        <v>1029</v>
      </c>
      <c r="C371" s="4" t="s">
        <v>801</v>
      </c>
      <c r="D371" s="4" t="s">
        <v>330</v>
      </c>
      <c r="E371" s="4" t="s">
        <v>326</v>
      </c>
      <c r="F371" s="13">
        <v>1</v>
      </c>
      <c r="G371" s="13">
        <v>1</v>
      </c>
      <c r="H371" s="4"/>
      <c r="I371" s="4"/>
      <c r="J371" s="4"/>
      <c r="K371" s="4" t="s">
        <v>292</v>
      </c>
      <c r="L371" s="4" t="s">
        <v>683</v>
      </c>
    </row>
    <row r="372" spans="1:12">
      <c r="A372" s="4" t="s">
        <v>1030</v>
      </c>
      <c r="B372" s="4" t="s">
        <v>1031</v>
      </c>
      <c r="C372" s="4" t="s">
        <v>801</v>
      </c>
      <c r="D372" s="4" t="s">
        <v>330</v>
      </c>
      <c r="E372" s="4" t="s">
        <v>326</v>
      </c>
      <c r="F372" s="13">
        <v>1</v>
      </c>
      <c r="G372" s="13">
        <v>1</v>
      </c>
      <c r="H372" s="4"/>
      <c r="I372" s="4"/>
      <c r="J372" s="4"/>
      <c r="K372" s="4" t="s">
        <v>292</v>
      </c>
      <c r="L372" s="4" t="s">
        <v>683</v>
      </c>
    </row>
    <row r="373" spans="1:12">
      <c r="A373" s="4" t="s">
        <v>1032</v>
      </c>
      <c r="B373" s="4" t="s">
        <v>1033</v>
      </c>
      <c r="C373" s="4" t="s">
        <v>801</v>
      </c>
      <c r="D373" s="4" t="s">
        <v>330</v>
      </c>
      <c r="E373" s="4" t="s">
        <v>326</v>
      </c>
      <c r="F373" s="13">
        <v>1</v>
      </c>
      <c r="G373" s="13">
        <v>1</v>
      </c>
      <c r="H373" s="4"/>
      <c r="I373" s="4"/>
      <c r="J373" s="4"/>
      <c r="K373" s="4" t="s">
        <v>292</v>
      </c>
      <c r="L373" s="4" t="s">
        <v>683</v>
      </c>
    </row>
    <row r="374" spans="1:12">
      <c r="A374" s="4" t="s">
        <v>1034</v>
      </c>
      <c r="B374" s="4" t="s">
        <v>1035</v>
      </c>
      <c r="C374" s="4" t="s">
        <v>801</v>
      </c>
      <c r="D374" s="4" t="s">
        <v>330</v>
      </c>
      <c r="E374" s="4" t="s">
        <v>326</v>
      </c>
      <c r="F374" s="13">
        <v>1</v>
      </c>
      <c r="G374" s="13">
        <v>1</v>
      </c>
      <c r="H374" s="4"/>
      <c r="I374" s="4"/>
      <c r="J374" s="4"/>
      <c r="K374" s="4" t="s">
        <v>292</v>
      </c>
      <c r="L374" s="4" t="s">
        <v>683</v>
      </c>
    </row>
    <row r="375" spans="1:12">
      <c r="A375" s="4" t="s">
        <v>1036</v>
      </c>
      <c r="B375" s="4" t="s">
        <v>1037</v>
      </c>
      <c r="C375" s="4" t="s">
        <v>801</v>
      </c>
      <c r="D375" s="4" t="s">
        <v>330</v>
      </c>
      <c r="E375" s="4" t="s">
        <v>326</v>
      </c>
      <c r="F375" s="13">
        <v>1</v>
      </c>
      <c r="G375" s="13">
        <v>1</v>
      </c>
      <c r="H375" s="4"/>
      <c r="I375" s="4"/>
      <c r="J375" s="4"/>
      <c r="K375" s="4" t="s">
        <v>292</v>
      </c>
      <c r="L375" s="4" t="s">
        <v>683</v>
      </c>
    </row>
    <row r="376" spans="1:12">
      <c r="A376" s="4" t="s">
        <v>1038</v>
      </c>
      <c r="B376" s="4"/>
      <c r="C376" s="4" t="s">
        <v>324</v>
      </c>
      <c r="D376" s="4" t="s">
        <v>330</v>
      </c>
      <c r="E376" s="4" t="s">
        <v>587</v>
      </c>
      <c r="F376" s="13">
        <v>0</v>
      </c>
      <c r="G376" s="13">
        <v>1</v>
      </c>
      <c r="H376" s="4"/>
      <c r="I376" s="4"/>
      <c r="J376" s="4"/>
      <c r="K376" s="4"/>
      <c r="L376" s="4"/>
    </row>
    <row r="377" spans="1:12">
      <c r="A377" s="4" t="s">
        <v>1039</v>
      </c>
      <c r="B377" s="4" t="s">
        <v>1040</v>
      </c>
      <c r="C377" s="4" t="s">
        <v>801</v>
      </c>
      <c r="D377" s="4" t="s">
        <v>330</v>
      </c>
      <c r="E377" s="4" t="s">
        <v>326</v>
      </c>
      <c r="F377" s="13">
        <v>1</v>
      </c>
      <c r="G377" s="13">
        <v>1</v>
      </c>
      <c r="H377" s="4"/>
      <c r="I377" s="4"/>
      <c r="J377" s="4"/>
      <c r="K377" s="4" t="s">
        <v>292</v>
      </c>
      <c r="L377" s="4" t="s">
        <v>683</v>
      </c>
    </row>
    <row r="378" spans="1:12">
      <c r="A378" s="4" t="s">
        <v>1041</v>
      </c>
      <c r="B378" s="4" t="s">
        <v>1042</v>
      </c>
      <c r="C378" s="4" t="s">
        <v>801</v>
      </c>
      <c r="D378" s="4" t="s">
        <v>330</v>
      </c>
      <c r="E378" s="4" t="s">
        <v>326</v>
      </c>
      <c r="F378" s="13">
        <v>1</v>
      </c>
      <c r="G378" s="13">
        <v>1</v>
      </c>
      <c r="H378" s="4"/>
      <c r="I378" s="4"/>
      <c r="J378" s="4"/>
      <c r="K378" s="4" t="s">
        <v>292</v>
      </c>
      <c r="L378" s="4" t="s">
        <v>683</v>
      </c>
    </row>
    <row r="379" spans="1:12">
      <c r="A379" s="4" t="s">
        <v>1043</v>
      </c>
      <c r="B379" s="4" t="s">
        <v>1044</v>
      </c>
      <c r="C379" s="4" t="s">
        <v>801</v>
      </c>
      <c r="D379" s="4" t="s">
        <v>330</v>
      </c>
      <c r="E379" s="4" t="s">
        <v>326</v>
      </c>
      <c r="F379" s="13">
        <v>1</v>
      </c>
      <c r="G379" s="13">
        <v>1</v>
      </c>
      <c r="H379" s="4"/>
      <c r="I379" s="4"/>
      <c r="J379" s="4"/>
      <c r="K379" s="4" t="s">
        <v>292</v>
      </c>
      <c r="L379" s="4" t="s">
        <v>683</v>
      </c>
    </row>
    <row r="380" spans="1:12">
      <c r="A380" s="4" t="s">
        <v>1045</v>
      </c>
      <c r="B380" s="4" t="s">
        <v>1046</v>
      </c>
      <c r="C380" s="4" t="s">
        <v>801</v>
      </c>
      <c r="D380" s="4" t="s">
        <v>330</v>
      </c>
      <c r="E380" s="4" t="s">
        <v>326</v>
      </c>
      <c r="F380" s="13">
        <v>1</v>
      </c>
      <c r="G380" s="13">
        <v>1</v>
      </c>
      <c r="H380" s="4"/>
      <c r="I380" s="4"/>
      <c r="J380" s="4"/>
      <c r="K380" s="4" t="s">
        <v>292</v>
      </c>
      <c r="L380" s="4" t="s">
        <v>683</v>
      </c>
    </row>
    <row r="381" spans="1:12">
      <c r="A381" s="4" t="s">
        <v>1047</v>
      </c>
      <c r="B381" s="4" t="s">
        <v>1048</v>
      </c>
      <c r="C381" s="4" t="s">
        <v>801</v>
      </c>
      <c r="D381" s="4" t="s">
        <v>330</v>
      </c>
      <c r="E381" s="4" t="s">
        <v>326</v>
      </c>
      <c r="F381" s="13">
        <v>1</v>
      </c>
      <c r="G381" s="13">
        <v>1</v>
      </c>
      <c r="H381" s="4"/>
      <c r="I381" s="4"/>
      <c r="J381" s="4"/>
      <c r="K381" s="4" t="s">
        <v>292</v>
      </c>
      <c r="L381" s="4" t="s">
        <v>683</v>
      </c>
    </row>
    <row r="382" spans="1:12">
      <c r="A382" s="4" t="s">
        <v>1049</v>
      </c>
      <c r="B382" s="4" t="s">
        <v>1050</v>
      </c>
      <c r="C382" s="4" t="s">
        <v>801</v>
      </c>
      <c r="D382" s="4" t="s">
        <v>330</v>
      </c>
      <c r="E382" s="4" t="s">
        <v>326</v>
      </c>
      <c r="F382" s="13">
        <v>1</v>
      </c>
      <c r="G382" s="13">
        <v>1</v>
      </c>
      <c r="H382" s="4"/>
      <c r="I382" s="4"/>
      <c r="J382" s="4"/>
      <c r="K382" s="4" t="s">
        <v>292</v>
      </c>
      <c r="L382" s="4" t="s">
        <v>683</v>
      </c>
    </row>
    <row r="383" spans="1:12">
      <c r="A383" s="4" t="s">
        <v>1051</v>
      </c>
      <c r="B383" s="4" t="s">
        <v>1052</v>
      </c>
      <c r="C383" s="4" t="s">
        <v>801</v>
      </c>
      <c r="D383" s="4" t="s">
        <v>330</v>
      </c>
      <c r="E383" s="4" t="s">
        <v>326</v>
      </c>
      <c r="F383" s="13">
        <v>1</v>
      </c>
      <c r="G383" s="13">
        <v>1</v>
      </c>
      <c r="H383" s="4"/>
      <c r="I383" s="4"/>
      <c r="J383" s="4"/>
      <c r="K383" s="4" t="s">
        <v>292</v>
      </c>
      <c r="L383" s="4" t="s">
        <v>683</v>
      </c>
    </row>
    <row r="384" spans="1:12">
      <c r="A384" s="4" t="s">
        <v>1053</v>
      </c>
      <c r="B384" s="4" t="s">
        <v>1054</v>
      </c>
      <c r="C384" s="4" t="s">
        <v>801</v>
      </c>
      <c r="D384" s="4" t="s">
        <v>330</v>
      </c>
      <c r="E384" s="4" t="s">
        <v>326</v>
      </c>
      <c r="F384" s="13">
        <v>1</v>
      </c>
      <c r="G384" s="13">
        <v>1</v>
      </c>
      <c r="H384" s="4"/>
      <c r="I384" s="4"/>
      <c r="J384" s="4"/>
      <c r="K384" s="4" t="s">
        <v>292</v>
      </c>
      <c r="L384" s="4" t="s">
        <v>683</v>
      </c>
    </row>
    <row r="385" spans="1:12">
      <c r="A385" s="4" t="s">
        <v>1055</v>
      </c>
      <c r="B385" s="4" t="s">
        <v>1056</v>
      </c>
      <c r="C385" s="4" t="s">
        <v>801</v>
      </c>
      <c r="D385" s="4" t="s">
        <v>330</v>
      </c>
      <c r="E385" s="4" t="s">
        <v>326</v>
      </c>
      <c r="F385" s="13">
        <v>1</v>
      </c>
      <c r="G385" s="13">
        <v>1</v>
      </c>
      <c r="H385" s="4"/>
      <c r="I385" s="4"/>
      <c r="J385" s="4"/>
      <c r="K385" s="4" t="s">
        <v>292</v>
      </c>
      <c r="L385" s="4" t="s">
        <v>683</v>
      </c>
    </row>
    <row r="386" spans="1:12">
      <c r="A386" s="4" t="s">
        <v>1057</v>
      </c>
      <c r="B386" s="4" t="s">
        <v>1058</v>
      </c>
      <c r="C386" s="4" t="s">
        <v>801</v>
      </c>
      <c r="D386" s="4" t="s">
        <v>330</v>
      </c>
      <c r="E386" s="4" t="s">
        <v>326</v>
      </c>
      <c r="F386" s="13">
        <v>1</v>
      </c>
      <c r="G386" s="13">
        <v>1</v>
      </c>
      <c r="H386" s="4"/>
      <c r="I386" s="4"/>
      <c r="J386" s="4"/>
      <c r="K386" s="4" t="s">
        <v>292</v>
      </c>
      <c r="L386" s="4" t="s">
        <v>683</v>
      </c>
    </row>
    <row r="387" spans="1:12">
      <c r="A387" s="4" t="s">
        <v>1059</v>
      </c>
      <c r="B387" s="4" t="s">
        <v>1060</v>
      </c>
      <c r="C387" s="4" t="s">
        <v>801</v>
      </c>
      <c r="D387" s="4" t="s">
        <v>330</v>
      </c>
      <c r="E387" s="4" t="s">
        <v>326</v>
      </c>
      <c r="F387" s="13">
        <v>1</v>
      </c>
      <c r="G387" s="13">
        <v>1</v>
      </c>
      <c r="H387" s="4"/>
      <c r="I387" s="4"/>
      <c r="J387" s="4"/>
      <c r="K387" s="4" t="s">
        <v>292</v>
      </c>
      <c r="L387" s="4" t="s">
        <v>683</v>
      </c>
    </row>
    <row r="388" spans="1:12">
      <c r="A388" s="4" t="s">
        <v>1061</v>
      </c>
      <c r="B388" s="4" t="s">
        <v>1062</v>
      </c>
      <c r="C388" s="4" t="s">
        <v>801</v>
      </c>
      <c r="D388" s="4" t="s">
        <v>330</v>
      </c>
      <c r="E388" s="4" t="s">
        <v>326</v>
      </c>
      <c r="F388" s="13">
        <v>1</v>
      </c>
      <c r="G388" s="13">
        <v>1</v>
      </c>
      <c r="H388" s="4"/>
      <c r="I388" s="4"/>
      <c r="J388" s="4"/>
      <c r="K388" s="4" t="s">
        <v>292</v>
      </c>
      <c r="L388" s="4" t="s">
        <v>683</v>
      </c>
    </row>
    <row r="389" spans="1:12">
      <c r="A389" s="4" t="s">
        <v>1063</v>
      </c>
      <c r="B389" s="4" t="s">
        <v>1064</v>
      </c>
      <c r="C389" s="4" t="s">
        <v>801</v>
      </c>
      <c r="D389" s="4" t="s">
        <v>330</v>
      </c>
      <c r="E389" s="4" t="s">
        <v>326</v>
      </c>
      <c r="F389" s="13">
        <v>0</v>
      </c>
      <c r="G389" s="13">
        <v>1</v>
      </c>
      <c r="H389" s="4"/>
      <c r="I389" s="4"/>
      <c r="J389" s="4"/>
      <c r="K389" s="4"/>
      <c r="L389" s="4" t="s">
        <v>683</v>
      </c>
    </row>
    <row r="390" spans="1:12">
      <c r="A390" s="4" t="s">
        <v>1065</v>
      </c>
      <c r="B390" s="4" t="s">
        <v>1066</v>
      </c>
      <c r="C390" s="4" t="s">
        <v>801</v>
      </c>
      <c r="D390" s="4" t="s">
        <v>330</v>
      </c>
      <c r="E390" s="4" t="s">
        <v>326</v>
      </c>
      <c r="F390" s="13">
        <v>0</v>
      </c>
      <c r="G390" s="13">
        <v>1</v>
      </c>
      <c r="H390" s="4"/>
      <c r="I390" s="4"/>
      <c r="J390" s="4"/>
      <c r="K390" s="4"/>
      <c r="L390" s="4" t="s">
        <v>683</v>
      </c>
    </row>
    <row r="391" spans="1:12">
      <c r="A391" s="4" t="s">
        <v>1067</v>
      </c>
      <c r="B391" s="4" t="s">
        <v>1068</v>
      </c>
      <c r="C391" s="4" t="s">
        <v>801</v>
      </c>
      <c r="D391" s="4" t="s">
        <v>330</v>
      </c>
      <c r="E391" s="4" t="s">
        <v>326</v>
      </c>
      <c r="F391" s="13">
        <v>0</v>
      </c>
      <c r="G391" s="13">
        <v>1</v>
      </c>
      <c r="H391" s="4"/>
      <c r="I391" s="4"/>
      <c r="J391" s="4"/>
      <c r="K391" s="4"/>
      <c r="L391" s="4" t="s">
        <v>683</v>
      </c>
    </row>
    <row r="392" spans="1:12">
      <c r="A392" s="4" t="s">
        <v>1069</v>
      </c>
      <c r="B392" s="4" t="s">
        <v>1070</v>
      </c>
      <c r="C392" s="4" t="s">
        <v>801</v>
      </c>
      <c r="D392" s="4" t="s">
        <v>330</v>
      </c>
      <c r="E392" s="4" t="s">
        <v>326</v>
      </c>
      <c r="F392" s="13">
        <v>0</v>
      </c>
      <c r="G392" s="13">
        <v>1</v>
      </c>
      <c r="H392" s="4"/>
      <c r="I392" s="4"/>
      <c r="J392" s="4"/>
      <c r="K392" s="4" t="s">
        <v>292</v>
      </c>
      <c r="L392" s="4" t="s">
        <v>683</v>
      </c>
    </row>
    <row r="393" spans="1:12">
      <c r="A393" s="4" t="s">
        <v>1071</v>
      </c>
      <c r="B393" s="4" t="s">
        <v>1072</v>
      </c>
      <c r="C393" s="4" t="s">
        <v>801</v>
      </c>
      <c r="D393" s="4" t="s">
        <v>330</v>
      </c>
      <c r="E393" s="4" t="s">
        <v>326</v>
      </c>
      <c r="F393" s="13">
        <v>1</v>
      </c>
      <c r="G393" s="13">
        <v>1</v>
      </c>
      <c r="H393" s="4"/>
      <c r="I393" s="4"/>
      <c r="J393" s="4"/>
      <c r="K393" s="4" t="s">
        <v>292</v>
      </c>
      <c r="L393" s="4" t="s">
        <v>683</v>
      </c>
    </row>
    <row r="394" spans="1:12">
      <c r="A394" s="4" t="s">
        <v>1073</v>
      </c>
      <c r="B394" s="4" t="s">
        <v>1074</v>
      </c>
      <c r="C394" s="4" t="s">
        <v>801</v>
      </c>
      <c r="D394" s="4" t="s">
        <v>330</v>
      </c>
      <c r="E394" s="4" t="s">
        <v>326</v>
      </c>
      <c r="F394" s="13">
        <v>1</v>
      </c>
      <c r="G394" s="13">
        <v>1</v>
      </c>
      <c r="H394" s="4"/>
      <c r="I394" s="4"/>
      <c r="J394" s="4"/>
      <c r="K394" s="4"/>
      <c r="L394" s="4" t="s">
        <v>683</v>
      </c>
    </row>
    <row r="395" spans="1:12">
      <c r="A395" s="4" t="s">
        <v>1075</v>
      </c>
      <c r="B395" s="4" t="s">
        <v>1076</v>
      </c>
      <c r="C395" s="4" t="s">
        <v>801</v>
      </c>
      <c r="D395" s="4" t="s">
        <v>330</v>
      </c>
      <c r="E395" s="4" t="s">
        <v>326</v>
      </c>
      <c r="F395" s="13">
        <v>1</v>
      </c>
      <c r="G395" s="13">
        <v>1</v>
      </c>
      <c r="H395" s="4"/>
      <c r="I395" s="4"/>
      <c r="J395" s="4"/>
      <c r="K395" s="4" t="s">
        <v>292</v>
      </c>
      <c r="L395" s="4" t="s">
        <v>683</v>
      </c>
    </row>
    <row r="396" spans="1:12">
      <c r="A396" s="4" t="s">
        <v>1077</v>
      </c>
      <c r="B396" s="4" t="s">
        <v>1078</v>
      </c>
      <c r="C396" s="4" t="s">
        <v>801</v>
      </c>
      <c r="D396" s="4" t="s">
        <v>330</v>
      </c>
      <c r="E396" s="4" t="s">
        <v>326</v>
      </c>
      <c r="F396" s="13">
        <v>1</v>
      </c>
      <c r="G396" s="13">
        <v>1</v>
      </c>
      <c r="H396" s="4"/>
      <c r="I396" s="4"/>
      <c r="J396" s="4"/>
      <c r="K396" s="4" t="s">
        <v>292</v>
      </c>
      <c r="L396" s="4" t="s">
        <v>683</v>
      </c>
    </row>
    <row r="397" spans="1:12">
      <c r="A397" s="4" t="s">
        <v>266</v>
      </c>
      <c r="B397" s="4" t="s">
        <v>1079</v>
      </c>
      <c r="C397" s="4" t="s">
        <v>801</v>
      </c>
      <c r="D397" s="4" t="s">
        <v>330</v>
      </c>
      <c r="E397" s="4" t="s">
        <v>326</v>
      </c>
      <c r="F397" s="13">
        <v>1</v>
      </c>
      <c r="G397" s="13">
        <v>1</v>
      </c>
      <c r="H397" s="4"/>
      <c r="I397" s="4"/>
      <c r="J397" s="4"/>
      <c r="K397" s="4" t="s">
        <v>292</v>
      </c>
      <c r="L397" s="4" t="s">
        <v>683</v>
      </c>
    </row>
    <row r="398" spans="1:12">
      <c r="A398" s="4" t="s">
        <v>1080</v>
      </c>
      <c r="B398" s="4" t="s">
        <v>1081</v>
      </c>
      <c r="C398" s="4" t="s">
        <v>801</v>
      </c>
      <c r="D398" s="4" t="s">
        <v>330</v>
      </c>
      <c r="E398" s="4" t="s">
        <v>326</v>
      </c>
      <c r="F398" s="13">
        <v>1</v>
      </c>
      <c r="G398" s="13">
        <v>1</v>
      </c>
      <c r="H398" s="4"/>
      <c r="I398" s="4"/>
      <c r="J398" s="4"/>
      <c r="K398" s="4" t="s">
        <v>292</v>
      </c>
      <c r="L398" s="4" t="s">
        <v>683</v>
      </c>
    </row>
    <row r="399" spans="1:12">
      <c r="A399" s="4" t="s">
        <v>268</v>
      </c>
      <c r="B399" s="4" t="s">
        <v>1082</v>
      </c>
      <c r="C399" s="4" t="s">
        <v>801</v>
      </c>
      <c r="D399" s="4" t="s">
        <v>330</v>
      </c>
      <c r="E399" s="4" t="s">
        <v>326</v>
      </c>
      <c r="F399" s="13">
        <v>1</v>
      </c>
      <c r="G399" s="13">
        <v>1</v>
      </c>
      <c r="H399" s="4"/>
      <c r="I399" s="4"/>
      <c r="J399" s="4"/>
      <c r="K399" s="4" t="s">
        <v>292</v>
      </c>
      <c r="L399" s="4" t="s">
        <v>683</v>
      </c>
    </row>
    <row r="400" spans="1:12">
      <c r="A400" s="4" t="s">
        <v>1083</v>
      </c>
      <c r="B400" s="4" t="s">
        <v>1084</v>
      </c>
      <c r="C400" s="4" t="s">
        <v>801</v>
      </c>
      <c r="D400" s="4" t="s">
        <v>330</v>
      </c>
      <c r="E400" s="4" t="s">
        <v>326</v>
      </c>
      <c r="F400" s="13">
        <v>1</v>
      </c>
      <c r="G400" s="13">
        <v>1</v>
      </c>
      <c r="H400" s="4"/>
      <c r="I400" s="4"/>
      <c r="J400" s="4"/>
      <c r="K400" s="4" t="s">
        <v>292</v>
      </c>
      <c r="L400" s="4" t="s">
        <v>683</v>
      </c>
    </row>
    <row r="401" spans="1:12">
      <c r="A401" s="4" t="s">
        <v>270</v>
      </c>
      <c r="B401" s="4" t="s">
        <v>1085</v>
      </c>
      <c r="C401" s="4" t="s">
        <v>801</v>
      </c>
      <c r="D401" s="4" t="s">
        <v>330</v>
      </c>
      <c r="E401" s="4" t="s">
        <v>326</v>
      </c>
      <c r="F401" s="13">
        <v>1</v>
      </c>
      <c r="G401" s="13">
        <v>1</v>
      </c>
      <c r="H401" s="4"/>
      <c r="I401" s="4"/>
      <c r="J401" s="4"/>
      <c r="K401" s="4" t="s">
        <v>292</v>
      </c>
      <c r="L401" s="4" t="s">
        <v>1086</v>
      </c>
    </row>
    <row r="402" spans="1:12">
      <c r="A402" s="4" t="s">
        <v>1087</v>
      </c>
      <c r="B402" s="4" t="s">
        <v>1088</v>
      </c>
      <c r="C402" s="4" t="s">
        <v>801</v>
      </c>
      <c r="D402" s="4" t="s">
        <v>330</v>
      </c>
      <c r="E402" s="4" t="s">
        <v>326</v>
      </c>
      <c r="F402" s="13">
        <v>1</v>
      </c>
      <c r="G402" s="13">
        <v>1</v>
      </c>
      <c r="H402" s="4"/>
      <c r="I402" s="4"/>
      <c r="J402" s="4"/>
      <c r="K402" s="4" t="s">
        <v>292</v>
      </c>
      <c r="L402" s="4" t="s">
        <v>683</v>
      </c>
    </row>
    <row r="403" spans="1:12">
      <c r="A403" s="4" t="s">
        <v>1089</v>
      </c>
      <c r="B403" s="4" t="s">
        <v>1090</v>
      </c>
      <c r="C403" s="4" t="s">
        <v>324</v>
      </c>
      <c r="D403" s="4" t="s">
        <v>330</v>
      </c>
      <c r="E403" s="4" t="s">
        <v>587</v>
      </c>
      <c r="F403" s="13">
        <v>0</v>
      </c>
      <c r="G403" s="13">
        <v>1</v>
      </c>
      <c r="H403" s="4"/>
      <c r="I403" s="4"/>
      <c r="J403" s="4"/>
      <c r="K403" s="4"/>
      <c r="L403" s="4" t="s">
        <v>881</v>
      </c>
    </row>
    <row r="404" spans="1:12">
      <c r="A404" s="4" t="s">
        <v>1091</v>
      </c>
      <c r="B404" s="4" t="s">
        <v>1092</v>
      </c>
      <c r="C404" s="4" t="s">
        <v>324</v>
      </c>
      <c r="D404" s="4" t="s">
        <v>330</v>
      </c>
      <c r="E404" s="4" t="s">
        <v>326</v>
      </c>
      <c r="F404" s="13">
        <v>1</v>
      </c>
      <c r="G404" s="13">
        <v>1</v>
      </c>
      <c r="H404" s="4"/>
      <c r="I404" s="4"/>
      <c r="J404" s="4"/>
      <c r="K404" s="4"/>
      <c r="L404" s="4" t="s">
        <v>683</v>
      </c>
    </row>
    <row r="405" spans="1:12">
      <c r="A405" s="4" t="s">
        <v>272</v>
      </c>
      <c r="B405" s="4" t="s">
        <v>1093</v>
      </c>
      <c r="C405" s="4" t="s">
        <v>801</v>
      </c>
      <c r="D405" s="4" t="s">
        <v>330</v>
      </c>
      <c r="E405" s="4" t="s">
        <v>326</v>
      </c>
      <c r="F405" s="13">
        <v>1</v>
      </c>
      <c r="G405" s="13">
        <v>1</v>
      </c>
      <c r="H405" s="4"/>
      <c r="I405" s="4" t="s">
        <v>1094</v>
      </c>
      <c r="J405" s="4"/>
      <c r="K405" s="4" t="s">
        <v>292</v>
      </c>
      <c r="L405" s="4" t="s">
        <v>1095</v>
      </c>
    </row>
    <row r="406" spans="1:12">
      <c r="A406" s="4" t="s">
        <v>1096</v>
      </c>
      <c r="B406" s="4" t="s">
        <v>1097</v>
      </c>
      <c r="C406" s="4" t="s">
        <v>801</v>
      </c>
      <c r="D406" s="4" t="s">
        <v>330</v>
      </c>
      <c r="E406" s="4" t="s">
        <v>326</v>
      </c>
      <c r="F406" s="13">
        <v>1</v>
      </c>
      <c r="G406" s="13">
        <v>1</v>
      </c>
      <c r="H406" s="4"/>
      <c r="I406" s="4" t="s">
        <v>1098</v>
      </c>
      <c r="J406" s="4"/>
      <c r="K406" s="4" t="s">
        <v>292</v>
      </c>
      <c r="L406" s="4" t="s">
        <v>1095</v>
      </c>
    </row>
    <row r="407" spans="1:12">
      <c r="A407" s="4" t="s">
        <v>1099</v>
      </c>
      <c r="B407" s="4" t="s">
        <v>1100</v>
      </c>
      <c r="C407" s="4" t="s">
        <v>801</v>
      </c>
      <c r="D407" s="4" t="s">
        <v>330</v>
      </c>
      <c r="E407" s="4" t="s">
        <v>326</v>
      </c>
      <c r="F407" s="13">
        <v>1</v>
      </c>
      <c r="G407" s="13">
        <v>1</v>
      </c>
      <c r="H407" s="4"/>
      <c r="I407" s="4"/>
      <c r="J407" s="4"/>
      <c r="K407" s="4" t="s">
        <v>292</v>
      </c>
      <c r="L407" s="4" t="s">
        <v>683</v>
      </c>
    </row>
    <row r="408" spans="1:12">
      <c r="A408" s="4" t="s">
        <v>1101</v>
      </c>
      <c r="B408" s="4" t="s">
        <v>1102</v>
      </c>
      <c r="C408" s="4" t="s">
        <v>801</v>
      </c>
      <c r="D408" s="4" t="s">
        <v>330</v>
      </c>
      <c r="E408" s="4" t="s">
        <v>326</v>
      </c>
      <c r="F408" s="13">
        <v>1</v>
      </c>
      <c r="G408" s="13">
        <v>1</v>
      </c>
      <c r="H408" s="4"/>
      <c r="I408" s="4"/>
      <c r="J408" s="4"/>
      <c r="K408" s="4" t="s">
        <v>292</v>
      </c>
      <c r="L408" s="4" t="s">
        <v>683</v>
      </c>
    </row>
    <row r="409" spans="1:12">
      <c r="A409" s="4" t="s">
        <v>1103</v>
      </c>
      <c r="B409" s="4" t="s">
        <v>1104</v>
      </c>
      <c r="C409" s="4" t="s">
        <v>801</v>
      </c>
      <c r="D409" s="4" t="s">
        <v>330</v>
      </c>
      <c r="E409" s="4" t="s">
        <v>326</v>
      </c>
      <c r="F409" s="13">
        <v>1</v>
      </c>
      <c r="G409" s="13">
        <v>1</v>
      </c>
      <c r="H409" s="4" t="s">
        <v>672</v>
      </c>
      <c r="I409" s="4"/>
      <c r="J409" s="4"/>
      <c r="K409" s="4" t="s">
        <v>292</v>
      </c>
      <c r="L409" s="4" t="s">
        <v>1105</v>
      </c>
    </row>
    <row r="410" spans="1:12">
      <c r="A410" s="4" t="s">
        <v>1106</v>
      </c>
      <c r="B410" s="4" t="s">
        <v>1107</v>
      </c>
      <c r="C410" s="4" t="s">
        <v>801</v>
      </c>
      <c r="D410" s="4" t="s">
        <v>330</v>
      </c>
      <c r="E410" s="4" t="s">
        <v>326</v>
      </c>
      <c r="F410" s="13">
        <v>1</v>
      </c>
      <c r="G410" s="13">
        <v>1</v>
      </c>
      <c r="H410" s="4"/>
      <c r="I410" s="4"/>
      <c r="J410" s="4"/>
      <c r="K410" s="4" t="s">
        <v>292</v>
      </c>
      <c r="L410" s="4" t="s">
        <v>683</v>
      </c>
    </row>
    <row r="411" spans="1:12">
      <c r="A411" s="4" t="s">
        <v>274</v>
      </c>
      <c r="B411" s="4" t="s">
        <v>1108</v>
      </c>
      <c r="C411" s="4" t="s">
        <v>801</v>
      </c>
      <c r="D411" s="4" t="s">
        <v>330</v>
      </c>
      <c r="E411" s="4" t="s">
        <v>326</v>
      </c>
      <c r="F411" s="13">
        <v>1</v>
      </c>
      <c r="G411" s="13">
        <v>1</v>
      </c>
      <c r="H411" s="4"/>
      <c r="I411" s="4"/>
      <c r="J411" s="4"/>
      <c r="K411" s="4" t="s">
        <v>292</v>
      </c>
      <c r="L411" s="4" t="s">
        <v>1105</v>
      </c>
    </row>
    <row r="412" spans="1:12">
      <c r="A412" s="4" t="s">
        <v>1109</v>
      </c>
      <c r="B412" s="4" t="s">
        <v>1110</v>
      </c>
      <c r="C412" s="4" t="s">
        <v>801</v>
      </c>
      <c r="D412" s="4" t="s">
        <v>330</v>
      </c>
      <c r="E412" s="4" t="s">
        <v>326</v>
      </c>
      <c r="F412" s="13">
        <v>1</v>
      </c>
      <c r="G412" s="13">
        <v>1</v>
      </c>
      <c r="H412" s="4"/>
      <c r="I412" s="4"/>
      <c r="J412" s="4"/>
      <c r="K412" s="4" t="s">
        <v>292</v>
      </c>
      <c r="L412" s="4" t="s">
        <v>1105</v>
      </c>
    </row>
    <row r="413" spans="1:12">
      <c r="A413" s="4" t="s">
        <v>1111</v>
      </c>
      <c r="B413" s="4" t="s">
        <v>1112</v>
      </c>
      <c r="C413" s="4" t="s">
        <v>801</v>
      </c>
      <c r="D413" s="4" t="s">
        <v>330</v>
      </c>
      <c r="E413" s="4" t="s">
        <v>326</v>
      </c>
      <c r="F413" s="13">
        <v>1</v>
      </c>
      <c r="G413" s="13">
        <v>1</v>
      </c>
      <c r="H413" s="4"/>
      <c r="I413" s="4"/>
      <c r="J413" s="4"/>
      <c r="K413" s="4" t="s">
        <v>292</v>
      </c>
      <c r="L413" s="4" t="s">
        <v>683</v>
      </c>
    </row>
    <row r="414" spans="1:12">
      <c r="A414" s="4" t="s">
        <v>1113</v>
      </c>
      <c r="B414" s="4" t="s">
        <v>1114</v>
      </c>
      <c r="C414" s="4" t="s">
        <v>801</v>
      </c>
      <c r="D414" s="4" t="s">
        <v>330</v>
      </c>
      <c r="E414" s="4" t="s">
        <v>326</v>
      </c>
      <c r="F414" s="13">
        <v>1</v>
      </c>
      <c r="G414" s="13">
        <v>1</v>
      </c>
      <c r="H414" s="4"/>
      <c r="I414" s="4"/>
      <c r="J414" s="4"/>
      <c r="K414" s="4" t="s">
        <v>292</v>
      </c>
      <c r="L414" s="4" t="s">
        <v>683</v>
      </c>
    </row>
    <row r="415" spans="1:12">
      <c r="A415" s="4" t="s">
        <v>1115</v>
      </c>
      <c r="B415" s="4" t="s">
        <v>1116</v>
      </c>
      <c r="C415" s="4" t="s">
        <v>801</v>
      </c>
      <c r="D415" s="4" t="s">
        <v>330</v>
      </c>
      <c r="E415" s="4" t="s">
        <v>326</v>
      </c>
      <c r="F415" s="13">
        <v>1</v>
      </c>
      <c r="G415" s="13">
        <v>1</v>
      </c>
      <c r="H415" s="4"/>
      <c r="I415" s="4"/>
      <c r="J415" s="4"/>
      <c r="K415" s="4" t="s">
        <v>292</v>
      </c>
      <c r="L415" s="4" t="s">
        <v>683</v>
      </c>
    </row>
    <row r="416" spans="1:12">
      <c r="A416" s="4" t="s">
        <v>1117</v>
      </c>
      <c r="B416" s="4" t="s">
        <v>1118</v>
      </c>
      <c r="C416" s="4" t="s">
        <v>801</v>
      </c>
      <c r="D416" s="4" t="s">
        <v>330</v>
      </c>
      <c r="E416" s="4" t="s">
        <v>326</v>
      </c>
      <c r="F416" s="13">
        <v>1</v>
      </c>
      <c r="G416" s="13">
        <v>1</v>
      </c>
      <c r="H416" s="4"/>
      <c r="I416" s="4"/>
      <c r="J416" s="4"/>
      <c r="K416" s="4" t="s">
        <v>292</v>
      </c>
      <c r="L416" s="4" t="s">
        <v>1105</v>
      </c>
    </row>
    <row r="417" spans="1:12">
      <c r="A417" s="4" t="s">
        <v>1119</v>
      </c>
      <c r="B417" s="4" t="s">
        <v>1120</v>
      </c>
      <c r="C417" s="4" t="s">
        <v>801</v>
      </c>
      <c r="D417" s="4" t="s">
        <v>330</v>
      </c>
      <c r="E417" s="4" t="s">
        <v>326</v>
      </c>
      <c r="F417" s="13">
        <v>1</v>
      </c>
      <c r="G417" s="13">
        <v>1</v>
      </c>
      <c r="H417" s="4"/>
      <c r="I417" s="4"/>
      <c r="J417" s="4"/>
      <c r="K417" s="4" t="s">
        <v>292</v>
      </c>
      <c r="L417" s="4" t="s">
        <v>683</v>
      </c>
    </row>
    <row r="418" spans="1:12">
      <c r="A418" s="4" t="s">
        <v>1121</v>
      </c>
      <c r="B418" s="4" t="s">
        <v>1122</v>
      </c>
      <c r="C418" s="4" t="s">
        <v>801</v>
      </c>
      <c r="D418" s="4" t="s">
        <v>330</v>
      </c>
      <c r="E418" s="4" t="s">
        <v>326</v>
      </c>
      <c r="F418" s="13">
        <v>1</v>
      </c>
      <c r="G418" s="13">
        <v>1</v>
      </c>
      <c r="H418" s="4"/>
      <c r="I418" s="4"/>
      <c r="J418" s="4"/>
      <c r="K418" s="4" t="s">
        <v>292</v>
      </c>
      <c r="L418" s="4" t="s">
        <v>683</v>
      </c>
    </row>
    <row r="419" spans="1:12">
      <c r="A419" s="4" t="s">
        <v>1123</v>
      </c>
      <c r="B419" s="4" t="s">
        <v>1124</v>
      </c>
      <c r="C419" s="4" t="s">
        <v>801</v>
      </c>
      <c r="D419" s="4" t="s">
        <v>330</v>
      </c>
      <c r="E419" s="4" t="s">
        <v>326</v>
      </c>
      <c r="F419" s="13">
        <v>1</v>
      </c>
      <c r="G419" s="13">
        <v>1</v>
      </c>
      <c r="H419" s="4" t="s">
        <v>698</v>
      </c>
      <c r="I419" s="4"/>
      <c r="J419" s="4"/>
      <c r="K419" s="4" t="s">
        <v>292</v>
      </c>
      <c r="L419" s="4" t="s">
        <v>1125</v>
      </c>
    </row>
    <row r="420" spans="1:12">
      <c r="A420" s="4" t="s">
        <v>276</v>
      </c>
      <c r="B420" s="4" t="s">
        <v>1126</v>
      </c>
      <c r="C420" s="4" t="s">
        <v>801</v>
      </c>
      <c r="D420" s="4" t="s">
        <v>330</v>
      </c>
      <c r="E420" s="4" t="s">
        <v>326</v>
      </c>
      <c r="F420" s="13">
        <v>1</v>
      </c>
      <c r="G420" s="13">
        <v>1</v>
      </c>
      <c r="H420" s="4" t="s">
        <v>688</v>
      </c>
      <c r="I420" s="4"/>
      <c r="J420" s="4"/>
      <c r="K420" s="4" t="s">
        <v>292</v>
      </c>
      <c r="L420" s="4" t="s">
        <v>683</v>
      </c>
    </row>
    <row r="421" spans="1:12">
      <c r="A421" s="4" t="s">
        <v>278</v>
      </c>
      <c r="B421" s="4" t="s">
        <v>1127</v>
      </c>
      <c r="C421" s="4" t="s">
        <v>801</v>
      </c>
      <c r="D421" s="4" t="s">
        <v>325</v>
      </c>
      <c r="E421" s="4" t="s">
        <v>326</v>
      </c>
      <c r="F421" s="13">
        <v>1</v>
      </c>
      <c r="G421" s="13">
        <v>2</v>
      </c>
      <c r="H421" s="4"/>
      <c r="I421" s="4"/>
      <c r="J421" s="4"/>
      <c r="K421" s="4"/>
      <c r="L421" s="4"/>
    </row>
    <row r="422" spans="1:12">
      <c r="A422" s="4" t="s">
        <v>280</v>
      </c>
      <c r="B422" s="4" t="s">
        <v>7</v>
      </c>
      <c r="C422" s="4" t="s">
        <v>801</v>
      </c>
      <c r="D422" s="4" t="s">
        <v>330</v>
      </c>
      <c r="E422" s="4" t="s">
        <v>326</v>
      </c>
      <c r="F422" s="13">
        <v>1</v>
      </c>
      <c r="G422" s="13">
        <v>1</v>
      </c>
      <c r="H422" s="4"/>
      <c r="I422" s="4"/>
      <c r="J422" s="4"/>
      <c r="K422" s="4" t="s">
        <v>284</v>
      </c>
      <c r="L422" s="4" t="s">
        <v>683</v>
      </c>
    </row>
    <row r="423" spans="1:12">
      <c r="A423" s="4" t="s">
        <v>1128</v>
      </c>
      <c r="B423" s="4" t="s">
        <v>1129</v>
      </c>
      <c r="C423" s="4" t="s">
        <v>801</v>
      </c>
      <c r="D423" s="4" t="s">
        <v>330</v>
      </c>
      <c r="E423" s="4" t="s">
        <v>326</v>
      </c>
      <c r="F423" s="13">
        <v>1</v>
      </c>
      <c r="G423" s="13">
        <v>1</v>
      </c>
      <c r="H423" s="4"/>
      <c r="I423" s="4"/>
      <c r="J423" s="4"/>
      <c r="K423" s="4" t="s">
        <v>284</v>
      </c>
      <c r="L423" s="4" t="s">
        <v>683</v>
      </c>
    </row>
    <row r="424" spans="1:12">
      <c r="A424" s="4" t="s">
        <v>1130</v>
      </c>
      <c r="B424" s="4" t="s">
        <v>1131</v>
      </c>
      <c r="C424" s="4" t="s">
        <v>801</v>
      </c>
      <c r="D424" s="4" t="s">
        <v>330</v>
      </c>
      <c r="E424" s="4" t="s">
        <v>326</v>
      </c>
      <c r="F424" s="13">
        <v>1</v>
      </c>
      <c r="G424" s="13">
        <v>1</v>
      </c>
      <c r="H424" s="4"/>
      <c r="I424" s="4"/>
      <c r="J424" s="4"/>
      <c r="K424" s="4" t="s">
        <v>284</v>
      </c>
      <c r="L424" s="4" t="s">
        <v>683</v>
      </c>
    </row>
    <row r="425" spans="1:12">
      <c r="A425" s="4" t="s">
        <v>1132</v>
      </c>
      <c r="B425" s="4" t="s">
        <v>1133</v>
      </c>
      <c r="C425" s="4" t="s">
        <v>324</v>
      </c>
      <c r="D425" s="4" t="s">
        <v>330</v>
      </c>
      <c r="E425" s="4" t="s">
        <v>326</v>
      </c>
      <c r="F425" s="13">
        <v>1</v>
      </c>
      <c r="G425" s="13">
        <v>1</v>
      </c>
      <c r="H425" s="4"/>
      <c r="I425" s="4"/>
      <c r="J425" s="4"/>
      <c r="K425" s="4" t="s">
        <v>284</v>
      </c>
      <c r="L425" s="4" t="s">
        <v>683</v>
      </c>
    </row>
    <row r="426" spans="1:12">
      <c r="A426" s="4" t="s">
        <v>1134</v>
      </c>
      <c r="B426" s="4" t="s">
        <v>1135</v>
      </c>
      <c r="C426" s="4" t="s">
        <v>801</v>
      </c>
      <c r="D426" s="4" t="s">
        <v>330</v>
      </c>
      <c r="E426" s="4" t="s">
        <v>326</v>
      </c>
      <c r="F426" s="13">
        <v>1</v>
      </c>
      <c r="G426" s="13">
        <v>1</v>
      </c>
      <c r="H426" s="4"/>
      <c r="I426" s="4"/>
      <c r="J426" s="4"/>
      <c r="K426" s="4" t="s">
        <v>284</v>
      </c>
      <c r="L426" s="4" t="s">
        <v>683</v>
      </c>
    </row>
    <row r="427" spans="1:12">
      <c r="A427" s="4" t="s">
        <v>1136</v>
      </c>
      <c r="B427" s="4" t="s">
        <v>1137</v>
      </c>
      <c r="C427" s="4" t="s">
        <v>801</v>
      </c>
      <c r="D427" s="4" t="s">
        <v>330</v>
      </c>
      <c r="E427" s="4" t="s">
        <v>326</v>
      </c>
      <c r="F427" s="13">
        <v>1</v>
      </c>
      <c r="G427" s="13">
        <v>1</v>
      </c>
      <c r="H427" s="4"/>
      <c r="I427" s="4"/>
      <c r="J427" s="4"/>
      <c r="K427" s="4" t="s">
        <v>284</v>
      </c>
      <c r="L427" s="4" t="s">
        <v>683</v>
      </c>
    </row>
    <row r="428" spans="1:12">
      <c r="A428" s="4" t="s">
        <v>1138</v>
      </c>
      <c r="B428" s="4" t="s">
        <v>1139</v>
      </c>
      <c r="C428" s="4" t="s">
        <v>801</v>
      </c>
      <c r="D428" s="4" t="s">
        <v>330</v>
      </c>
      <c r="E428" s="4" t="s">
        <v>326</v>
      </c>
      <c r="F428" s="13">
        <v>1</v>
      </c>
      <c r="G428" s="13">
        <v>1</v>
      </c>
      <c r="H428" s="4"/>
      <c r="I428" s="4"/>
      <c r="J428" s="4"/>
      <c r="K428" s="4" t="s">
        <v>284</v>
      </c>
      <c r="L428" s="4" t="s">
        <v>683</v>
      </c>
    </row>
    <row r="429" spans="1:12">
      <c r="A429" s="4" t="s">
        <v>1140</v>
      </c>
      <c r="B429" s="4" t="s">
        <v>1141</v>
      </c>
      <c r="C429" s="4" t="s">
        <v>801</v>
      </c>
      <c r="D429" s="4" t="s">
        <v>330</v>
      </c>
      <c r="E429" s="4" t="s">
        <v>326</v>
      </c>
      <c r="F429" s="13">
        <v>1</v>
      </c>
      <c r="G429" s="13">
        <v>1</v>
      </c>
      <c r="H429" s="4"/>
      <c r="I429" s="4"/>
      <c r="J429" s="4"/>
      <c r="K429" s="4" t="s">
        <v>284</v>
      </c>
      <c r="L429" s="4" t="s">
        <v>683</v>
      </c>
    </row>
    <row r="430" spans="1:12">
      <c r="A430" s="4" t="s">
        <v>1142</v>
      </c>
      <c r="B430" s="4" t="s">
        <v>1143</v>
      </c>
      <c r="C430" s="4" t="s">
        <v>801</v>
      </c>
      <c r="D430" s="4" t="s">
        <v>330</v>
      </c>
      <c r="E430" s="4" t="s">
        <v>326</v>
      </c>
      <c r="F430" s="13">
        <v>1</v>
      </c>
      <c r="G430" s="13">
        <v>1</v>
      </c>
      <c r="H430" s="4"/>
      <c r="I430" s="4"/>
      <c r="J430" s="4"/>
      <c r="K430" s="4" t="s">
        <v>284</v>
      </c>
      <c r="L430" s="4" t="s">
        <v>683</v>
      </c>
    </row>
    <row r="431" spans="1:12">
      <c r="A431" s="4" t="s">
        <v>1144</v>
      </c>
      <c r="B431" s="4" t="s">
        <v>1145</v>
      </c>
      <c r="C431" s="4" t="s">
        <v>801</v>
      </c>
      <c r="D431" s="4" t="s">
        <v>330</v>
      </c>
      <c r="E431" s="4" t="s">
        <v>326</v>
      </c>
      <c r="F431" s="13">
        <v>1</v>
      </c>
      <c r="G431" s="13">
        <v>1</v>
      </c>
      <c r="H431" s="4"/>
      <c r="I431" s="4"/>
      <c r="J431" s="4"/>
      <c r="K431" s="4" t="s">
        <v>284</v>
      </c>
      <c r="L431" s="4" t="s">
        <v>683</v>
      </c>
    </row>
    <row r="432" spans="1:12">
      <c r="A432" s="4" t="s">
        <v>1146</v>
      </c>
      <c r="B432" s="4" t="s">
        <v>1147</v>
      </c>
      <c r="C432" s="4" t="s">
        <v>801</v>
      </c>
      <c r="D432" s="4" t="s">
        <v>330</v>
      </c>
      <c r="E432" s="4" t="s">
        <v>326</v>
      </c>
      <c r="F432" s="13">
        <v>1</v>
      </c>
      <c r="G432" s="13">
        <v>1</v>
      </c>
      <c r="H432" s="4"/>
      <c r="I432" s="4"/>
      <c r="J432" s="4"/>
      <c r="K432" s="4" t="s">
        <v>284</v>
      </c>
      <c r="L432" s="4" t="s">
        <v>683</v>
      </c>
    </row>
    <row r="433" spans="1:12">
      <c r="A433" s="4" t="s">
        <v>1148</v>
      </c>
      <c r="B433" s="4" t="s">
        <v>1149</v>
      </c>
      <c r="C433" s="4" t="s">
        <v>801</v>
      </c>
      <c r="D433" s="4" t="s">
        <v>330</v>
      </c>
      <c r="E433" s="4" t="s">
        <v>326</v>
      </c>
      <c r="F433" s="13">
        <v>1</v>
      </c>
      <c r="G433" s="13">
        <v>1</v>
      </c>
      <c r="H433" s="4"/>
      <c r="I433" s="4"/>
      <c r="J433" s="4"/>
      <c r="K433" s="4" t="s">
        <v>284</v>
      </c>
      <c r="L433" s="4" t="s">
        <v>683</v>
      </c>
    </row>
    <row r="434" spans="1:12">
      <c r="A434" s="4" t="s">
        <v>1150</v>
      </c>
      <c r="B434" s="4" t="s">
        <v>1151</v>
      </c>
      <c r="C434" s="4" t="s">
        <v>801</v>
      </c>
      <c r="D434" s="4" t="s">
        <v>330</v>
      </c>
      <c r="E434" s="4" t="s">
        <v>326</v>
      </c>
      <c r="F434" s="13">
        <v>1</v>
      </c>
      <c r="G434" s="13">
        <v>1</v>
      </c>
      <c r="H434" s="4"/>
      <c r="I434" s="4"/>
      <c r="J434" s="4"/>
      <c r="K434" s="4" t="s">
        <v>284</v>
      </c>
      <c r="L434" s="4" t="s">
        <v>683</v>
      </c>
    </row>
    <row r="435" spans="1:12">
      <c r="A435" s="4" t="s">
        <v>1152</v>
      </c>
      <c r="B435" s="4" t="s">
        <v>1153</v>
      </c>
      <c r="C435" s="4" t="s">
        <v>801</v>
      </c>
      <c r="D435" s="4" t="s">
        <v>330</v>
      </c>
      <c r="E435" s="4" t="s">
        <v>326</v>
      </c>
      <c r="F435" s="13">
        <v>1</v>
      </c>
      <c r="G435" s="13">
        <v>1</v>
      </c>
      <c r="H435" s="4"/>
      <c r="I435" s="4"/>
      <c r="J435" s="4"/>
      <c r="K435" s="4" t="s">
        <v>284</v>
      </c>
      <c r="L435" s="4" t="s">
        <v>683</v>
      </c>
    </row>
    <row r="436" spans="1:12">
      <c r="A436" s="4" t="s">
        <v>1154</v>
      </c>
      <c r="B436" s="4" t="s">
        <v>1155</v>
      </c>
      <c r="C436" s="4" t="s">
        <v>801</v>
      </c>
      <c r="D436" s="4" t="s">
        <v>330</v>
      </c>
      <c r="E436" s="4" t="s">
        <v>326</v>
      </c>
      <c r="F436" s="13">
        <v>1</v>
      </c>
      <c r="G436" s="13">
        <v>1</v>
      </c>
      <c r="H436" s="4"/>
      <c r="I436" s="4"/>
      <c r="J436" s="4"/>
      <c r="K436" s="4" t="s">
        <v>284</v>
      </c>
      <c r="L436" s="4" t="s">
        <v>683</v>
      </c>
    </row>
    <row r="437" spans="1:12">
      <c r="A437" s="4" t="s">
        <v>1156</v>
      </c>
      <c r="B437" s="4" t="s">
        <v>1157</v>
      </c>
      <c r="C437" s="4" t="s">
        <v>801</v>
      </c>
      <c r="D437" s="4" t="s">
        <v>330</v>
      </c>
      <c r="E437" s="4" t="s">
        <v>326</v>
      </c>
      <c r="F437" s="13">
        <v>1</v>
      </c>
      <c r="G437" s="13">
        <v>1</v>
      </c>
      <c r="H437" s="4"/>
      <c r="I437" s="4"/>
      <c r="J437" s="4"/>
      <c r="K437" s="4" t="s">
        <v>284</v>
      </c>
      <c r="L437" s="4" t="s">
        <v>683</v>
      </c>
    </row>
    <row r="438" spans="1:12">
      <c r="A438" s="4" t="s">
        <v>1158</v>
      </c>
      <c r="B438" s="4" t="s">
        <v>1159</v>
      </c>
      <c r="C438" s="4" t="s">
        <v>801</v>
      </c>
      <c r="D438" s="4" t="s">
        <v>330</v>
      </c>
      <c r="E438" s="4" t="s">
        <v>326</v>
      </c>
      <c r="F438" s="13">
        <v>1</v>
      </c>
      <c r="G438" s="13">
        <v>1</v>
      </c>
      <c r="H438" s="4"/>
      <c r="I438" s="4"/>
      <c r="J438" s="4"/>
      <c r="K438" s="4" t="s">
        <v>284</v>
      </c>
      <c r="L438" s="4" t="s">
        <v>683</v>
      </c>
    </row>
    <row r="439" spans="1:12">
      <c r="A439" s="4" t="s">
        <v>1160</v>
      </c>
      <c r="B439" s="4" t="s">
        <v>1161</v>
      </c>
      <c r="C439" s="4" t="s">
        <v>801</v>
      </c>
      <c r="D439" s="4" t="s">
        <v>330</v>
      </c>
      <c r="E439" s="4" t="s">
        <v>326</v>
      </c>
      <c r="F439" s="13">
        <v>1</v>
      </c>
      <c r="G439" s="13">
        <v>1</v>
      </c>
      <c r="H439" s="4"/>
      <c r="I439" s="4"/>
      <c r="J439" s="4"/>
      <c r="K439" s="4" t="s">
        <v>284</v>
      </c>
      <c r="L439" s="4" t="s">
        <v>683</v>
      </c>
    </row>
    <row r="440" spans="1:12">
      <c r="A440" s="4" t="s">
        <v>1162</v>
      </c>
      <c r="B440" s="4" t="s">
        <v>1163</v>
      </c>
      <c r="C440" s="4" t="s">
        <v>801</v>
      </c>
      <c r="D440" s="4" t="s">
        <v>330</v>
      </c>
      <c r="E440" s="4" t="s">
        <v>326</v>
      </c>
      <c r="F440" s="13">
        <v>1</v>
      </c>
      <c r="G440" s="13">
        <v>1</v>
      </c>
      <c r="H440" s="4"/>
      <c r="I440" s="4"/>
      <c r="J440" s="4"/>
      <c r="K440" s="4" t="s">
        <v>284</v>
      </c>
      <c r="L440" s="4" t="s">
        <v>683</v>
      </c>
    </row>
    <row r="441" spans="1:12">
      <c r="A441" s="4" t="s">
        <v>1164</v>
      </c>
      <c r="B441" s="4" t="s">
        <v>1165</v>
      </c>
      <c r="C441" s="4" t="s">
        <v>801</v>
      </c>
      <c r="D441" s="4" t="s">
        <v>330</v>
      </c>
      <c r="E441" s="4" t="s">
        <v>326</v>
      </c>
      <c r="F441" s="13">
        <v>1</v>
      </c>
      <c r="G441" s="13">
        <v>1</v>
      </c>
      <c r="H441" s="4"/>
      <c r="I441" s="4"/>
      <c r="J441" s="4"/>
      <c r="K441" s="4" t="s">
        <v>284</v>
      </c>
      <c r="L441" s="4" t="s">
        <v>683</v>
      </c>
    </row>
    <row r="442" spans="1:12">
      <c r="A442" s="4" t="s">
        <v>1166</v>
      </c>
      <c r="B442" s="4" t="s">
        <v>1167</v>
      </c>
      <c r="C442" s="4" t="s">
        <v>801</v>
      </c>
      <c r="D442" s="4" t="s">
        <v>330</v>
      </c>
      <c r="E442" s="4" t="s">
        <v>326</v>
      </c>
      <c r="F442" s="13">
        <v>1</v>
      </c>
      <c r="G442" s="13">
        <v>1</v>
      </c>
      <c r="H442" s="4"/>
      <c r="I442" s="4"/>
      <c r="J442" s="4"/>
      <c r="K442" s="4" t="s">
        <v>284</v>
      </c>
      <c r="L442" s="4" t="s">
        <v>683</v>
      </c>
    </row>
    <row r="443" spans="1:12">
      <c r="A443" s="4" t="s">
        <v>1168</v>
      </c>
      <c r="B443" s="4" t="s">
        <v>1169</v>
      </c>
      <c r="C443" s="4" t="s">
        <v>801</v>
      </c>
      <c r="D443" s="4" t="s">
        <v>330</v>
      </c>
      <c r="E443" s="4" t="s">
        <v>326</v>
      </c>
      <c r="F443" s="13">
        <v>1</v>
      </c>
      <c r="G443" s="13">
        <v>1</v>
      </c>
      <c r="H443" s="4"/>
      <c r="I443" s="4"/>
      <c r="J443" s="4"/>
      <c r="K443" s="4" t="s">
        <v>284</v>
      </c>
      <c r="L443" s="4" t="s">
        <v>683</v>
      </c>
    </row>
    <row r="444" spans="1:12">
      <c r="A444" s="4" t="s">
        <v>1170</v>
      </c>
      <c r="B444" s="4" t="s">
        <v>1171</v>
      </c>
      <c r="C444" s="4" t="s">
        <v>801</v>
      </c>
      <c r="D444" s="4" t="s">
        <v>330</v>
      </c>
      <c r="E444" s="4" t="s">
        <v>326</v>
      </c>
      <c r="F444" s="13">
        <v>1</v>
      </c>
      <c r="G444" s="13">
        <v>1</v>
      </c>
      <c r="H444" s="4"/>
      <c r="I444" s="4"/>
      <c r="J444" s="4"/>
      <c r="K444" s="4" t="s">
        <v>284</v>
      </c>
      <c r="L444" s="4" t="s">
        <v>683</v>
      </c>
    </row>
    <row r="445" spans="1:12">
      <c r="A445" s="4" t="s">
        <v>1172</v>
      </c>
      <c r="B445" s="4" t="s">
        <v>1173</v>
      </c>
      <c r="C445" s="4" t="s">
        <v>801</v>
      </c>
      <c r="D445" s="4" t="s">
        <v>330</v>
      </c>
      <c r="E445" s="4" t="s">
        <v>326</v>
      </c>
      <c r="F445" s="13">
        <v>1</v>
      </c>
      <c r="G445" s="13">
        <v>1</v>
      </c>
      <c r="H445" s="4"/>
      <c r="I445" s="4"/>
      <c r="J445" s="4"/>
      <c r="K445" s="4" t="s">
        <v>284</v>
      </c>
      <c r="L445" s="4" t="s">
        <v>683</v>
      </c>
    </row>
    <row r="446" spans="1:12">
      <c r="A446" s="4" t="s">
        <v>1174</v>
      </c>
      <c r="B446" s="4" t="s">
        <v>1175</v>
      </c>
      <c r="C446" s="4" t="s">
        <v>801</v>
      </c>
      <c r="D446" s="4" t="s">
        <v>330</v>
      </c>
      <c r="E446" s="4" t="s">
        <v>326</v>
      </c>
      <c r="F446" s="13">
        <v>1</v>
      </c>
      <c r="G446" s="13">
        <v>1</v>
      </c>
      <c r="H446" s="4"/>
      <c r="I446" s="4"/>
      <c r="J446" s="4"/>
      <c r="K446" s="4" t="s">
        <v>284</v>
      </c>
      <c r="L446" s="4" t="s">
        <v>683</v>
      </c>
    </row>
    <row r="447" spans="1:12">
      <c r="A447" s="4" t="s">
        <v>1176</v>
      </c>
      <c r="B447" s="4" t="s">
        <v>1177</v>
      </c>
      <c r="C447" s="4" t="s">
        <v>801</v>
      </c>
      <c r="D447" s="4" t="s">
        <v>330</v>
      </c>
      <c r="E447" s="4" t="s">
        <v>326</v>
      </c>
      <c r="F447" s="13">
        <v>1</v>
      </c>
      <c r="G447" s="13">
        <v>1</v>
      </c>
      <c r="H447" s="4"/>
      <c r="I447" s="4"/>
      <c r="J447" s="4"/>
      <c r="K447" s="4" t="s">
        <v>284</v>
      </c>
      <c r="L447" s="4" t="s">
        <v>683</v>
      </c>
    </row>
    <row r="448" spans="1:12">
      <c r="A448" s="4" t="s">
        <v>1178</v>
      </c>
      <c r="B448" s="4" t="s">
        <v>1179</v>
      </c>
      <c r="C448" s="4" t="s">
        <v>801</v>
      </c>
      <c r="D448" s="4" t="s">
        <v>330</v>
      </c>
      <c r="E448" s="4" t="s">
        <v>326</v>
      </c>
      <c r="F448" s="13">
        <v>1</v>
      </c>
      <c r="G448" s="13">
        <v>1</v>
      </c>
      <c r="H448" s="4"/>
      <c r="I448" s="4"/>
      <c r="J448" s="4"/>
      <c r="K448" s="4" t="s">
        <v>284</v>
      </c>
      <c r="L448" s="4" t="s">
        <v>683</v>
      </c>
    </row>
    <row r="449" spans="1:12">
      <c r="A449" s="4" t="s">
        <v>1180</v>
      </c>
      <c r="B449" s="4" t="s">
        <v>1181</v>
      </c>
      <c r="C449" s="4" t="s">
        <v>801</v>
      </c>
      <c r="D449" s="4" t="s">
        <v>330</v>
      </c>
      <c r="E449" s="4" t="s">
        <v>326</v>
      </c>
      <c r="F449" s="13">
        <v>1</v>
      </c>
      <c r="G449" s="13">
        <v>1</v>
      </c>
      <c r="H449" s="4"/>
      <c r="I449" s="4"/>
      <c r="J449" s="4"/>
      <c r="K449" s="4" t="s">
        <v>284</v>
      </c>
      <c r="L449" s="4" t="s">
        <v>683</v>
      </c>
    </row>
    <row r="450" spans="1:12">
      <c r="A450" s="4" t="s">
        <v>1182</v>
      </c>
      <c r="B450" s="4" t="s">
        <v>1183</v>
      </c>
      <c r="C450" s="4" t="s">
        <v>801</v>
      </c>
      <c r="D450" s="4" t="s">
        <v>330</v>
      </c>
      <c r="E450" s="4" t="s">
        <v>326</v>
      </c>
      <c r="F450" s="13">
        <v>1</v>
      </c>
      <c r="G450" s="13">
        <v>1</v>
      </c>
      <c r="H450" s="4"/>
      <c r="I450" s="4"/>
      <c r="J450" s="4"/>
      <c r="K450" s="4" t="s">
        <v>292</v>
      </c>
      <c r="L450" s="4" t="s">
        <v>683</v>
      </c>
    </row>
    <row r="451" spans="1:12">
      <c r="A451" s="4" t="s">
        <v>282</v>
      </c>
      <c r="B451" s="4" t="s">
        <v>8</v>
      </c>
      <c r="C451" s="4" t="s">
        <v>801</v>
      </c>
      <c r="D451" s="4" t="s">
        <v>330</v>
      </c>
      <c r="E451" s="4" t="s">
        <v>326</v>
      </c>
      <c r="F451" s="13">
        <v>1</v>
      </c>
      <c r="G451" s="13">
        <v>1</v>
      </c>
      <c r="H451" s="4"/>
      <c r="I451" s="4"/>
      <c r="J451" s="4"/>
      <c r="K451" s="4" t="s">
        <v>284</v>
      </c>
      <c r="L451" s="4" t="s">
        <v>683</v>
      </c>
    </row>
    <row r="452" spans="1:12">
      <c r="A452" s="4" t="s">
        <v>1184</v>
      </c>
      <c r="B452" s="4" t="s">
        <v>1185</v>
      </c>
      <c r="C452" s="4" t="s">
        <v>801</v>
      </c>
      <c r="D452" s="4" t="s">
        <v>330</v>
      </c>
      <c r="E452" s="4" t="s">
        <v>326</v>
      </c>
      <c r="F452" s="13">
        <v>1</v>
      </c>
      <c r="G452" s="13">
        <v>1</v>
      </c>
      <c r="H452" s="4"/>
      <c r="I452" s="4"/>
      <c r="J452" s="4"/>
      <c r="K452" s="4" t="s">
        <v>284</v>
      </c>
      <c r="L452" s="4" t="s">
        <v>683</v>
      </c>
    </row>
    <row r="453" spans="1:12">
      <c r="A453" s="4" t="s">
        <v>1186</v>
      </c>
      <c r="B453" s="4" t="s">
        <v>1187</v>
      </c>
      <c r="C453" s="4" t="s">
        <v>801</v>
      </c>
      <c r="D453" s="4" t="s">
        <v>330</v>
      </c>
      <c r="E453" s="4" t="s">
        <v>326</v>
      </c>
      <c r="F453" s="13">
        <v>1</v>
      </c>
      <c r="G453" s="13">
        <v>1</v>
      </c>
      <c r="H453" s="4"/>
      <c r="I453" s="4"/>
      <c r="J453" s="4"/>
      <c r="K453" s="4" t="s">
        <v>284</v>
      </c>
      <c r="L453" s="4" t="s">
        <v>683</v>
      </c>
    </row>
    <row r="454" spans="1:12">
      <c r="A454" s="4" t="s">
        <v>1188</v>
      </c>
      <c r="B454" s="4" t="s">
        <v>1189</v>
      </c>
      <c r="C454" s="4" t="s">
        <v>801</v>
      </c>
      <c r="D454" s="4" t="s">
        <v>330</v>
      </c>
      <c r="E454" s="4" t="s">
        <v>326</v>
      </c>
      <c r="F454" s="13">
        <v>1</v>
      </c>
      <c r="G454" s="13">
        <v>1</v>
      </c>
      <c r="H454" s="4"/>
      <c r="I454" s="4"/>
      <c r="J454" s="4"/>
      <c r="K454" s="4" t="s">
        <v>284</v>
      </c>
      <c r="L454" s="4" t="s">
        <v>683</v>
      </c>
    </row>
    <row r="455" spans="1:12">
      <c r="A455" s="4" t="s">
        <v>1190</v>
      </c>
      <c r="B455" s="4" t="s">
        <v>1191</v>
      </c>
      <c r="C455" s="4" t="s">
        <v>801</v>
      </c>
      <c r="D455" s="4" t="s">
        <v>330</v>
      </c>
      <c r="E455" s="4" t="s">
        <v>326</v>
      </c>
      <c r="F455" s="13">
        <v>1</v>
      </c>
      <c r="G455" s="13">
        <v>1</v>
      </c>
      <c r="H455" s="4"/>
      <c r="I455" s="4"/>
      <c r="J455" s="4"/>
      <c r="K455" s="4" t="s">
        <v>284</v>
      </c>
      <c r="L455" s="4" t="s">
        <v>683</v>
      </c>
    </row>
    <row r="456" spans="1:12">
      <c r="A456" s="4" t="s">
        <v>1192</v>
      </c>
      <c r="B456" s="4" t="s">
        <v>1193</v>
      </c>
      <c r="C456" s="4" t="s">
        <v>801</v>
      </c>
      <c r="D456" s="4" t="s">
        <v>330</v>
      </c>
      <c r="E456" s="4" t="s">
        <v>326</v>
      </c>
      <c r="F456" s="13">
        <v>1</v>
      </c>
      <c r="G456" s="13">
        <v>1</v>
      </c>
      <c r="H456" s="4"/>
      <c r="I456" s="4"/>
      <c r="J456" s="4"/>
      <c r="K456" s="4" t="s">
        <v>284</v>
      </c>
      <c r="L456" s="4" t="s">
        <v>683</v>
      </c>
    </row>
    <row r="457" spans="1:12">
      <c r="A457" s="4" t="s">
        <v>1194</v>
      </c>
      <c r="B457" s="4" t="s">
        <v>1195</v>
      </c>
      <c r="C457" s="4" t="s">
        <v>801</v>
      </c>
      <c r="D457" s="4" t="s">
        <v>330</v>
      </c>
      <c r="E457" s="4" t="s">
        <v>326</v>
      </c>
      <c r="F457" s="13">
        <v>1</v>
      </c>
      <c r="G457" s="13">
        <v>1</v>
      </c>
      <c r="H457" s="4"/>
      <c r="I457" s="4"/>
      <c r="J457" s="4"/>
      <c r="K457" s="4" t="s">
        <v>284</v>
      </c>
      <c r="L457" s="4" t="s">
        <v>683</v>
      </c>
    </row>
    <row r="458" spans="1:12">
      <c r="A458" s="4" t="s">
        <v>1196</v>
      </c>
      <c r="B458" s="4" t="s">
        <v>1197</v>
      </c>
      <c r="C458" s="4" t="s">
        <v>801</v>
      </c>
      <c r="D458" s="4" t="s">
        <v>330</v>
      </c>
      <c r="E458" s="4" t="s">
        <v>326</v>
      </c>
      <c r="F458" s="13">
        <v>1</v>
      </c>
      <c r="G458" s="13">
        <v>1</v>
      </c>
      <c r="H458" s="4"/>
      <c r="I458" s="4"/>
      <c r="J458" s="4"/>
      <c r="K458" s="4" t="s">
        <v>284</v>
      </c>
      <c r="L458" s="4" t="s">
        <v>683</v>
      </c>
    </row>
    <row r="459" spans="1:12">
      <c r="A459" s="4" t="s">
        <v>1198</v>
      </c>
      <c r="B459" s="4" t="s">
        <v>1199</v>
      </c>
      <c r="C459" s="4" t="s">
        <v>801</v>
      </c>
      <c r="D459" s="4" t="s">
        <v>330</v>
      </c>
      <c r="E459" s="4" t="s">
        <v>326</v>
      </c>
      <c r="F459" s="13">
        <v>1</v>
      </c>
      <c r="G459" s="13">
        <v>1</v>
      </c>
      <c r="H459" s="4"/>
      <c r="I459" s="4"/>
      <c r="J459" s="4"/>
      <c r="K459" s="4" t="s">
        <v>284</v>
      </c>
      <c r="L459" s="4" t="s">
        <v>683</v>
      </c>
    </row>
    <row r="460" spans="1:12">
      <c r="A460" s="4" t="s">
        <v>1200</v>
      </c>
      <c r="B460" s="4" t="s">
        <v>1201</v>
      </c>
      <c r="C460" s="4" t="s">
        <v>801</v>
      </c>
      <c r="D460" s="4" t="s">
        <v>330</v>
      </c>
      <c r="E460" s="4" t="s">
        <v>326</v>
      </c>
      <c r="F460" s="13">
        <v>1</v>
      </c>
      <c r="G460" s="13">
        <v>1</v>
      </c>
      <c r="H460" s="4"/>
      <c r="I460" s="4"/>
      <c r="J460" s="4"/>
      <c r="K460" s="4" t="s">
        <v>284</v>
      </c>
      <c r="L460" s="4" t="s">
        <v>683</v>
      </c>
    </row>
    <row r="461" spans="1:12">
      <c r="A461" s="4" t="s">
        <v>284</v>
      </c>
      <c r="B461" s="4" t="s">
        <v>1202</v>
      </c>
      <c r="C461" s="4" t="s">
        <v>801</v>
      </c>
      <c r="D461" s="4" t="s">
        <v>702</v>
      </c>
      <c r="E461" s="4" t="s">
        <v>326</v>
      </c>
      <c r="F461" s="13">
        <v>2</v>
      </c>
      <c r="G461" s="13">
        <v>1</v>
      </c>
      <c r="H461" s="4"/>
      <c r="I461" s="4"/>
      <c r="J461" s="4"/>
      <c r="K461" s="4" t="s">
        <v>292</v>
      </c>
      <c r="L461" s="4"/>
    </row>
    <row r="462" spans="1:12">
      <c r="A462" s="4" t="s">
        <v>286</v>
      </c>
      <c r="B462" s="4" t="s">
        <v>9</v>
      </c>
      <c r="C462" s="4" t="s">
        <v>801</v>
      </c>
      <c r="D462" s="4" t="s">
        <v>330</v>
      </c>
      <c r="E462" s="4" t="s">
        <v>326</v>
      </c>
      <c r="F462" s="13">
        <v>1</v>
      </c>
      <c r="G462" s="13">
        <v>1</v>
      </c>
      <c r="H462" s="4"/>
      <c r="I462" s="4"/>
      <c r="J462" s="4"/>
      <c r="K462" s="4" t="s">
        <v>292</v>
      </c>
      <c r="L462" s="4" t="s">
        <v>683</v>
      </c>
    </row>
    <row r="463" spans="1:12">
      <c r="A463" s="4" t="s">
        <v>1203</v>
      </c>
      <c r="B463" s="4" t="s">
        <v>1204</v>
      </c>
      <c r="C463" s="4" t="s">
        <v>324</v>
      </c>
      <c r="D463" s="4" t="s">
        <v>330</v>
      </c>
      <c r="E463" s="4" t="s">
        <v>326</v>
      </c>
      <c r="F463" s="13">
        <v>1</v>
      </c>
      <c r="G463" s="13">
        <v>1</v>
      </c>
      <c r="H463" s="4"/>
      <c r="I463" s="4"/>
      <c r="J463" s="4"/>
      <c r="K463" s="4" t="s">
        <v>292</v>
      </c>
      <c r="L463" s="4"/>
    </row>
    <row r="464" spans="1:12">
      <c r="A464" s="4" t="s">
        <v>1205</v>
      </c>
      <c r="B464" s="4" t="s">
        <v>1206</v>
      </c>
      <c r="C464" s="4" t="s">
        <v>324</v>
      </c>
      <c r="D464" s="4" t="s">
        <v>330</v>
      </c>
      <c r="E464" s="4" t="s">
        <v>326</v>
      </c>
      <c r="F464" s="13">
        <v>1</v>
      </c>
      <c r="G464" s="13">
        <v>1</v>
      </c>
      <c r="H464" s="4"/>
      <c r="I464" s="4"/>
      <c r="J464" s="4"/>
      <c r="K464" s="4" t="s">
        <v>292</v>
      </c>
      <c r="L464" s="4"/>
    </row>
    <row r="465" spans="1:12">
      <c r="A465" s="4" t="s">
        <v>1207</v>
      </c>
      <c r="B465" s="4" t="s">
        <v>1208</v>
      </c>
      <c r="C465" s="4" t="s">
        <v>801</v>
      </c>
      <c r="D465" s="4" t="s">
        <v>330</v>
      </c>
      <c r="E465" s="4" t="s">
        <v>326</v>
      </c>
      <c r="F465" s="13">
        <v>1</v>
      </c>
      <c r="G465" s="13">
        <v>1</v>
      </c>
      <c r="H465" s="4"/>
      <c r="I465" s="4"/>
      <c r="J465" s="4"/>
      <c r="K465" s="4" t="s">
        <v>292</v>
      </c>
      <c r="L465" s="4" t="s">
        <v>683</v>
      </c>
    </row>
    <row r="466" spans="1:12">
      <c r="A466" s="4" t="s">
        <v>1209</v>
      </c>
      <c r="B466" s="4" t="s">
        <v>1210</v>
      </c>
      <c r="C466" s="4" t="s">
        <v>801</v>
      </c>
      <c r="D466" s="4" t="s">
        <v>330</v>
      </c>
      <c r="E466" s="4" t="s">
        <v>326</v>
      </c>
      <c r="F466" s="13">
        <v>1</v>
      </c>
      <c r="G466" s="13">
        <v>2</v>
      </c>
      <c r="H466" s="4"/>
      <c r="I466" s="4"/>
      <c r="J466" s="4"/>
      <c r="K466" s="4" t="s">
        <v>292</v>
      </c>
      <c r="L466" s="4" t="s">
        <v>683</v>
      </c>
    </row>
    <row r="467" spans="1:12">
      <c r="A467" s="4" t="s">
        <v>1211</v>
      </c>
      <c r="B467" s="4" t="s">
        <v>1212</v>
      </c>
      <c r="C467" s="4" t="s">
        <v>801</v>
      </c>
      <c r="D467" s="4" t="s">
        <v>330</v>
      </c>
      <c r="E467" s="4" t="s">
        <v>326</v>
      </c>
      <c r="F467" s="13">
        <v>1</v>
      </c>
      <c r="G467" s="13">
        <v>1</v>
      </c>
      <c r="H467" s="4"/>
      <c r="I467" s="4"/>
      <c r="J467" s="4"/>
      <c r="K467" s="4" t="s">
        <v>292</v>
      </c>
      <c r="L467" s="4" t="s">
        <v>683</v>
      </c>
    </row>
    <row r="468" spans="1:12">
      <c r="A468" s="4" t="s">
        <v>1213</v>
      </c>
      <c r="B468" s="4" t="s">
        <v>1214</v>
      </c>
      <c r="C468" s="4" t="s">
        <v>801</v>
      </c>
      <c r="D468" s="4" t="s">
        <v>330</v>
      </c>
      <c r="E468" s="4" t="s">
        <v>326</v>
      </c>
      <c r="F468" s="13">
        <v>1</v>
      </c>
      <c r="G468" s="13">
        <v>1</v>
      </c>
      <c r="H468" s="4"/>
      <c r="I468" s="4"/>
      <c r="J468" s="4"/>
      <c r="K468" s="4" t="s">
        <v>292</v>
      </c>
      <c r="L468" s="4" t="s">
        <v>683</v>
      </c>
    </row>
    <row r="469" spans="1:12">
      <c r="A469" s="4" t="s">
        <v>288</v>
      </c>
      <c r="B469" s="4" t="s">
        <v>10</v>
      </c>
      <c r="C469" s="4" t="s">
        <v>801</v>
      </c>
      <c r="D469" s="4" t="s">
        <v>330</v>
      </c>
      <c r="E469" s="4" t="s">
        <v>326</v>
      </c>
      <c r="F469" s="13">
        <v>1</v>
      </c>
      <c r="G469" s="13">
        <v>1</v>
      </c>
      <c r="H469" s="4"/>
      <c r="I469" s="4"/>
      <c r="J469" s="4"/>
      <c r="K469" s="4" t="s">
        <v>292</v>
      </c>
      <c r="L469" s="4" t="s">
        <v>683</v>
      </c>
    </row>
    <row r="470" spans="1:12">
      <c r="A470" s="4" t="s">
        <v>290</v>
      </c>
      <c r="B470" s="4" t="s">
        <v>1215</v>
      </c>
      <c r="C470" s="4" t="s">
        <v>801</v>
      </c>
      <c r="D470" s="4" t="s">
        <v>330</v>
      </c>
      <c r="E470" s="4" t="s">
        <v>326</v>
      </c>
      <c r="F470" s="13">
        <v>1</v>
      </c>
      <c r="G470" s="13">
        <v>1</v>
      </c>
      <c r="H470" s="4"/>
      <c r="I470" s="4"/>
      <c r="J470" s="4"/>
      <c r="K470" s="4" t="s">
        <v>292</v>
      </c>
      <c r="L470" s="4" t="s">
        <v>683</v>
      </c>
    </row>
    <row r="471" spans="1:12">
      <c r="A471" s="4" t="s">
        <v>1216</v>
      </c>
      <c r="B471" s="4" t="s">
        <v>1217</v>
      </c>
      <c r="C471" s="4" t="s">
        <v>801</v>
      </c>
      <c r="D471" s="4" t="s">
        <v>330</v>
      </c>
      <c r="E471" s="4" t="s">
        <v>326</v>
      </c>
      <c r="F471" s="13">
        <v>1</v>
      </c>
      <c r="G471" s="13">
        <v>1</v>
      </c>
      <c r="H471" s="4"/>
      <c r="I471" s="4"/>
      <c r="J471" s="4"/>
      <c r="K471" s="4" t="s">
        <v>292</v>
      </c>
      <c r="L471" s="4" t="s">
        <v>683</v>
      </c>
    </row>
    <row r="472" spans="1:12">
      <c r="A472" s="4" t="s">
        <v>1218</v>
      </c>
      <c r="B472" s="4" t="s">
        <v>1219</v>
      </c>
      <c r="C472" s="4" t="s">
        <v>801</v>
      </c>
      <c r="D472" s="4" t="s">
        <v>330</v>
      </c>
      <c r="E472" s="4" t="s">
        <v>326</v>
      </c>
      <c r="F472" s="13">
        <v>1</v>
      </c>
      <c r="G472" s="13">
        <v>1</v>
      </c>
      <c r="H472" s="4"/>
      <c r="I472" s="4"/>
      <c r="J472" s="4"/>
      <c r="K472" s="4" t="s">
        <v>292</v>
      </c>
      <c r="L472" s="4" t="s">
        <v>683</v>
      </c>
    </row>
    <row r="473" spans="1:12">
      <c r="A473" s="4" t="s">
        <v>292</v>
      </c>
      <c r="B473" s="4" t="s">
        <v>1220</v>
      </c>
      <c r="C473" s="4" t="s">
        <v>801</v>
      </c>
      <c r="D473" s="4" t="s">
        <v>702</v>
      </c>
      <c r="E473" s="4" t="s">
        <v>326</v>
      </c>
      <c r="F473" s="13">
        <v>2</v>
      </c>
      <c r="G473" s="13">
        <v>1</v>
      </c>
      <c r="H473" s="4"/>
      <c r="I473" s="4"/>
      <c r="J473" s="4"/>
      <c r="K473" s="4" t="s">
        <v>306</v>
      </c>
      <c r="L473" s="4"/>
    </row>
    <row r="474" spans="1:12">
      <c r="A474" s="4" t="s">
        <v>294</v>
      </c>
      <c r="B474" s="4" t="s">
        <v>1221</v>
      </c>
      <c r="C474" s="4" t="s">
        <v>801</v>
      </c>
      <c r="D474" s="4" t="s">
        <v>325</v>
      </c>
      <c r="E474" s="4" t="s">
        <v>326</v>
      </c>
      <c r="F474" s="13">
        <v>1</v>
      </c>
      <c r="G474" s="13">
        <v>2</v>
      </c>
      <c r="H474" s="4"/>
      <c r="I474" s="4"/>
      <c r="J474" s="4"/>
      <c r="K474" s="4"/>
      <c r="L474" s="4"/>
    </row>
    <row r="475" spans="1:12">
      <c r="A475" s="4" t="s">
        <v>1222</v>
      </c>
      <c r="B475" s="4" t="s">
        <v>1223</v>
      </c>
      <c r="C475" s="4" t="s">
        <v>801</v>
      </c>
      <c r="D475" s="4" t="s">
        <v>325</v>
      </c>
      <c r="E475" s="4" t="s">
        <v>326</v>
      </c>
      <c r="F475" s="13">
        <v>1</v>
      </c>
      <c r="G475" s="13">
        <v>2</v>
      </c>
      <c r="H475" s="4"/>
      <c r="I475" s="4"/>
      <c r="J475" s="4"/>
      <c r="K475" s="4" t="s">
        <v>1224</v>
      </c>
      <c r="L475" s="4"/>
    </row>
    <row r="476" spans="1:12">
      <c r="A476" s="4" t="s">
        <v>1225</v>
      </c>
      <c r="B476" s="4" t="s">
        <v>1226</v>
      </c>
      <c r="C476" s="4" t="s">
        <v>801</v>
      </c>
      <c r="D476" s="4" t="s">
        <v>330</v>
      </c>
      <c r="E476" s="4" t="s">
        <v>326</v>
      </c>
      <c r="F476" s="13">
        <v>1</v>
      </c>
      <c r="G476" s="13">
        <v>1</v>
      </c>
      <c r="H476" s="4"/>
      <c r="I476" s="4"/>
      <c r="J476" s="4"/>
      <c r="K476" s="4" t="s">
        <v>1224</v>
      </c>
      <c r="L476" s="4" t="s">
        <v>683</v>
      </c>
    </row>
    <row r="477" spans="1:12">
      <c r="A477" s="4" t="s">
        <v>1227</v>
      </c>
      <c r="B477" s="4" t="s">
        <v>1228</v>
      </c>
      <c r="C477" s="4" t="s">
        <v>801</v>
      </c>
      <c r="D477" s="4" t="s">
        <v>330</v>
      </c>
      <c r="E477" s="4" t="s">
        <v>326</v>
      </c>
      <c r="F477" s="13">
        <v>1</v>
      </c>
      <c r="G477" s="13">
        <v>1</v>
      </c>
      <c r="H477" s="4"/>
      <c r="I477" s="4"/>
      <c r="J477" s="4"/>
      <c r="K477" s="4" t="s">
        <v>1224</v>
      </c>
      <c r="L477" s="4" t="s">
        <v>683</v>
      </c>
    </row>
    <row r="478" spans="1:12">
      <c r="A478" s="4" t="s">
        <v>1224</v>
      </c>
      <c r="B478" s="4" t="s">
        <v>1229</v>
      </c>
      <c r="C478" s="4" t="s">
        <v>801</v>
      </c>
      <c r="D478" s="4" t="s">
        <v>702</v>
      </c>
      <c r="E478" s="4" t="s">
        <v>326</v>
      </c>
      <c r="F478" s="13">
        <v>1</v>
      </c>
      <c r="G478" s="13">
        <v>1</v>
      </c>
      <c r="H478" s="4"/>
      <c r="I478" s="4"/>
      <c r="J478" s="4"/>
      <c r="K478" s="4" t="s">
        <v>304</v>
      </c>
      <c r="L478" s="4"/>
    </row>
    <row r="479" spans="1:12">
      <c r="A479" s="4" t="s">
        <v>1230</v>
      </c>
      <c r="B479" s="4" t="s">
        <v>1231</v>
      </c>
      <c r="C479" s="4" t="s">
        <v>801</v>
      </c>
      <c r="D479" s="4" t="s">
        <v>325</v>
      </c>
      <c r="E479" s="4" t="s">
        <v>326</v>
      </c>
      <c r="F479" s="13">
        <v>1</v>
      </c>
      <c r="G479" s="13">
        <v>2</v>
      </c>
      <c r="H479" s="4"/>
      <c r="I479" s="4"/>
      <c r="J479" s="4"/>
      <c r="K479" s="4" t="s">
        <v>1232</v>
      </c>
      <c r="L479" s="4"/>
    </row>
    <row r="480" spans="1:12">
      <c r="A480" s="4" t="s">
        <v>1233</v>
      </c>
      <c r="B480" s="4" t="s">
        <v>1234</v>
      </c>
      <c r="C480" s="4" t="s">
        <v>801</v>
      </c>
      <c r="D480" s="4" t="s">
        <v>330</v>
      </c>
      <c r="E480" s="4" t="s">
        <v>326</v>
      </c>
      <c r="F480" s="13">
        <v>1</v>
      </c>
      <c r="G480" s="13">
        <v>1</v>
      </c>
      <c r="H480" s="4"/>
      <c r="I480" s="4"/>
      <c r="J480" s="4"/>
      <c r="K480" s="4" t="s">
        <v>1232</v>
      </c>
      <c r="L480" s="4" t="s">
        <v>683</v>
      </c>
    </row>
    <row r="481" spans="1:12">
      <c r="A481" s="4" t="s">
        <v>1235</v>
      </c>
      <c r="B481" s="4" t="s">
        <v>1236</v>
      </c>
      <c r="C481" s="4" t="s">
        <v>801</v>
      </c>
      <c r="D481" s="4" t="s">
        <v>330</v>
      </c>
      <c r="E481" s="4" t="s">
        <v>326</v>
      </c>
      <c r="F481" s="13">
        <v>1</v>
      </c>
      <c r="G481" s="13">
        <v>1</v>
      </c>
      <c r="H481" s="4"/>
      <c r="I481" s="4"/>
      <c r="J481" s="4"/>
      <c r="K481" s="4" t="s">
        <v>1232</v>
      </c>
      <c r="L481" s="4" t="s">
        <v>683</v>
      </c>
    </row>
    <row r="482" spans="1:12">
      <c r="A482" s="4" t="s">
        <v>1232</v>
      </c>
      <c r="B482" s="4" t="s">
        <v>1237</v>
      </c>
      <c r="C482" s="4" t="s">
        <v>801</v>
      </c>
      <c r="D482" s="4" t="s">
        <v>702</v>
      </c>
      <c r="E482" s="4" t="s">
        <v>326</v>
      </c>
      <c r="F482" s="13">
        <v>1</v>
      </c>
      <c r="G482" s="13">
        <v>1</v>
      </c>
      <c r="H482" s="4"/>
      <c r="I482" s="4"/>
      <c r="J482" s="4"/>
      <c r="K482" s="4" t="s">
        <v>304</v>
      </c>
      <c r="L482" s="4"/>
    </row>
    <row r="483" spans="1:12">
      <c r="A483" s="4" t="s">
        <v>1238</v>
      </c>
      <c r="B483" s="4" t="s">
        <v>1239</v>
      </c>
      <c r="C483" s="4" t="s">
        <v>801</v>
      </c>
      <c r="D483" s="4" t="s">
        <v>325</v>
      </c>
      <c r="E483" s="4" t="s">
        <v>326</v>
      </c>
      <c r="F483" s="13">
        <v>1</v>
      </c>
      <c r="G483" s="13">
        <v>2</v>
      </c>
      <c r="H483" s="4"/>
      <c r="I483" s="4"/>
      <c r="J483" s="4"/>
      <c r="K483" s="4" t="s">
        <v>1240</v>
      </c>
      <c r="L483" s="4"/>
    </row>
    <row r="484" spans="1:12">
      <c r="A484" s="4" t="s">
        <v>1241</v>
      </c>
      <c r="B484" s="4" t="s">
        <v>1242</v>
      </c>
      <c r="C484" s="4" t="s">
        <v>801</v>
      </c>
      <c r="D484" s="4" t="s">
        <v>330</v>
      </c>
      <c r="E484" s="4" t="s">
        <v>326</v>
      </c>
      <c r="F484" s="13">
        <v>1</v>
      </c>
      <c r="G484" s="13">
        <v>1</v>
      </c>
      <c r="H484" s="4"/>
      <c r="I484" s="4"/>
      <c r="J484" s="4"/>
      <c r="K484" s="4" t="s">
        <v>1240</v>
      </c>
      <c r="L484" s="4" t="s">
        <v>683</v>
      </c>
    </row>
    <row r="485" spans="1:12">
      <c r="A485" s="4" t="s">
        <v>1243</v>
      </c>
      <c r="B485" s="4" t="s">
        <v>1244</v>
      </c>
      <c r="C485" s="4" t="s">
        <v>801</v>
      </c>
      <c r="D485" s="4" t="s">
        <v>330</v>
      </c>
      <c r="E485" s="4" t="s">
        <v>326</v>
      </c>
      <c r="F485" s="13">
        <v>1</v>
      </c>
      <c r="G485" s="13">
        <v>1</v>
      </c>
      <c r="H485" s="4"/>
      <c r="I485" s="4"/>
      <c r="J485" s="4"/>
      <c r="K485" s="4" t="s">
        <v>1240</v>
      </c>
      <c r="L485" s="4" t="s">
        <v>683</v>
      </c>
    </row>
    <row r="486" spans="1:12">
      <c r="A486" s="4" t="s">
        <v>1240</v>
      </c>
      <c r="B486" s="4" t="s">
        <v>1245</v>
      </c>
      <c r="C486" s="4" t="s">
        <v>801</v>
      </c>
      <c r="D486" s="4" t="s">
        <v>702</v>
      </c>
      <c r="E486" s="4" t="s">
        <v>326</v>
      </c>
      <c r="F486" s="13">
        <v>1</v>
      </c>
      <c r="G486" s="13">
        <v>1</v>
      </c>
      <c r="H486" s="4"/>
      <c r="I486" s="4"/>
      <c r="J486" s="4"/>
      <c r="K486" s="4" t="s">
        <v>304</v>
      </c>
      <c r="L486" s="4"/>
    </row>
    <row r="487" spans="1:12">
      <c r="A487" s="4" t="s">
        <v>1246</v>
      </c>
      <c r="B487" s="4" t="s">
        <v>1247</v>
      </c>
      <c r="C487" s="4" t="s">
        <v>801</v>
      </c>
      <c r="D487" s="4" t="s">
        <v>325</v>
      </c>
      <c r="E487" s="4" t="s">
        <v>326</v>
      </c>
      <c r="F487" s="13">
        <v>1</v>
      </c>
      <c r="G487" s="13">
        <v>2</v>
      </c>
      <c r="H487" s="4"/>
      <c r="I487" s="4"/>
      <c r="J487" s="4"/>
      <c r="K487" s="4" t="s">
        <v>1248</v>
      </c>
      <c r="L487" s="4"/>
    </row>
    <row r="488" spans="1:12">
      <c r="A488" s="4" t="s">
        <v>1249</v>
      </c>
      <c r="B488" s="4" t="s">
        <v>1250</v>
      </c>
      <c r="C488" s="4" t="s">
        <v>801</v>
      </c>
      <c r="D488" s="4" t="s">
        <v>330</v>
      </c>
      <c r="E488" s="4" t="s">
        <v>326</v>
      </c>
      <c r="F488" s="13">
        <v>1</v>
      </c>
      <c r="G488" s="13">
        <v>1</v>
      </c>
      <c r="H488" s="4"/>
      <c r="I488" s="4"/>
      <c r="J488" s="4"/>
      <c r="K488" s="4" t="s">
        <v>1248</v>
      </c>
      <c r="L488" s="4" t="s">
        <v>683</v>
      </c>
    </row>
    <row r="489" spans="1:12">
      <c r="A489" s="4" t="s">
        <v>1251</v>
      </c>
      <c r="B489" s="4" t="s">
        <v>1252</v>
      </c>
      <c r="C489" s="4" t="s">
        <v>801</v>
      </c>
      <c r="D489" s="4" t="s">
        <v>330</v>
      </c>
      <c r="E489" s="4" t="s">
        <v>326</v>
      </c>
      <c r="F489" s="13">
        <v>1</v>
      </c>
      <c r="G489" s="13">
        <v>1</v>
      </c>
      <c r="H489" s="4"/>
      <c r="I489" s="4"/>
      <c r="J489" s="4"/>
      <c r="K489" s="4" t="s">
        <v>1248</v>
      </c>
      <c r="L489" s="4" t="s">
        <v>683</v>
      </c>
    </row>
    <row r="490" spans="1:12">
      <c r="A490" s="4" t="s">
        <v>1248</v>
      </c>
      <c r="B490" s="4" t="s">
        <v>1253</v>
      </c>
      <c r="C490" s="4" t="s">
        <v>801</v>
      </c>
      <c r="D490" s="4" t="s">
        <v>702</v>
      </c>
      <c r="E490" s="4" t="s">
        <v>326</v>
      </c>
      <c r="F490" s="13">
        <v>1</v>
      </c>
      <c r="G490" s="13">
        <v>1</v>
      </c>
      <c r="H490" s="4"/>
      <c r="I490" s="4"/>
      <c r="J490" s="4"/>
      <c r="K490" s="4" t="s">
        <v>304</v>
      </c>
      <c r="L490" s="4"/>
    </row>
    <row r="491" spans="1:12">
      <c r="A491" s="4" t="s">
        <v>1254</v>
      </c>
      <c r="B491" s="4" t="s">
        <v>1255</v>
      </c>
      <c r="C491" s="4" t="s">
        <v>801</v>
      </c>
      <c r="D491" s="4" t="s">
        <v>325</v>
      </c>
      <c r="E491" s="4" t="s">
        <v>326</v>
      </c>
      <c r="F491" s="13">
        <v>1</v>
      </c>
      <c r="G491" s="13">
        <v>2</v>
      </c>
      <c r="H491" s="4"/>
      <c r="I491" s="4"/>
      <c r="J491" s="4"/>
      <c r="K491" s="4" t="s">
        <v>1256</v>
      </c>
      <c r="L491" s="4"/>
    </row>
    <row r="492" spans="1:12">
      <c r="A492" s="4" t="s">
        <v>1257</v>
      </c>
      <c r="B492" s="4" t="s">
        <v>1258</v>
      </c>
      <c r="C492" s="4" t="s">
        <v>801</v>
      </c>
      <c r="D492" s="4" t="s">
        <v>330</v>
      </c>
      <c r="E492" s="4" t="s">
        <v>326</v>
      </c>
      <c r="F492" s="13">
        <v>1</v>
      </c>
      <c r="G492" s="13">
        <v>1</v>
      </c>
      <c r="H492" s="4"/>
      <c r="I492" s="4"/>
      <c r="J492" s="4"/>
      <c r="K492" s="4" t="s">
        <v>1256</v>
      </c>
      <c r="L492" s="4" t="s">
        <v>683</v>
      </c>
    </row>
    <row r="493" spans="1:12">
      <c r="A493" s="4" t="s">
        <v>1259</v>
      </c>
      <c r="B493" s="4" t="s">
        <v>1260</v>
      </c>
      <c r="C493" s="4" t="s">
        <v>801</v>
      </c>
      <c r="D493" s="4" t="s">
        <v>330</v>
      </c>
      <c r="E493" s="4" t="s">
        <v>326</v>
      </c>
      <c r="F493" s="13">
        <v>1</v>
      </c>
      <c r="G493" s="13">
        <v>1</v>
      </c>
      <c r="H493" s="4"/>
      <c r="I493" s="4"/>
      <c r="J493" s="4"/>
      <c r="K493" s="4" t="s">
        <v>1256</v>
      </c>
      <c r="L493" s="4" t="s">
        <v>683</v>
      </c>
    </row>
    <row r="494" spans="1:12">
      <c r="A494" s="4" t="s">
        <v>1256</v>
      </c>
      <c r="B494" s="4" t="s">
        <v>1261</v>
      </c>
      <c r="C494" s="4" t="s">
        <v>801</v>
      </c>
      <c r="D494" s="4" t="s">
        <v>702</v>
      </c>
      <c r="E494" s="4" t="s">
        <v>326</v>
      </c>
      <c r="F494" s="13">
        <v>1</v>
      </c>
      <c r="G494" s="13">
        <v>1</v>
      </c>
      <c r="H494" s="4"/>
      <c r="I494" s="4"/>
      <c r="J494" s="4"/>
      <c r="K494" s="4" t="s">
        <v>304</v>
      </c>
      <c r="L494" s="4"/>
    </row>
    <row r="495" spans="1:12">
      <c r="A495" s="4" t="s">
        <v>1262</v>
      </c>
      <c r="B495" s="4" t="s">
        <v>1263</v>
      </c>
      <c r="C495" s="4" t="s">
        <v>801</v>
      </c>
      <c r="D495" s="4" t="s">
        <v>325</v>
      </c>
      <c r="E495" s="4" t="s">
        <v>326</v>
      </c>
      <c r="F495" s="13">
        <v>1</v>
      </c>
      <c r="G495" s="13">
        <v>2</v>
      </c>
      <c r="H495" s="4"/>
      <c r="I495" s="4"/>
      <c r="J495" s="4"/>
      <c r="K495" s="4" t="s">
        <v>1264</v>
      </c>
      <c r="L495" s="4"/>
    </row>
    <row r="496" spans="1:12">
      <c r="A496" s="4" t="s">
        <v>1265</v>
      </c>
      <c r="B496" s="4" t="s">
        <v>1266</v>
      </c>
      <c r="C496" s="4" t="s">
        <v>801</v>
      </c>
      <c r="D496" s="4" t="s">
        <v>330</v>
      </c>
      <c r="E496" s="4" t="s">
        <v>326</v>
      </c>
      <c r="F496" s="13">
        <v>1</v>
      </c>
      <c r="G496" s="13">
        <v>1</v>
      </c>
      <c r="H496" s="4"/>
      <c r="I496" s="4"/>
      <c r="J496" s="4"/>
      <c r="K496" s="4" t="s">
        <v>1264</v>
      </c>
      <c r="L496" s="4" t="s">
        <v>683</v>
      </c>
    </row>
    <row r="497" spans="1:12">
      <c r="A497" s="4" t="s">
        <v>1267</v>
      </c>
      <c r="B497" s="4" t="s">
        <v>1268</v>
      </c>
      <c r="C497" s="4" t="s">
        <v>801</v>
      </c>
      <c r="D497" s="4" t="s">
        <v>330</v>
      </c>
      <c r="E497" s="4" t="s">
        <v>326</v>
      </c>
      <c r="F497" s="13">
        <v>1</v>
      </c>
      <c r="G497" s="13">
        <v>1</v>
      </c>
      <c r="H497" s="4"/>
      <c r="I497" s="4"/>
      <c r="J497" s="4"/>
      <c r="K497" s="4" t="s">
        <v>1264</v>
      </c>
      <c r="L497" s="4" t="s">
        <v>683</v>
      </c>
    </row>
    <row r="498" spans="1:12">
      <c r="A498" s="4" t="s">
        <v>1264</v>
      </c>
      <c r="B498" s="4" t="s">
        <v>1269</v>
      </c>
      <c r="C498" s="4" t="s">
        <v>801</v>
      </c>
      <c r="D498" s="4" t="s">
        <v>702</v>
      </c>
      <c r="E498" s="4" t="s">
        <v>326</v>
      </c>
      <c r="F498" s="13">
        <v>1</v>
      </c>
      <c r="G498" s="13">
        <v>1</v>
      </c>
      <c r="H498" s="4"/>
      <c r="I498" s="4"/>
      <c r="J498" s="4"/>
      <c r="K498" s="4" t="s">
        <v>304</v>
      </c>
      <c r="L498" s="4"/>
    </row>
    <row r="499" spans="1:12">
      <c r="A499" s="4" t="s">
        <v>1270</v>
      </c>
      <c r="B499" s="4" t="s">
        <v>1271</v>
      </c>
      <c r="C499" s="4" t="s">
        <v>801</v>
      </c>
      <c r="D499" s="4" t="s">
        <v>325</v>
      </c>
      <c r="E499" s="4" t="s">
        <v>326</v>
      </c>
      <c r="F499" s="13">
        <v>1</v>
      </c>
      <c r="G499" s="13">
        <v>1</v>
      </c>
      <c r="H499" s="4"/>
      <c r="I499" s="4"/>
      <c r="J499" s="4"/>
      <c r="K499" s="4" t="s">
        <v>1272</v>
      </c>
      <c r="L499" s="4"/>
    </row>
    <row r="500" spans="1:12">
      <c r="A500" s="4" t="s">
        <v>1273</v>
      </c>
      <c r="B500" s="4" t="s">
        <v>1274</v>
      </c>
      <c r="C500" s="4" t="s">
        <v>801</v>
      </c>
      <c r="D500" s="4" t="s">
        <v>330</v>
      </c>
      <c r="E500" s="4" t="s">
        <v>326</v>
      </c>
      <c r="F500" s="13">
        <v>0</v>
      </c>
      <c r="G500" s="13">
        <v>1</v>
      </c>
      <c r="H500" s="4"/>
      <c r="I500" s="4"/>
      <c r="J500" s="4"/>
      <c r="K500" s="4" t="s">
        <v>1272</v>
      </c>
      <c r="L500" s="4" t="s">
        <v>683</v>
      </c>
    </row>
    <row r="501" spans="1:12">
      <c r="A501" s="4" t="s">
        <v>1275</v>
      </c>
      <c r="B501" s="4" t="s">
        <v>1276</v>
      </c>
      <c r="C501" s="4" t="s">
        <v>801</v>
      </c>
      <c r="D501" s="4" t="s">
        <v>330</v>
      </c>
      <c r="E501" s="4" t="s">
        <v>326</v>
      </c>
      <c r="F501" s="13">
        <v>0</v>
      </c>
      <c r="G501" s="13">
        <v>1</v>
      </c>
      <c r="H501" s="4"/>
      <c r="I501" s="4"/>
      <c r="J501" s="4"/>
      <c r="K501" s="4" t="s">
        <v>1272</v>
      </c>
      <c r="L501" s="4" t="s">
        <v>683</v>
      </c>
    </row>
    <row r="502" spans="1:12">
      <c r="A502" s="4" t="s">
        <v>1272</v>
      </c>
      <c r="B502" s="4" t="s">
        <v>1277</v>
      </c>
      <c r="C502" s="4" t="s">
        <v>801</v>
      </c>
      <c r="D502" s="4" t="s">
        <v>702</v>
      </c>
      <c r="E502" s="4" t="s">
        <v>326</v>
      </c>
      <c r="F502" s="13">
        <v>0</v>
      </c>
      <c r="G502" s="13">
        <v>1</v>
      </c>
      <c r="H502" s="4"/>
      <c r="I502" s="4"/>
      <c r="J502" s="4"/>
      <c r="K502" s="4" t="s">
        <v>304</v>
      </c>
      <c r="L502" s="4"/>
    </row>
    <row r="503" spans="1:12">
      <c r="A503" s="4" t="s">
        <v>1278</v>
      </c>
      <c r="B503" s="4" t="s">
        <v>1279</v>
      </c>
      <c r="C503" s="4" t="s">
        <v>801</v>
      </c>
      <c r="D503" s="4" t="s">
        <v>325</v>
      </c>
      <c r="E503" s="4" t="s">
        <v>326</v>
      </c>
      <c r="F503" s="13">
        <v>0</v>
      </c>
      <c r="G503" s="13">
        <v>1</v>
      </c>
      <c r="H503" s="4"/>
      <c r="I503" s="4"/>
      <c r="J503" s="4"/>
      <c r="K503" s="4" t="s">
        <v>1280</v>
      </c>
      <c r="L503" s="4"/>
    </row>
    <row r="504" spans="1:12">
      <c r="A504" s="4" t="s">
        <v>1281</v>
      </c>
      <c r="B504" s="4" t="s">
        <v>1282</v>
      </c>
      <c r="C504" s="4" t="s">
        <v>801</v>
      </c>
      <c r="D504" s="4" t="s">
        <v>330</v>
      </c>
      <c r="E504" s="4" t="s">
        <v>326</v>
      </c>
      <c r="F504" s="13">
        <v>0</v>
      </c>
      <c r="G504" s="13">
        <v>1</v>
      </c>
      <c r="H504" s="4"/>
      <c r="I504" s="4"/>
      <c r="J504" s="4"/>
      <c r="K504" s="4" t="s">
        <v>1280</v>
      </c>
      <c r="L504" s="4" t="s">
        <v>683</v>
      </c>
    </row>
    <row r="505" spans="1:12">
      <c r="A505" s="4" t="s">
        <v>1283</v>
      </c>
      <c r="B505" s="4" t="s">
        <v>1284</v>
      </c>
      <c r="C505" s="4" t="s">
        <v>801</v>
      </c>
      <c r="D505" s="4" t="s">
        <v>330</v>
      </c>
      <c r="E505" s="4" t="s">
        <v>326</v>
      </c>
      <c r="F505" s="13">
        <v>0</v>
      </c>
      <c r="G505" s="13">
        <v>1</v>
      </c>
      <c r="H505" s="4"/>
      <c r="I505" s="4"/>
      <c r="J505" s="4"/>
      <c r="K505" s="4" t="s">
        <v>1280</v>
      </c>
      <c r="L505" s="4" t="s">
        <v>683</v>
      </c>
    </row>
    <row r="506" spans="1:12">
      <c r="A506" s="4" t="s">
        <v>1280</v>
      </c>
      <c r="B506" s="4" t="s">
        <v>1285</v>
      </c>
      <c r="C506" s="4" t="s">
        <v>801</v>
      </c>
      <c r="D506" s="4" t="s">
        <v>702</v>
      </c>
      <c r="E506" s="4" t="s">
        <v>326</v>
      </c>
      <c r="F506" s="13">
        <v>0</v>
      </c>
      <c r="G506" s="13">
        <v>1</v>
      </c>
      <c r="H506" s="4"/>
      <c r="I506" s="4"/>
      <c r="J506" s="4"/>
      <c r="K506" s="4" t="s">
        <v>304</v>
      </c>
      <c r="L506" s="4"/>
    </row>
    <row r="507" spans="1:12">
      <c r="A507" s="4" t="s">
        <v>1286</v>
      </c>
      <c r="B507" s="4" t="s">
        <v>1287</v>
      </c>
      <c r="C507" s="4" t="s">
        <v>801</v>
      </c>
      <c r="D507" s="4" t="s">
        <v>325</v>
      </c>
      <c r="E507" s="4" t="s">
        <v>326</v>
      </c>
      <c r="F507" s="13">
        <v>0</v>
      </c>
      <c r="G507" s="13">
        <v>1</v>
      </c>
      <c r="H507" s="4"/>
      <c r="I507" s="4"/>
      <c r="J507" s="4"/>
      <c r="K507" s="4" t="s">
        <v>1288</v>
      </c>
      <c r="L507" s="4"/>
    </row>
    <row r="508" spans="1:12">
      <c r="A508" s="4" t="s">
        <v>1289</v>
      </c>
      <c r="B508" s="4" t="s">
        <v>1290</v>
      </c>
      <c r="C508" s="4" t="s">
        <v>801</v>
      </c>
      <c r="D508" s="4" t="s">
        <v>330</v>
      </c>
      <c r="E508" s="4" t="s">
        <v>326</v>
      </c>
      <c r="F508" s="13">
        <v>0</v>
      </c>
      <c r="G508" s="13">
        <v>1</v>
      </c>
      <c r="H508" s="4"/>
      <c r="I508" s="4"/>
      <c r="J508" s="4"/>
      <c r="K508" s="4" t="s">
        <v>1288</v>
      </c>
      <c r="L508" s="4" t="s">
        <v>683</v>
      </c>
    </row>
    <row r="509" spans="1:12">
      <c r="A509" s="4" t="s">
        <v>1291</v>
      </c>
      <c r="B509" s="4" t="s">
        <v>1292</v>
      </c>
      <c r="C509" s="4" t="s">
        <v>801</v>
      </c>
      <c r="D509" s="4" t="s">
        <v>330</v>
      </c>
      <c r="E509" s="4" t="s">
        <v>326</v>
      </c>
      <c r="F509" s="13">
        <v>0</v>
      </c>
      <c r="G509" s="13">
        <v>1</v>
      </c>
      <c r="H509" s="4"/>
      <c r="I509" s="4"/>
      <c r="J509" s="4"/>
      <c r="K509" s="4" t="s">
        <v>1288</v>
      </c>
      <c r="L509" s="4" t="s">
        <v>683</v>
      </c>
    </row>
    <row r="510" spans="1:12">
      <c r="A510" s="4" t="s">
        <v>1288</v>
      </c>
      <c r="B510" s="4" t="s">
        <v>1293</v>
      </c>
      <c r="C510" s="4" t="s">
        <v>801</v>
      </c>
      <c r="D510" s="4" t="s">
        <v>702</v>
      </c>
      <c r="E510" s="4" t="s">
        <v>326</v>
      </c>
      <c r="F510" s="13">
        <v>0</v>
      </c>
      <c r="G510" s="13">
        <v>1</v>
      </c>
      <c r="H510" s="4"/>
      <c r="I510" s="4"/>
      <c r="J510" s="4"/>
      <c r="K510" s="4" t="s">
        <v>304</v>
      </c>
      <c r="L510" s="4"/>
    </row>
    <row r="511" spans="1:12">
      <c r="A511" s="4" t="s">
        <v>1294</v>
      </c>
      <c r="B511" s="4" t="s">
        <v>1295</v>
      </c>
      <c r="C511" s="4" t="s">
        <v>801</v>
      </c>
      <c r="D511" s="4" t="s">
        <v>325</v>
      </c>
      <c r="E511" s="4" t="s">
        <v>326</v>
      </c>
      <c r="F511" s="13">
        <v>0</v>
      </c>
      <c r="G511" s="13">
        <v>1</v>
      </c>
      <c r="H511" s="4"/>
      <c r="I511" s="4"/>
      <c r="J511" s="4"/>
      <c r="K511" s="4" t="s">
        <v>1296</v>
      </c>
      <c r="L511" s="4"/>
    </row>
    <row r="512" spans="1:12">
      <c r="A512" s="4" t="s">
        <v>1297</v>
      </c>
      <c r="B512" s="4" t="s">
        <v>1298</v>
      </c>
      <c r="C512" s="4" t="s">
        <v>801</v>
      </c>
      <c r="D512" s="4" t="s">
        <v>330</v>
      </c>
      <c r="E512" s="4" t="s">
        <v>326</v>
      </c>
      <c r="F512" s="13">
        <v>0</v>
      </c>
      <c r="G512" s="13">
        <v>1</v>
      </c>
      <c r="H512" s="4"/>
      <c r="I512" s="4"/>
      <c r="J512" s="4"/>
      <c r="K512" s="4" t="s">
        <v>1296</v>
      </c>
      <c r="L512" s="4" t="s">
        <v>683</v>
      </c>
    </row>
    <row r="513" spans="1:12">
      <c r="A513" s="4" t="s">
        <v>1299</v>
      </c>
      <c r="B513" s="4" t="s">
        <v>1300</v>
      </c>
      <c r="C513" s="4" t="s">
        <v>801</v>
      </c>
      <c r="D513" s="4" t="s">
        <v>330</v>
      </c>
      <c r="E513" s="4" t="s">
        <v>326</v>
      </c>
      <c r="F513" s="13">
        <v>0</v>
      </c>
      <c r="G513" s="13">
        <v>1</v>
      </c>
      <c r="H513" s="4"/>
      <c r="I513" s="4"/>
      <c r="J513" s="4"/>
      <c r="K513" s="4" t="s">
        <v>1296</v>
      </c>
      <c r="L513" s="4" t="s">
        <v>683</v>
      </c>
    </row>
    <row r="514" spans="1:12">
      <c r="A514" s="4" t="s">
        <v>1296</v>
      </c>
      <c r="B514" s="4" t="s">
        <v>1301</v>
      </c>
      <c r="C514" s="4" t="s">
        <v>801</v>
      </c>
      <c r="D514" s="4" t="s">
        <v>702</v>
      </c>
      <c r="E514" s="4" t="s">
        <v>326</v>
      </c>
      <c r="F514" s="13">
        <v>0</v>
      </c>
      <c r="G514" s="13">
        <v>1</v>
      </c>
      <c r="H514" s="4"/>
      <c r="I514" s="4"/>
      <c r="J514" s="4"/>
      <c r="K514" s="4" t="s">
        <v>304</v>
      </c>
      <c r="L514" s="4"/>
    </row>
    <row r="515" spans="1:12">
      <c r="A515" s="4" t="s">
        <v>1302</v>
      </c>
      <c r="B515" s="4" t="s">
        <v>1303</v>
      </c>
      <c r="C515" s="4" t="s">
        <v>801</v>
      </c>
      <c r="D515" s="4" t="s">
        <v>325</v>
      </c>
      <c r="E515" s="4" t="s">
        <v>326</v>
      </c>
      <c r="F515" s="13">
        <v>0</v>
      </c>
      <c r="G515" s="13">
        <v>1</v>
      </c>
      <c r="H515" s="4"/>
      <c r="I515" s="4"/>
      <c r="J515" s="4"/>
      <c r="K515" s="4" t="s">
        <v>1304</v>
      </c>
      <c r="L515" s="4"/>
    </row>
    <row r="516" spans="1:12">
      <c r="A516" s="4" t="s">
        <v>1305</v>
      </c>
      <c r="B516" s="4" t="s">
        <v>1306</v>
      </c>
      <c r="C516" s="4" t="s">
        <v>801</v>
      </c>
      <c r="D516" s="4" t="s">
        <v>330</v>
      </c>
      <c r="E516" s="4" t="s">
        <v>326</v>
      </c>
      <c r="F516" s="13">
        <v>0</v>
      </c>
      <c r="G516" s="13">
        <v>1</v>
      </c>
      <c r="H516" s="4"/>
      <c r="I516" s="4"/>
      <c r="J516" s="4"/>
      <c r="K516" s="4" t="s">
        <v>1304</v>
      </c>
      <c r="L516" s="4" t="s">
        <v>683</v>
      </c>
    </row>
    <row r="517" spans="1:12">
      <c r="A517" s="4" t="s">
        <v>1307</v>
      </c>
      <c r="B517" s="4" t="s">
        <v>1308</v>
      </c>
      <c r="C517" s="4" t="s">
        <v>801</v>
      </c>
      <c r="D517" s="4" t="s">
        <v>330</v>
      </c>
      <c r="E517" s="4" t="s">
        <v>326</v>
      </c>
      <c r="F517" s="13">
        <v>0</v>
      </c>
      <c r="G517" s="13">
        <v>1</v>
      </c>
      <c r="H517" s="4"/>
      <c r="I517" s="4"/>
      <c r="J517" s="4"/>
      <c r="K517" s="4" t="s">
        <v>1304</v>
      </c>
      <c r="L517" s="4" t="s">
        <v>683</v>
      </c>
    </row>
    <row r="518" spans="1:12">
      <c r="A518" s="4" t="s">
        <v>1304</v>
      </c>
      <c r="B518" s="4" t="s">
        <v>1309</v>
      </c>
      <c r="C518" s="4" t="s">
        <v>801</v>
      </c>
      <c r="D518" s="4" t="s">
        <v>702</v>
      </c>
      <c r="E518" s="4" t="s">
        <v>326</v>
      </c>
      <c r="F518" s="13">
        <v>0</v>
      </c>
      <c r="G518" s="13">
        <v>1</v>
      </c>
      <c r="H518" s="4"/>
      <c r="I518" s="4"/>
      <c r="J518" s="4"/>
      <c r="K518" s="4" t="s">
        <v>304</v>
      </c>
      <c r="L518" s="4"/>
    </row>
    <row r="519" spans="1:12">
      <c r="A519" s="4" t="s">
        <v>1310</v>
      </c>
      <c r="B519" s="4" t="s">
        <v>1311</v>
      </c>
      <c r="C519" s="4" t="s">
        <v>801</v>
      </c>
      <c r="D519" s="4" t="s">
        <v>325</v>
      </c>
      <c r="E519" s="4" t="s">
        <v>326</v>
      </c>
      <c r="F519" s="13">
        <v>0</v>
      </c>
      <c r="G519" s="13">
        <v>1</v>
      </c>
      <c r="H519" s="4"/>
      <c r="I519" s="4"/>
      <c r="J519" s="4"/>
      <c r="K519" s="4" t="s">
        <v>1312</v>
      </c>
      <c r="L519" s="4"/>
    </row>
    <row r="520" spans="1:12">
      <c r="A520" s="4" t="s">
        <v>1313</v>
      </c>
      <c r="B520" s="4" t="s">
        <v>1314</v>
      </c>
      <c r="C520" s="4" t="s">
        <v>801</v>
      </c>
      <c r="D520" s="4" t="s">
        <v>330</v>
      </c>
      <c r="E520" s="4" t="s">
        <v>326</v>
      </c>
      <c r="F520" s="13">
        <v>0</v>
      </c>
      <c r="G520" s="13">
        <v>1</v>
      </c>
      <c r="H520" s="4"/>
      <c r="I520" s="4"/>
      <c r="J520" s="4"/>
      <c r="K520" s="4" t="s">
        <v>1312</v>
      </c>
      <c r="L520" s="4" t="s">
        <v>683</v>
      </c>
    </row>
    <row r="521" spans="1:12">
      <c r="A521" s="4" t="s">
        <v>1315</v>
      </c>
      <c r="B521" s="4" t="s">
        <v>1316</v>
      </c>
      <c r="C521" s="4" t="s">
        <v>801</v>
      </c>
      <c r="D521" s="4" t="s">
        <v>330</v>
      </c>
      <c r="E521" s="4" t="s">
        <v>326</v>
      </c>
      <c r="F521" s="13">
        <v>0</v>
      </c>
      <c r="G521" s="13">
        <v>1</v>
      </c>
      <c r="H521" s="4"/>
      <c r="I521" s="4"/>
      <c r="J521" s="4"/>
      <c r="K521" s="4" t="s">
        <v>1312</v>
      </c>
      <c r="L521" s="4" t="s">
        <v>683</v>
      </c>
    </row>
    <row r="522" spans="1:12">
      <c r="A522" s="4" t="s">
        <v>1312</v>
      </c>
      <c r="B522" s="4" t="s">
        <v>1317</v>
      </c>
      <c r="C522" s="4" t="s">
        <v>801</v>
      </c>
      <c r="D522" s="4" t="s">
        <v>702</v>
      </c>
      <c r="E522" s="4" t="s">
        <v>326</v>
      </c>
      <c r="F522" s="13">
        <v>0</v>
      </c>
      <c r="G522" s="13">
        <v>1</v>
      </c>
      <c r="H522" s="4"/>
      <c r="I522" s="4"/>
      <c r="J522" s="4"/>
      <c r="K522" s="4" t="s">
        <v>304</v>
      </c>
      <c r="L522" s="4"/>
    </row>
    <row r="523" spans="1:12">
      <c r="A523" s="4" t="s">
        <v>1318</v>
      </c>
      <c r="B523" s="4" t="s">
        <v>1319</v>
      </c>
      <c r="C523" s="4" t="s">
        <v>801</v>
      </c>
      <c r="D523" s="4" t="s">
        <v>325</v>
      </c>
      <c r="E523" s="4" t="s">
        <v>326</v>
      </c>
      <c r="F523" s="13">
        <v>1</v>
      </c>
      <c r="G523" s="13">
        <v>2</v>
      </c>
      <c r="H523" s="4"/>
      <c r="I523" s="4"/>
      <c r="J523" s="4"/>
      <c r="K523" s="4" t="s">
        <v>1320</v>
      </c>
      <c r="L523" s="4"/>
    </row>
    <row r="524" spans="1:12">
      <c r="A524" s="4" t="s">
        <v>1321</v>
      </c>
      <c r="B524" s="4" t="s">
        <v>1322</v>
      </c>
      <c r="C524" s="4" t="s">
        <v>801</v>
      </c>
      <c r="D524" s="4" t="s">
        <v>330</v>
      </c>
      <c r="E524" s="4" t="s">
        <v>326</v>
      </c>
      <c r="F524" s="13">
        <v>1</v>
      </c>
      <c r="G524" s="13">
        <v>1</v>
      </c>
      <c r="H524" s="4"/>
      <c r="I524" s="4"/>
      <c r="J524" s="4"/>
      <c r="K524" s="4" t="s">
        <v>1320</v>
      </c>
      <c r="L524" s="4" t="s">
        <v>683</v>
      </c>
    </row>
    <row r="525" spans="1:12">
      <c r="A525" s="4" t="s">
        <v>1323</v>
      </c>
      <c r="B525" s="4" t="s">
        <v>1324</v>
      </c>
      <c r="C525" s="4" t="s">
        <v>801</v>
      </c>
      <c r="D525" s="4" t="s">
        <v>330</v>
      </c>
      <c r="E525" s="4" t="s">
        <v>326</v>
      </c>
      <c r="F525" s="13">
        <v>1</v>
      </c>
      <c r="G525" s="13">
        <v>1</v>
      </c>
      <c r="H525" s="4"/>
      <c r="I525" s="4"/>
      <c r="J525" s="4"/>
      <c r="K525" s="4" t="s">
        <v>1320</v>
      </c>
      <c r="L525" s="4" t="s">
        <v>683</v>
      </c>
    </row>
    <row r="526" spans="1:12">
      <c r="A526" s="4" t="s">
        <v>1320</v>
      </c>
      <c r="B526" s="4" t="s">
        <v>1325</v>
      </c>
      <c r="C526" s="4" t="s">
        <v>801</v>
      </c>
      <c r="D526" s="4" t="s">
        <v>702</v>
      </c>
      <c r="E526" s="4" t="s">
        <v>326</v>
      </c>
      <c r="F526" s="13">
        <v>1</v>
      </c>
      <c r="G526" s="13">
        <v>1</v>
      </c>
      <c r="H526" s="4"/>
      <c r="I526" s="4"/>
      <c r="J526" s="4"/>
      <c r="K526" s="4" t="s">
        <v>304</v>
      </c>
      <c r="L526" s="4"/>
    </row>
    <row r="527" spans="1:12">
      <c r="A527" s="4" t="s">
        <v>1326</v>
      </c>
      <c r="B527" s="4" t="s">
        <v>1327</v>
      </c>
      <c r="C527" s="4" t="s">
        <v>801</v>
      </c>
      <c r="D527" s="4" t="s">
        <v>330</v>
      </c>
      <c r="E527" s="4" t="s">
        <v>587</v>
      </c>
      <c r="F527" s="13">
        <v>0</v>
      </c>
      <c r="G527" s="13">
        <v>1</v>
      </c>
      <c r="H527" s="4"/>
      <c r="I527" s="4"/>
      <c r="J527" s="4"/>
      <c r="K527" s="4" t="s">
        <v>1328</v>
      </c>
      <c r="L527" s="4"/>
    </row>
    <row r="528" spans="1:12">
      <c r="A528" s="4" t="s">
        <v>1328</v>
      </c>
      <c r="B528" s="4" t="s">
        <v>1329</v>
      </c>
      <c r="C528" s="4" t="s">
        <v>801</v>
      </c>
      <c r="D528" s="4" t="s">
        <v>702</v>
      </c>
      <c r="E528" s="4" t="s">
        <v>326</v>
      </c>
      <c r="F528" s="13">
        <v>0</v>
      </c>
      <c r="G528" s="13">
        <v>1</v>
      </c>
      <c r="H528" s="4"/>
      <c r="I528" s="4"/>
      <c r="J528" s="4"/>
      <c r="K528" s="4" t="s">
        <v>304</v>
      </c>
      <c r="L528" s="4"/>
    </row>
    <row r="529" spans="1:12">
      <c r="A529" s="4" t="s">
        <v>1330</v>
      </c>
      <c r="B529" s="4" t="s">
        <v>1331</v>
      </c>
      <c r="C529" s="4" t="s">
        <v>801</v>
      </c>
      <c r="D529" s="4" t="s">
        <v>325</v>
      </c>
      <c r="E529" s="4" t="s">
        <v>326</v>
      </c>
      <c r="F529" s="13">
        <v>1</v>
      </c>
      <c r="G529" s="13">
        <v>2</v>
      </c>
      <c r="H529" s="4"/>
      <c r="I529" s="4"/>
      <c r="J529" s="4"/>
      <c r="K529" s="4" t="s">
        <v>1332</v>
      </c>
      <c r="L529" s="4"/>
    </row>
    <row r="530" spans="1:12">
      <c r="A530" s="4" t="s">
        <v>1333</v>
      </c>
      <c r="B530" s="4" t="s">
        <v>1334</v>
      </c>
      <c r="C530" s="4" t="s">
        <v>801</v>
      </c>
      <c r="D530" s="4" t="s">
        <v>330</v>
      </c>
      <c r="E530" s="4" t="s">
        <v>326</v>
      </c>
      <c r="F530" s="13">
        <v>1</v>
      </c>
      <c r="G530" s="13">
        <v>1</v>
      </c>
      <c r="H530" s="4"/>
      <c r="I530" s="4"/>
      <c r="J530" s="4"/>
      <c r="K530" s="4" t="s">
        <v>1332</v>
      </c>
      <c r="L530" s="4" t="s">
        <v>683</v>
      </c>
    </row>
    <row r="531" spans="1:12">
      <c r="A531" s="4" t="s">
        <v>1335</v>
      </c>
      <c r="B531" s="4" t="s">
        <v>1336</v>
      </c>
      <c r="C531" s="4" t="s">
        <v>801</v>
      </c>
      <c r="D531" s="4" t="s">
        <v>330</v>
      </c>
      <c r="E531" s="4" t="s">
        <v>326</v>
      </c>
      <c r="F531" s="13">
        <v>1</v>
      </c>
      <c r="G531" s="13">
        <v>1</v>
      </c>
      <c r="H531" s="4"/>
      <c r="I531" s="4"/>
      <c r="J531" s="4"/>
      <c r="K531" s="4" t="s">
        <v>1332</v>
      </c>
      <c r="L531" s="4" t="s">
        <v>683</v>
      </c>
    </row>
    <row r="532" spans="1:12">
      <c r="A532" s="4" t="s">
        <v>1332</v>
      </c>
      <c r="B532" s="4" t="s">
        <v>1337</v>
      </c>
      <c r="C532" s="4" t="s">
        <v>801</v>
      </c>
      <c r="D532" s="4" t="s">
        <v>702</v>
      </c>
      <c r="E532" s="4" t="s">
        <v>326</v>
      </c>
      <c r="F532" s="13">
        <v>1</v>
      </c>
      <c r="G532" s="13">
        <v>1</v>
      </c>
      <c r="H532" s="4"/>
      <c r="I532" s="4"/>
      <c r="J532" s="4"/>
      <c r="K532" s="4" t="s">
        <v>304</v>
      </c>
      <c r="L532" s="4"/>
    </row>
    <row r="533" spans="1:12">
      <c r="A533" s="4" t="s">
        <v>1338</v>
      </c>
      <c r="B533" s="4" t="s">
        <v>1339</v>
      </c>
      <c r="C533" s="4" t="s">
        <v>801</v>
      </c>
      <c r="D533" s="4" t="s">
        <v>325</v>
      </c>
      <c r="E533" s="4" t="s">
        <v>326</v>
      </c>
      <c r="F533" s="13">
        <v>1</v>
      </c>
      <c r="G533" s="13">
        <v>2</v>
      </c>
      <c r="H533" s="4"/>
      <c r="I533" s="4"/>
      <c r="J533" s="4"/>
      <c r="K533" s="4" t="s">
        <v>1340</v>
      </c>
      <c r="L533" s="4"/>
    </row>
    <row r="534" spans="1:12">
      <c r="A534" s="4" t="s">
        <v>1341</v>
      </c>
      <c r="B534" s="4" t="s">
        <v>1342</v>
      </c>
      <c r="C534" s="4" t="s">
        <v>801</v>
      </c>
      <c r="D534" s="4" t="s">
        <v>330</v>
      </c>
      <c r="E534" s="4" t="s">
        <v>326</v>
      </c>
      <c r="F534" s="13">
        <v>1</v>
      </c>
      <c r="G534" s="13">
        <v>1</v>
      </c>
      <c r="H534" s="4"/>
      <c r="I534" s="4"/>
      <c r="J534" s="4"/>
      <c r="K534" s="4" t="s">
        <v>1340</v>
      </c>
      <c r="L534" s="4" t="s">
        <v>683</v>
      </c>
    </row>
    <row r="535" spans="1:12">
      <c r="A535" s="4" t="s">
        <v>1343</v>
      </c>
      <c r="B535" s="4" t="s">
        <v>1344</v>
      </c>
      <c r="C535" s="4" t="s">
        <v>801</v>
      </c>
      <c r="D535" s="4" t="s">
        <v>330</v>
      </c>
      <c r="E535" s="4" t="s">
        <v>326</v>
      </c>
      <c r="F535" s="13">
        <v>1</v>
      </c>
      <c r="G535" s="13">
        <v>1</v>
      </c>
      <c r="H535" s="4"/>
      <c r="I535" s="4"/>
      <c r="J535" s="4"/>
      <c r="K535" s="4" t="s">
        <v>1340</v>
      </c>
      <c r="L535" s="4" t="s">
        <v>683</v>
      </c>
    </row>
    <row r="536" spans="1:12">
      <c r="A536" s="4" t="s">
        <v>1340</v>
      </c>
      <c r="B536" s="4" t="s">
        <v>1345</v>
      </c>
      <c r="C536" s="4" t="s">
        <v>801</v>
      </c>
      <c r="D536" s="4" t="s">
        <v>702</v>
      </c>
      <c r="E536" s="4" t="s">
        <v>326</v>
      </c>
      <c r="F536" s="13">
        <v>1</v>
      </c>
      <c r="G536" s="13">
        <v>1</v>
      </c>
      <c r="H536" s="4"/>
      <c r="I536" s="4"/>
      <c r="J536" s="4"/>
      <c r="K536" s="4" t="s">
        <v>304</v>
      </c>
      <c r="L536" s="4"/>
    </row>
    <row r="537" spans="1:12">
      <c r="A537" s="4" t="s">
        <v>1346</v>
      </c>
      <c r="B537" s="4" t="s">
        <v>1347</v>
      </c>
      <c r="C537" s="4" t="s">
        <v>801</v>
      </c>
      <c r="D537" s="4" t="s">
        <v>325</v>
      </c>
      <c r="E537" s="4" t="s">
        <v>326</v>
      </c>
      <c r="F537" s="13">
        <v>1</v>
      </c>
      <c r="G537" s="13">
        <v>2</v>
      </c>
      <c r="H537" s="4"/>
      <c r="I537" s="4"/>
      <c r="J537" s="4"/>
      <c r="K537" s="4" t="s">
        <v>1348</v>
      </c>
      <c r="L537" s="4"/>
    </row>
    <row r="538" spans="1:12">
      <c r="A538" s="4" t="s">
        <v>1349</v>
      </c>
      <c r="B538" s="4" t="s">
        <v>1350</v>
      </c>
      <c r="C538" s="4" t="s">
        <v>801</v>
      </c>
      <c r="D538" s="4" t="s">
        <v>330</v>
      </c>
      <c r="E538" s="4" t="s">
        <v>326</v>
      </c>
      <c r="F538" s="13">
        <v>1</v>
      </c>
      <c r="G538" s="13">
        <v>1</v>
      </c>
      <c r="H538" s="4"/>
      <c r="I538" s="4"/>
      <c r="J538" s="4"/>
      <c r="K538" s="4" t="s">
        <v>1348</v>
      </c>
      <c r="L538" s="4" t="s">
        <v>683</v>
      </c>
    </row>
    <row r="539" spans="1:12">
      <c r="A539" s="4" t="s">
        <v>1351</v>
      </c>
      <c r="B539" s="4" t="s">
        <v>1352</v>
      </c>
      <c r="C539" s="4" t="s">
        <v>801</v>
      </c>
      <c r="D539" s="4" t="s">
        <v>330</v>
      </c>
      <c r="E539" s="4" t="s">
        <v>326</v>
      </c>
      <c r="F539" s="13">
        <v>1</v>
      </c>
      <c r="G539" s="13">
        <v>1</v>
      </c>
      <c r="H539" s="4"/>
      <c r="I539" s="4"/>
      <c r="J539" s="4"/>
      <c r="K539" s="4" t="s">
        <v>1348</v>
      </c>
      <c r="L539" s="4" t="s">
        <v>683</v>
      </c>
    </row>
    <row r="540" spans="1:12">
      <c r="A540" s="4" t="s">
        <v>1348</v>
      </c>
      <c r="B540" s="4" t="s">
        <v>1353</v>
      </c>
      <c r="C540" s="4" t="s">
        <v>801</v>
      </c>
      <c r="D540" s="4" t="s">
        <v>702</v>
      </c>
      <c r="E540" s="4" t="s">
        <v>326</v>
      </c>
      <c r="F540" s="13">
        <v>1</v>
      </c>
      <c r="G540" s="13">
        <v>1</v>
      </c>
      <c r="H540" s="4"/>
      <c r="I540" s="4"/>
      <c r="J540" s="4"/>
      <c r="K540" s="4" t="s">
        <v>304</v>
      </c>
      <c r="L540" s="4"/>
    </row>
    <row r="541" spans="1:12">
      <c r="A541" s="4" t="s">
        <v>1354</v>
      </c>
      <c r="B541" s="4" t="s">
        <v>1355</v>
      </c>
      <c r="C541" s="4" t="s">
        <v>801</v>
      </c>
      <c r="D541" s="4" t="s">
        <v>325</v>
      </c>
      <c r="E541" s="4" t="s">
        <v>326</v>
      </c>
      <c r="F541" s="13">
        <v>1</v>
      </c>
      <c r="G541" s="13">
        <v>2</v>
      </c>
      <c r="H541" s="4"/>
      <c r="I541" s="4"/>
      <c r="J541" s="4"/>
      <c r="K541" s="4" t="s">
        <v>1356</v>
      </c>
      <c r="L541" s="4"/>
    </row>
    <row r="542" spans="1:12">
      <c r="A542" s="4" t="s">
        <v>1357</v>
      </c>
      <c r="B542" s="4" t="s">
        <v>1358</v>
      </c>
      <c r="C542" s="4" t="s">
        <v>801</v>
      </c>
      <c r="D542" s="4" t="s">
        <v>330</v>
      </c>
      <c r="E542" s="4" t="s">
        <v>326</v>
      </c>
      <c r="F542" s="13">
        <v>1</v>
      </c>
      <c r="G542" s="13">
        <v>1</v>
      </c>
      <c r="H542" s="4"/>
      <c r="I542" s="4"/>
      <c r="J542" s="4"/>
      <c r="K542" s="4" t="s">
        <v>1356</v>
      </c>
      <c r="L542" s="4" t="s">
        <v>683</v>
      </c>
    </row>
    <row r="543" spans="1:12">
      <c r="A543" s="4" t="s">
        <v>1359</v>
      </c>
      <c r="B543" s="4" t="s">
        <v>1360</v>
      </c>
      <c r="C543" s="4" t="s">
        <v>801</v>
      </c>
      <c r="D543" s="4" t="s">
        <v>330</v>
      </c>
      <c r="E543" s="4" t="s">
        <v>326</v>
      </c>
      <c r="F543" s="13">
        <v>1</v>
      </c>
      <c r="G543" s="13">
        <v>1</v>
      </c>
      <c r="H543" s="4"/>
      <c r="I543" s="4"/>
      <c r="J543" s="4"/>
      <c r="K543" s="4" t="s">
        <v>1356</v>
      </c>
      <c r="L543" s="4" t="s">
        <v>683</v>
      </c>
    </row>
    <row r="544" spans="1:12">
      <c r="A544" s="4" t="s">
        <v>1356</v>
      </c>
      <c r="B544" s="4" t="s">
        <v>1361</v>
      </c>
      <c r="C544" s="4" t="s">
        <v>801</v>
      </c>
      <c r="D544" s="4" t="s">
        <v>702</v>
      </c>
      <c r="E544" s="4" t="s">
        <v>326</v>
      </c>
      <c r="F544" s="13">
        <v>1</v>
      </c>
      <c r="G544" s="13">
        <v>1</v>
      </c>
      <c r="H544" s="4"/>
      <c r="I544" s="4"/>
      <c r="J544" s="4"/>
      <c r="K544" s="4" t="s">
        <v>304</v>
      </c>
      <c r="L544" s="4"/>
    </row>
    <row r="545" spans="1:12">
      <c r="A545" s="4" t="s">
        <v>1362</v>
      </c>
      <c r="B545" s="4" t="s">
        <v>1363</v>
      </c>
      <c r="C545" s="4" t="s">
        <v>801</v>
      </c>
      <c r="D545" s="4" t="s">
        <v>325</v>
      </c>
      <c r="E545" s="4" t="s">
        <v>326</v>
      </c>
      <c r="F545" s="13">
        <v>1</v>
      </c>
      <c r="G545" s="13">
        <v>2</v>
      </c>
      <c r="H545" s="4"/>
      <c r="I545" s="4"/>
      <c r="J545" s="4"/>
      <c r="K545" s="4" t="s">
        <v>1364</v>
      </c>
      <c r="L545" s="4"/>
    </row>
    <row r="546" spans="1:12">
      <c r="A546" s="4" t="s">
        <v>1365</v>
      </c>
      <c r="B546" s="4" t="s">
        <v>1366</v>
      </c>
      <c r="C546" s="4" t="s">
        <v>801</v>
      </c>
      <c r="D546" s="4" t="s">
        <v>330</v>
      </c>
      <c r="E546" s="4" t="s">
        <v>326</v>
      </c>
      <c r="F546" s="13">
        <v>1</v>
      </c>
      <c r="G546" s="13">
        <v>1</v>
      </c>
      <c r="H546" s="4"/>
      <c r="I546" s="4"/>
      <c r="J546" s="4"/>
      <c r="K546" s="4" t="s">
        <v>1364</v>
      </c>
      <c r="L546" s="4" t="s">
        <v>683</v>
      </c>
    </row>
    <row r="547" spans="1:12">
      <c r="A547" s="4" t="s">
        <v>1367</v>
      </c>
      <c r="B547" s="4" t="s">
        <v>1368</v>
      </c>
      <c r="C547" s="4" t="s">
        <v>801</v>
      </c>
      <c r="D547" s="4" t="s">
        <v>330</v>
      </c>
      <c r="E547" s="4" t="s">
        <v>326</v>
      </c>
      <c r="F547" s="13">
        <v>1</v>
      </c>
      <c r="G547" s="13">
        <v>1</v>
      </c>
      <c r="H547" s="4"/>
      <c r="I547" s="4"/>
      <c r="J547" s="4"/>
      <c r="K547" s="4" t="s">
        <v>1364</v>
      </c>
      <c r="L547" s="4" t="s">
        <v>683</v>
      </c>
    </row>
    <row r="548" spans="1:12">
      <c r="A548" s="4" t="s">
        <v>1364</v>
      </c>
      <c r="B548" s="4" t="s">
        <v>1369</v>
      </c>
      <c r="C548" s="4" t="s">
        <v>801</v>
      </c>
      <c r="D548" s="4" t="s">
        <v>702</v>
      </c>
      <c r="E548" s="4" t="s">
        <v>326</v>
      </c>
      <c r="F548" s="13">
        <v>1</v>
      </c>
      <c r="G548" s="13">
        <v>1</v>
      </c>
      <c r="H548" s="4"/>
      <c r="I548" s="4"/>
      <c r="J548" s="4"/>
      <c r="K548" s="4" t="s">
        <v>304</v>
      </c>
      <c r="L548" s="4"/>
    </row>
    <row r="549" spans="1:12">
      <c r="A549" s="4" t="s">
        <v>1370</v>
      </c>
      <c r="B549" s="4" t="s">
        <v>1371</v>
      </c>
      <c r="C549" s="4" t="s">
        <v>801</v>
      </c>
      <c r="D549" s="4" t="s">
        <v>325</v>
      </c>
      <c r="E549" s="4" t="s">
        <v>326</v>
      </c>
      <c r="F549" s="13">
        <v>1</v>
      </c>
      <c r="G549" s="13">
        <v>2</v>
      </c>
      <c r="H549" s="4"/>
      <c r="I549" s="4"/>
      <c r="J549" s="4"/>
      <c r="K549" s="4" t="s">
        <v>1372</v>
      </c>
      <c r="L549" s="4"/>
    </row>
    <row r="550" spans="1:12">
      <c r="A550" s="4" t="s">
        <v>1373</v>
      </c>
      <c r="B550" s="4" t="s">
        <v>1374</v>
      </c>
      <c r="C550" s="4" t="s">
        <v>801</v>
      </c>
      <c r="D550" s="4" t="s">
        <v>330</v>
      </c>
      <c r="E550" s="4" t="s">
        <v>326</v>
      </c>
      <c r="F550" s="13">
        <v>1</v>
      </c>
      <c r="G550" s="13">
        <v>1</v>
      </c>
      <c r="H550" s="4"/>
      <c r="I550" s="4"/>
      <c r="J550" s="4"/>
      <c r="K550" s="4" t="s">
        <v>1372</v>
      </c>
      <c r="L550" s="4" t="s">
        <v>683</v>
      </c>
    </row>
    <row r="551" spans="1:12">
      <c r="A551" s="4" t="s">
        <v>1375</v>
      </c>
      <c r="B551" s="4" t="s">
        <v>1376</v>
      </c>
      <c r="C551" s="4" t="s">
        <v>801</v>
      </c>
      <c r="D551" s="4" t="s">
        <v>330</v>
      </c>
      <c r="E551" s="4" t="s">
        <v>326</v>
      </c>
      <c r="F551" s="13">
        <v>1</v>
      </c>
      <c r="G551" s="13">
        <v>1</v>
      </c>
      <c r="H551" s="4"/>
      <c r="I551" s="4"/>
      <c r="J551" s="4"/>
      <c r="K551" s="4" t="s">
        <v>1372</v>
      </c>
      <c r="L551" s="4" t="s">
        <v>683</v>
      </c>
    </row>
    <row r="552" spans="1:12">
      <c r="A552" s="4" t="s">
        <v>1372</v>
      </c>
      <c r="B552" s="4" t="s">
        <v>1377</v>
      </c>
      <c r="C552" s="4" t="s">
        <v>801</v>
      </c>
      <c r="D552" s="4" t="s">
        <v>702</v>
      </c>
      <c r="E552" s="4" t="s">
        <v>326</v>
      </c>
      <c r="F552" s="13">
        <v>1</v>
      </c>
      <c r="G552" s="13">
        <v>1</v>
      </c>
      <c r="H552" s="4"/>
      <c r="I552" s="4"/>
      <c r="J552" s="4"/>
      <c r="K552" s="4" t="s">
        <v>304</v>
      </c>
      <c r="L552" s="4"/>
    </row>
    <row r="553" spans="1:12">
      <c r="A553" s="4" t="s">
        <v>1378</v>
      </c>
      <c r="B553" s="4" t="s">
        <v>1379</v>
      </c>
      <c r="C553" s="4" t="s">
        <v>801</v>
      </c>
      <c r="D553" s="4" t="s">
        <v>325</v>
      </c>
      <c r="E553" s="4" t="s">
        <v>326</v>
      </c>
      <c r="F553" s="13">
        <v>1</v>
      </c>
      <c r="G553" s="13">
        <v>2</v>
      </c>
      <c r="H553" s="4"/>
      <c r="I553" s="4"/>
      <c r="J553" s="4"/>
      <c r="K553" s="4" t="s">
        <v>1380</v>
      </c>
      <c r="L553" s="4"/>
    </row>
    <row r="554" spans="1:12">
      <c r="A554" s="4" t="s">
        <v>1381</v>
      </c>
      <c r="B554" s="4" t="s">
        <v>1382</v>
      </c>
      <c r="C554" s="4" t="s">
        <v>801</v>
      </c>
      <c r="D554" s="4" t="s">
        <v>330</v>
      </c>
      <c r="E554" s="4" t="s">
        <v>326</v>
      </c>
      <c r="F554" s="13">
        <v>1</v>
      </c>
      <c r="G554" s="13">
        <v>1</v>
      </c>
      <c r="H554" s="4"/>
      <c r="I554" s="4"/>
      <c r="J554" s="4"/>
      <c r="K554" s="4" t="s">
        <v>1380</v>
      </c>
      <c r="L554" s="4" t="s">
        <v>683</v>
      </c>
    </row>
    <row r="555" spans="1:12">
      <c r="A555" s="4" t="s">
        <v>1383</v>
      </c>
      <c r="B555" s="4" t="s">
        <v>1384</v>
      </c>
      <c r="C555" s="4" t="s">
        <v>801</v>
      </c>
      <c r="D555" s="4" t="s">
        <v>330</v>
      </c>
      <c r="E555" s="4" t="s">
        <v>326</v>
      </c>
      <c r="F555" s="13">
        <v>1</v>
      </c>
      <c r="G555" s="13">
        <v>1</v>
      </c>
      <c r="H555" s="4"/>
      <c r="I555" s="4"/>
      <c r="J555" s="4"/>
      <c r="K555" s="4" t="s">
        <v>1380</v>
      </c>
      <c r="L555" s="4" t="s">
        <v>683</v>
      </c>
    </row>
    <row r="556" spans="1:12">
      <c r="A556" s="4" t="s">
        <v>1380</v>
      </c>
      <c r="B556" s="4" t="s">
        <v>1385</v>
      </c>
      <c r="C556" s="4" t="s">
        <v>801</v>
      </c>
      <c r="D556" s="4" t="s">
        <v>702</v>
      </c>
      <c r="E556" s="4" t="s">
        <v>326</v>
      </c>
      <c r="F556" s="13">
        <v>1</v>
      </c>
      <c r="G556" s="13">
        <v>1</v>
      </c>
      <c r="H556" s="4"/>
      <c r="I556" s="4"/>
      <c r="J556" s="4"/>
      <c r="K556" s="4" t="s">
        <v>304</v>
      </c>
      <c r="L556" s="4"/>
    </row>
    <row r="557" spans="1:12">
      <c r="A557" s="4" t="s">
        <v>1386</v>
      </c>
      <c r="B557" s="4" t="s">
        <v>1387</v>
      </c>
      <c r="C557" s="4" t="s">
        <v>801</v>
      </c>
      <c r="D557" s="4" t="s">
        <v>325</v>
      </c>
      <c r="E557" s="4" t="s">
        <v>326</v>
      </c>
      <c r="F557" s="13">
        <v>1</v>
      </c>
      <c r="G557" s="13">
        <v>2</v>
      </c>
      <c r="H557" s="4"/>
      <c r="I557" s="4"/>
      <c r="J557" s="4"/>
      <c r="K557" s="4" t="s">
        <v>1388</v>
      </c>
      <c r="L557" s="4"/>
    </row>
    <row r="558" spans="1:12">
      <c r="A558" s="4" t="s">
        <v>1389</v>
      </c>
      <c r="B558" s="4" t="s">
        <v>1390</v>
      </c>
      <c r="C558" s="4" t="s">
        <v>801</v>
      </c>
      <c r="D558" s="4" t="s">
        <v>330</v>
      </c>
      <c r="E558" s="4" t="s">
        <v>326</v>
      </c>
      <c r="F558" s="13">
        <v>1</v>
      </c>
      <c r="G558" s="13">
        <v>1</v>
      </c>
      <c r="H558" s="4"/>
      <c r="I558" s="4"/>
      <c r="J558" s="4"/>
      <c r="K558" s="4" t="s">
        <v>1388</v>
      </c>
      <c r="L558" s="4" t="s">
        <v>683</v>
      </c>
    </row>
    <row r="559" spans="1:12">
      <c r="A559" s="4" t="s">
        <v>1391</v>
      </c>
      <c r="B559" s="4" t="s">
        <v>1392</v>
      </c>
      <c r="C559" s="4" t="s">
        <v>801</v>
      </c>
      <c r="D559" s="4" t="s">
        <v>330</v>
      </c>
      <c r="E559" s="4" t="s">
        <v>326</v>
      </c>
      <c r="F559" s="13">
        <v>1</v>
      </c>
      <c r="G559" s="13">
        <v>1</v>
      </c>
      <c r="H559" s="4"/>
      <c r="I559" s="4"/>
      <c r="J559" s="4"/>
      <c r="K559" s="4" t="s">
        <v>1388</v>
      </c>
      <c r="L559" s="4" t="s">
        <v>683</v>
      </c>
    </row>
    <row r="560" spans="1:12">
      <c r="A560" s="4" t="s">
        <v>1393</v>
      </c>
      <c r="B560" s="4" t="s">
        <v>1394</v>
      </c>
      <c r="C560" s="4" t="s">
        <v>801</v>
      </c>
      <c r="D560" s="4" t="s">
        <v>330</v>
      </c>
      <c r="E560" s="4" t="s">
        <v>326</v>
      </c>
      <c r="F560" s="13">
        <v>1</v>
      </c>
      <c r="G560" s="13">
        <v>1</v>
      </c>
      <c r="H560" s="4"/>
      <c r="I560" s="4"/>
      <c r="J560" s="4"/>
      <c r="K560" s="4" t="s">
        <v>1388</v>
      </c>
      <c r="L560" s="4" t="s">
        <v>683</v>
      </c>
    </row>
    <row r="561" spans="1:12">
      <c r="A561" s="4" t="s">
        <v>1388</v>
      </c>
      <c r="B561" s="4" t="s">
        <v>1395</v>
      </c>
      <c r="C561" s="4" t="s">
        <v>801</v>
      </c>
      <c r="D561" s="4" t="s">
        <v>702</v>
      </c>
      <c r="E561" s="4" t="s">
        <v>326</v>
      </c>
      <c r="F561" s="13">
        <v>1</v>
      </c>
      <c r="G561" s="13">
        <v>1</v>
      </c>
      <c r="H561" s="4"/>
      <c r="I561" s="4"/>
      <c r="J561" s="4"/>
      <c r="K561" s="4" t="s">
        <v>304</v>
      </c>
      <c r="L561" s="4"/>
    </row>
    <row r="562" spans="1:12">
      <c r="A562" s="4" t="s">
        <v>1396</v>
      </c>
      <c r="B562" s="4" t="s">
        <v>1397</v>
      </c>
      <c r="C562" s="4" t="s">
        <v>801</v>
      </c>
      <c r="D562" s="4" t="s">
        <v>325</v>
      </c>
      <c r="E562" s="4" t="s">
        <v>326</v>
      </c>
      <c r="F562" s="13">
        <v>1</v>
      </c>
      <c r="G562" s="13">
        <v>2</v>
      </c>
      <c r="H562" s="4"/>
      <c r="I562" s="4"/>
      <c r="J562" s="4"/>
      <c r="K562" s="4" t="s">
        <v>1398</v>
      </c>
      <c r="L562" s="4"/>
    </row>
    <row r="563" spans="1:12">
      <c r="A563" s="4" t="s">
        <v>1399</v>
      </c>
      <c r="B563" s="4" t="s">
        <v>1400</v>
      </c>
      <c r="C563" s="4" t="s">
        <v>801</v>
      </c>
      <c r="D563" s="4" t="s">
        <v>330</v>
      </c>
      <c r="E563" s="4" t="s">
        <v>326</v>
      </c>
      <c r="F563" s="13">
        <v>1</v>
      </c>
      <c r="G563" s="13">
        <v>1</v>
      </c>
      <c r="H563" s="4"/>
      <c r="I563" s="4"/>
      <c r="J563" s="4"/>
      <c r="K563" s="4" t="s">
        <v>1398</v>
      </c>
      <c r="L563" s="4" t="s">
        <v>683</v>
      </c>
    </row>
    <row r="564" spans="1:12">
      <c r="A564" s="4" t="s">
        <v>1401</v>
      </c>
      <c r="B564" s="4" t="s">
        <v>1402</v>
      </c>
      <c r="C564" s="4" t="s">
        <v>801</v>
      </c>
      <c r="D564" s="4" t="s">
        <v>330</v>
      </c>
      <c r="E564" s="4" t="s">
        <v>326</v>
      </c>
      <c r="F564" s="13">
        <v>1</v>
      </c>
      <c r="G564" s="13">
        <v>1</v>
      </c>
      <c r="H564" s="4"/>
      <c r="I564" s="4"/>
      <c r="J564" s="4"/>
      <c r="K564" s="4" t="s">
        <v>1398</v>
      </c>
      <c r="L564" s="4" t="s">
        <v>683</v>
      </c>
    </row>
    <row r="565" spans="1:12">
      <c r="A565" s="4" t="s">
        <v>1398</v>
      </c>
      <c r="B565" s="4" t="s">
        <v>1403</v>
      </c>
      <c r="C565" s="4" t="s">
        <v>801</v>
      </c>
      <c r="D565" s="4" t="s">
        <v>702</v>
      </c>
      <c r="E565" s="4" t="s">
        <v>326</v>
      </c>
      <c r="F565" s="13">
        <v>1</v>
      </c>
      <c r="G565" s="13">
        <v>1</v>
      </c>
      <c r="H565" s="4"/>
      <c r="I565" s="4"/>
      <c r="J565" s="4"/>
      <c r="K565" s="4" t="s">
        <v>304</v>
      </c>
      <c r="L565" s="4"/>
    </row>
    <row r="566" spans="1:12">
      <c r="A566" s="4" t="s">
        <v>1404</v>
      </c>
      <c r="B566" s="4" t="s">
        <v>1405</v>
      </c>
      <c r="C566" s="4" t="s">
        <v>801</v>
      </c>
      <c r="D566" s="4" t="s">
        <v>325</v>
      </c>
      <c r="E566" s="4" t="s">
        <v>326</v>
      </c>
      <c r="F566" s="13">
        <v>0</v>
      </c>
      <c r="G566" s="13">
        <v>2</v>
      </c>
      <c r="H566" s="4"/>
      <c r="I566" s="4"/>
      <c r="J566" s="4"/>
      <c r="K566" s="4" t="s">
        <v>1406</v>
      </c>
      <c r="L566" s="4"/>
    </row>
    <row r="567" spans="1:12">
      <c r="A567" s="4" t="s">
        <v>1407</v>
      </c>
      <c r="B567" s="4" t="s">
        <v>1408</v>
      </c>
      <c r="C567" s="4" t="s">
        <v>801</v>
      </c>
      <c r="D567" s="4" t="s">
        <v>330</v>
      </c>
      <c r="E567" s="4" t="s">
        <v>326</v>
      </c>
      <c r="F567" s="13">
        <v>1</v>
      </c>
      <c r="G567" s="13">
        <v>1</v>
      </c>
      <c r="H567" s="4"/>
      <c r="I567" s="4"/>
      <c r="J567" s="4"/>
      <c r="K567" s="4" t="s">
        <v>1406</v>
      </c>
      <c r="L567" s="4" t="s">
        <v>683</v>
      </c>
    </row>
    <row r="568" spans="1:12">
      <c r="A568" s="4" t="s">
        <v>1409</v>
      </c>
      <c r="B568" s="4" t="s">
        <v>1410</v>
      </c>
      <c r="C568" s="4" t="s">
        <v>801</v>
      </c>
      <c r="D568" s="4" t="s">
        <v>330</v>
      </c>
      <c r="E568" s="4" t="s">
        <v>326</v>
      </c>
      <c r="F568" s="13">
        <v>1</v>
      </c>
      <c r="G568" s="13">
        <v>1</v>
      </c>
      <c r="H568" s="4"/>
      <c r="I568" s="4"/>
      <c r="J568" s="4"/>
      <c r="K568" s="4" t="s">
        <v>1406</v>
      </c>
      <c r="L568" s="4" t="s">
        <v>683</v>
      </c>
    </row>
    <row r="569" spans="1:12">
      <c r="A569" s="4" t="s">
        <v>1406</v>
      </c>
      <c r="B569" s="4" t="s">
        <v>1411</v>
      </c>
      <c r="C569" s="4" t="s">
        <v>801</v>
      </c>
      <c r="D569" s="4" t="s">
        <v>702</v>
      </c>
      <c r="E569" s="4" t="s">
        <v>326</v>
      </c>
      <c r="F569" s="13">
        <v>0</v>
      </c>
      <c r="G569" s="13">
        <v>1</v>
      </c>
      <c r="H569" s="4"/>
      <c r="I569" s="4"/>
      <c r="J569" s="4"/>
      <c r="K569" s="4" t="s">
        <v>304</v>
      </c>
      <c r="L569" s="4"/>
    </row>
    <row r="570" spans="1:12">
      <c r="A570" s="4" t="s">
        <v>1412</v>
      </c>
      <c r="B570" s="4" t="s">
        <v>1413</v>
      </c>
      <c r="C570" s="4" t="s">
        <v>801</v>
      </c>
      <c r="D570" s="4" t="s">
        <v>325</v>
      </c>
      <c r="E570" s="4" t="s">
        <v>326</v>
      </c>
      <c r="F570" s="13">
        <v>0</v>
      </c>
      <c r="G570" s="13">
        <v>2</v>
      </c>
      <c r="H570" s="4"/>
      <c r="I570" s="4"/>
      <c r="J570" s="4"/>
      <c r="K570" s="4" t="s">
        <v>1414</v>
      </c>
      <c r="L570" s="4"/>
    </row>
    <row r="571" spans="1:12">
      <c r="A571" s="4" t="s">
        <v>1415</v>
      </c>
      <c r="B571" s="4" t="s">
        <v>1416</v>
      </c>
      <c r="C571" s="4" t="s">
        <v>801</v>
      </c>
      <c r="D571" s="4" t="s">
        <v>330</v>
      </c>
      <c r="E571" s="4" t="s">
        <v>326</v>
      </c>
      <c r="F571" s="13">
        <v>1</v>
      </c>
      <c r="G571" s="13">
        <v>1</v>
      </c>
      <c r="H571" s="4"/>
      <c r="I571" s="4"/>
      <c r="J571" s="4"/>
      <c r="K571" s="4" t="s">
        <v>1414</v>
      </c>
      <c r="L571" s="4" t="s">
        <v>683</v>
      </c>
    </row>
    <row r="572" spans="1:12">
      <c r="A572" s="4" t="s">
        <v>1417</v>
      </c>
      <c r="B572" s="4" t="s">
        <v>1418</v>
      </c>
      <c r="C572" s="4" t="s">
        <v>801</v>
      </c>
      <c r="D572" s="4" t="s">
        <v>330</v>
      </c>
      <c r="E572" s="4" t="s">
        <v>326</v>
      </c>
      <c r="F572" s="13">
        <v>1</v>
      </c>
      <c r="G572" s="13">
        <v>1</v>
      </c>
      <c r="H572" s="4"/>
      <c r="I572" s="4"/>
      <c r="J572" s="4"/>
      <c r="K572" s="4" t="s">
        <v>1414</v>
      </c>
      <c r="L572" s="4" t="s">
        <v>683</v>
      </c>
    </row>
    <row r="573" spans="1:12">
      <c r="A573" s="4" t="s">
        <v>1414</v>
      </c>
      <c r="B573" s="4" t="s">
        <v>1419</v>
      </c>
      <c r="C573" s="4" t="s">
        <v>801</v>
      </c>
      <c r="D573" s="4" t="s">
        <v>702</v>
      </c>
      <c r="E573" s="4" t="s">
        <v>326</v>
      </c>
      <c r="F573" s="13">
        <v>0</v>
      </c>
      <c r="G573" s="13">
        <v>1</v>
      </c>
      <c r="H573" s="4"/>
      <c r="I573" s="4"/>
      <c r="J573" s="4"/>
      <c r="K573" s="4" t="s">
        <v>304</v>
      </c>
      <c r="L573" s="4"/>
    </row>
    <row r="574" spans="1:12">
      <c r="A574" s="4" t="s">
        <v>1420</v>
      </c>
      <c r="B574" s="4" t="s">
        <v>1421</v>
      </c>
      <c r="C574" s="4" t="s">
        <v>801</v>
      </c>
      <c r="D574" s="4" t="s">
        <v>325</v>
      </c>
      <c r="E574" s="4" t="s">
        <v>326</v>
      </c>
      <c r="F574" s="13">
        <v>0</v>
      </c>
      <c r="G574" s="13">
        <v>2</v>
      </c>
      <c r="H574" s="4"/>
      <c r="I574" s="4"/>
      <c r="J574" s="4"/>
      <c r="K574" s="4" t="s">
        <v>1422</v>
      </c>
      <c r="L574" s="4"/>
    </row>
    <row r="575" spans="1:12">
      <c r="A575" s="4" t="s">
        <v>1423</v>
      </c>
      <c r="B575" s="4" t="s">
        <v>1424</v>
      </c>
      <c r="C575" s="4" t="s">
        <v>801</v>
      </c>
      <c r="D575" s="4" t="s">
        <v>330</v>
      </c>
      <c r="E575" s="4" t="s">
        <v>326</v>
      </c>
      <c r="F575" s="13">
        <v>1</v>
      </c>
      <c r="G575" s="13">
        <v>1</v>
      </c>
      <c r="H575" s="4"/>
      <c r="I575" s="4"/>
      <c r="J575" s="4"/>
      <c r="K575" s="4" t="s">
        <v>1422</v>
      </c>
      <c r="L575" s="4" t="s">
        <v>683</v>
      </c>
    </row>
    <row r="576" spans="1:12">
      <c r="A576" s="4" t="s">
        <v>1425</v>
      </c>
      <c r="B576" s="4" t="s">
        <v>1426</v>
      </c>
      <c r="C576" s="4" t="s">
        <v>801</v>
      </c>
      <c r="D576" s="4" t="s">
        <v>330</v>
      </c>
      <c r="E576" s="4" t="s">
        <v>326</v>
      </c>
      <c r="F576" s="13">
        <v>1</v>
      </c>
      <c r="G576" s="13">
        <v>1</v>
      </c>
      <c r="H576" s="4"/>
      <c r="I576" s="4"/>
      <c r="J576" s="4"/>
      <c r="K576" s="4" t="s">
        <v>1422</v>
      </c>
      <c r="L576" s="4" t="s">
        <v>683</v>
      </c>
    </row>
    <row r="577" spans="1:12">
      <c r="A577" s="4" t="s">
        <v>1422</v>
      </c>
      <c r="B577" s="4" t="s">
        <v>1427</v>
      </c>
      <c r="C577" s="4" t="s">
        <v>801</v>
      </c>
      <c r="D577" s="4" t="s">
        <v>702</v>
      </c>
      <c r="E577" s="4" t="s">
        <v>326</v>
      </c>
      <c r="F577" s="13">
        <v>0</v>
      </c>
      <c r="G577" s="13">
        <v>1</v>
      </c>
      <c r="H577" s="4"/>
      <c r="I577" s="4"/>
      <c r="J577" s="4"/>
      <c r="K577" s="4" t="s">
        <v>304</v>
      </c>
      <c r="L577" s="4"/>
    </row>
    <row r="578" spans="1:12">
      <c r="A578" s="4" t="s">
        <v>1428</v>
      </c>
      <c r="B578" s="4" t="s">
        <v>1429</v>
      </c>
      <c r="C578" s="4" t="s">
        <v>801</v>
      </c>
      <c r="D578" s="4" t="s">
        <v>325</v>
      </c>
      <c r="E578" s="4" t="s">
        <v>326</v>
      </c>
      <c r="F578" s="13">
        <v>0</v>
      </c>
      <c r="G578" s="13">
        <v>2</v>
      </c>
      <c r="H578" s="4"/>
      <c r="I578" s="4"/>
      <c r="J578" s="4"/>
      <c r="K578" s="4" t="s">
        <v>1430</v>
      </c>
      <c r="L578" s="4"/>
    </row>
    <row r="579" spans="1:12">
      <c r="A579" s="4" t="s">
        <v>1431</v>
      </c>
      <c r="B579" s="4" t="s">
        <v>1432</v>
      </c>
      <c r="C579" s="4" t="s">
        <v>801</v>
      </c>
      <c r="D579" s="4" t="s">
        <v>330</v>
      </c>
      <c r="E579" s="4" t="s">
        <v>326</v>
      </c>
      <c r="F579" s="13">
        <v>1</v>
      </c>
      <c r="G579" s="13">
        <v>1</v>
      </c>
      <c r="H579" s="4"/>
      <c r="I579" s="4"/>
      <c r="J579" s="4"/>
      <c r="K579" s="4" t="s">
        <v>1430</v>
      </c>
      <c r="L579" s="4" t="s">
        <v>683</v>
      </c>
    </row>
    <row r="580" spans="1:12">
      <c r="A580" s="4" t="s">
        <v>1433</v>
      </c>
      <c r="B580" s="4" t="s">
        <v>1434</v>
      </c>
      <c r="C580" s="4" t="s">
        <v>801</v>
      </c>
      <c r="D580" s="4" t="s">
        <v>330</v>
      </c>
      <c r="E580" s="4" t="s">
        <v>326</v>
      </c>
      <c r="F580" s="13">
        <v>1</v>
      </c>
      <c r="G580" s="13">
        <v>1</v>
      </c>
      <c r="H580" s="4"/>
      <c r="I580" s="4"/>
      <c r="J580" s="4"/>
      <c r="K580" s="4" t="s">
        <v>1430</v>
      </c>
      <c r="L580" s="4" t="s">
        <v>683</v>
      </c>
    </row>
    <row r="581" spans="1:12">
      <c r="A581" s="4" t="s">
        <v>1430</v>
      </c>
      <c r="B581" s="4" t="s">
        <v>1435</v>
      </c>
      <c r="C581" s="4" t="s">
        <v>801</v>
      </c>
      <c r="D581" s="4" t="s">
        <v>702</v>
      </c>
      <c r="E581" s="4" t="s">
        <v>326</v>
      </c>
      <c r="F581" s="13">
        <v>0</v>
      </c>
      <c r="G581" s="13">
        <v>1</v>
      </c>
      <c r="H581" s="4"/>
      <c r="I581" s="4"/>
      <c r="J581" s="4"/>
      <c r="K581" s="4" t="s">
        <v>304</v>
      </c>
      <c r="L581" s="4"/>
    </row>
    <row r="582" spans="1:12">
      <c r="A582" s="4" t="s">
        <v>1436</v>
      </c>
      <c r="B582" s="4" t="s">
        <v>1437</v>
      </c>
      <c r="C582" s="4" t="s">
        <v>801</v>
      </c>
      <c r="D582" s="4" t="s">
        <v>325</v>
      </c>
      <c r="E582" s="4" t="s">
        <v>326</v>
      </c>
      <c r="F582" s="13">
        <v>0</v>
      </c>
      <c r="G582" s="13">
        <v>2</v>
      </c>
      <c r="H582" s="4"/>
      <c r="I582" s="4"/>
      <c r="J582" s="4"/>
      <c r="K582" s="4" t="s">
        <v>1438</v>
      </c>
      <c r="L582" s="4"/>
    </row>
    <row r="583" spans="1:12">
      <c r="A583" s="4" t="s">
        <v>1439</v>
      </c>
      <c r="B583" s="4" t="s">
        <v>1440</v>
      </c>
      <c r="C583" s="4" t="s">
        <v>801</v>
      </c>
      <c r="D583" s="4" t="s">
        <v>330</v>
      </c>
      <c r="E583" s="4" t="s">
        <v>326</v>
      </c>
      <c r="F583" s="13">
        <v>1</v>
      </c>
      <c r="G583" s="13">
        <v>1</v>
      </c>
      <c r="H583" s="4"/>
      <c r="I583" s="4"/>
      <c r="J583" s="4"/>
      <c r="K583" s="4" t="s">
        <v>1438</v>
      </c>
      <c r="L583" s="4" t="s">
        <v>683</v>
      </c>
    </row>
    <row r="584" spans="1:12">
      <c r="A584" s="4" t="s">
        <v>1441</v>
      </c>
      <c r="B584" s="4" t="s">
        <v>1442</v>
      </c>
      <c r="C584" s="4" t="s">
        <v>801</v>
      </c>
      <c r="D584" s="4" t="s">
        <v>330</v>
      </c>
      <c r="E584" s="4" t="s">
        <v>326</v>
      </c>
      <c r="F584" s="13">
        <v>1</v>
      </c>
      <c r="G584" s="13">
        <v>1</v>
      </c>
      <c r="H584" s="4"/>
      <c r="I584" s="4"/>
      <c r="J584" s="4"/>
      <c r="K584" s="4" t="s">
        <v>1438</v>
      </c>
      <c r="L584" s="4" t="s">
        <v>683</v>
      </c>
    </row>
    <row r="585" spans="1:12">
      <c r="A585" s="4" t="s">
        <v>1438</v>
      </c>
      <c r="B585" s="4" t="s">
        <v>1443</v>
      </c>
      <c r="C585" s="4" t="s">
        <v>801</v>
      </c>
      <c r="D585" s="4" t="s">
        <v>702</v>
      </c>
      <c r="E585" s="4" t="s">
        <v>326</v>
      </c>
      <c r="F585" s="13">
        <v>0</v>
      </c>
      <c r="G585" s="13">
        <v>1</v>
      </c>
      <c r="H585" s="4"/>
      <c r="I585" s="4"/>
      <c r="J585" s="4"/>
      <c r="K585" s="4" t="s">
        <v>304</v>
      </c>
      <c r="L585" s="4"/>
    </row>
    <row r="586" spans="1:12">
      <c r="A586" s="4" t="s">
        <v>1444</v>
      </c>
      <c r="B586" s="4" t="s">
        <v>1445</v>
      </c>
      <c r="C586" s="4" t="s">
        <v>801</v>
      </c>
      <c r="D586" s="4" t="s">
        <v>325</v>
      </c>
      <c r="E586" s="4" t="s">
        <v>326</v>
      </c>
      <c r="F586" s="13">
        <v>0</v>
      </c>
      <c r="G586" s="13">
        <v>2</v>
      </c>
      <c r="H586" s="4"/>
      <c r="I586" s="4"/>
      <c r="J586" s="4"/>
      <c r="K586" s="4" t="s">
        <v>1446</v>
      </c>
      <c r="L586" s="4"/>
    </row>
    <row r="587" spans="1:12">
      <c r="A587" s="4" t="s">
        <v>1447</v>
      </c>
      <c r="B587" s="4" t="s">
        <v>1448</v>
      </c>
      <c r="C587" s="4" t="s">
        <v>801</v>
      </c>
      <c r="D587" s="4" t="s">
        <v>330</v>
      </c>
      <c r="E587" s="4" t="s">
        <v>326</v>
      </c>
      <c r="F587" s="13">
        <v>1</v>
      </c>
      <c r="G587" s="13">
        <v>1</v>
      </c>
      <c r="H587" s="4"/>
      <c r="I587" s="4"/>
      <c r="J587" s="4"/>
      <c r="K587" s="4" t="s">
        <v>1446</v>
      </c>
      <c r="L587" s="4" t="s">
        <v>683</v>
      </c>
    </row>
    <row r="588" spans="1:12">
      <c r="A588" s="4" t="s">
        <v>1449</v>
      </c>
      <c r="B588" s="4" t="s">
        <v>1450</v>
      </c>
      <c r="C588" s="4" t="s">
        <v>801</v>
      </c>
      <c r="D588" s="4" t="s">
        <v>330</v>
      </c>
      <c r="E588" s="4" t="s">
        <v>326</v>
      </c>
      <c r="F588" s="13">
        <v>1</v>
      </c>
      <c r="G588" s="13">
        <v>1</v>
      </c>
      <c r="H588" s="4"/>
      <c r="I588" s="4"/>
      <c r="J588" s="4"/>
      <c r="K588" s="4" t="s">
        <v>1446</v>
      </c>
      <c r="L588" s="4" t="s">
        <v>683</v>
      </c>
    </row>
    <row r="589" spans="1:12">
      <c r="A589" s="4" t="s">
        <v>1446</v>
      </c>
      <c r="B589" s="4" t="s">
        <v>1451</v>
      </c>
      <c r="C589" s="4" t="s">
        <v>801</v>
      </c>
      <c r="D589" s="4" t="s">
        <v>702</v>
      </c>
      <c r="E589" s="4" t="s">
        <v>326</v>
      </c>
      <c r="F589" s="13">
        <v>0</v>
      </c>
      <c r="G589" s="13">
        <v>1</v>
      </c>
      <c r="H589" s="4"/>
      <c r="I589" s="4"/>
      <c r="J589" s="4"/>
      <c r="K589" s="4" t="s">
        <v>304</v>
      </c>
      <c r="L589" s="4"/>
    </row>
    <row r="590" spans="1:12">
      <c r="A590" s="4" t="s">
        <v>1452</v>
      </c>
      <c r="B590" s="4" t="s">
        <v>1453</v>
      </c>
      <c r="C590" s="4" t="s">
        <v>801</v>
      </c>
      <c r="D590" s="4" t="s">
        <v>325</v>
      </c>
      <c r="E590" s="4" t="s">
        <v>326</v>
      </c>
      <c r="F590" s="13">
        <v>0</v>
      </c>
      <c r="G590" s="13">
        <v>2</v>
      </c>
      <c r="H590" s="4"/>
      <c r="I590" s="4"/>
      <c r="J590" s="4"/>
      <c r="K590" s="4" t="s">
        <v>1454</v>
      </c>
      <c r="L590" s="4"/>
    </row>
    <row r="591" spans="1:12">
      <c r="A591" s="4" t="s">
        <v>1455</v>
      </c>
      <c r="B591" s="4" t="s">
        <v>1456</v>
      </c>
      <c r="C591" s="4" t="s">
        <v>801</v>
      </c>
      <c r="D591" s="4" t="s">
        <v>330</v>
      </c>
      <c r="E591" s="4" t="s">
        <v>326</v>
      </c>
      <c r="F591" s="13">
        <v>1</v>
      </c>
      <c r="G591" s="13">
        <v>1</v>
      </c>
      <c r="H591" s="4"/>
      <c r="I591" s="4"/>
      <c r="J591" s="4"/>
      <c r="K591" s="4" t="s">
        <v>1454</v>
      </c>
      <c r="L591" s="4" t="s">
        <v>683</v>
      </c>
    </row>
    <row r="592" spans="1:12">
      <c r="A592" s="4" t="s">
        <v>1457</v>
      </c>
      <c r="B592" s="4" t="s">
        <v>1458</v>
      </c>
      <c r="C592" s="4" t="s">
        <v>801</v>
      </c>
      <c r="D592" s="4" t="s">
        <v>330</v>
      </c>
      <c r="E592" s="4" t="s">
        <v>326</v>
      </c>
      <c r="F592" s="13">
        <v>1</v>
      </c>
      <c r="G592" s="13">
        <v>1</v>
      </c>
      <c r="H592" s="4"/>
      <c r="I592" s="4"/>
      <c r="J592" s="4"/>
      <c r="K592" s="4" t="s">
        <v>1454</v>
      </c>
      <c r="L592" s="4" t="s">
        <v>683</v>
      </c>
    </row>
    <row r="593" spans="1:12">
      <c r="A593" s="4" t="s">
        <v>1454</v>
      </c>
      <c r="B593" s="4" t="s">
        <v>1459</v>
      </c>
      <c r="C593" s="4" t="s">
        <v>801</v>
      </c>
      <c r="D593" s="4" t="s">
        <v>702</v>
      </c>
      <c r="E593" s="4" t="s">
        <v>326</v>
      </c>
      <c r="F593" s="13">
        <v>0</v>
      </c>
      <c r="G593" s="13">
        <v>1</v>
      </c>
      <c r="H593" s="4"/>
      <c r="I593" s="4"/>
      <c r="J593" s="4"/>
      <c r="K593" s="4" t="s">
        <v>304</v>
      </c>
      <c r="L593" s="4"/>
    </row>
    <row r="594" spans="1:12">
      <c r="A594" s="4" t="s">
        <v>1460</v>
      </c>
      <c r="B594" s="4" t="s">
        <v>1461</v>
      </c>
      <c r="C594" s="4" t="s">
        <v>801</v>
      </c>
      <c r="D594" s="4" t="s">
        <v>325</v>
      </c>
      <c r="E594" s="4" t="s">
        <v>326</v>
      </c>
      <c r="F594" s="13">
        <v>0</v>
      </c>
      <c r="G594" s="13">
        <v>2</v>
      </c>
      <c r="H594" s="4"/>
      <c r="I594" s="4"/>
      <c r="J594" s="4"/>
      <c r="K594" s="4" t="s">
        <v>1462</v>
      </c>
      <c r="L594" s="4"/>
    </row>
    <row r="595" spans="1:12">
      <c r="A595" s="4" t="s">
        <v>1463</v>
      </c>
      <c r="B595" s="4" t="s">
        <v>1464</v>
      </c>
      <c r="C595" s="4" t="s">
        <v>801</v>
      </c>
      <c r="D595" s="4" t="s">
        <v>330</v>
      </c>
      <c r="E595" s="4" t="s">
        <v>326</v>
      </c>
      <c r="F595" s="13">
        <v>1</v>
      </c>
      <c r="G595" s="13">
        <v>1</v>
      </c>
      <c r="H595" s="4"/>
      <c r="I595" s="4"/>
      <c r="J595" s="4"/>
      <c r="K595" s="4" t="s">
        <v>1462</v>
      </c>
      <c r="L595" s="4" t="s">
        <v>683</v>
      </c>
    </row>
    <row r="596" spans="1:12">
      <c r="A596" s="4" t="s">
        <v>1465</v>
      </c>
      <c r="B596" s="4" t="s">
        <v>1466</v>
      </c>
      <c r="C596" s="4" t="s">
        <v>801</v>
      </c>
      <c r="D596" s="4" t="s">
        <v>330</v>
      </c>
      <c r="E596" s="4" t="s">
        <v>326</v>
      </c>
      <c r="F596" s="13">
        <v>1</v>
      </c>
      <c r="G596" s="13">
        <v>1</v>
      </c>
      <c r="H596" s="4"/>
      <c r="I596" s="4"/>
      <c r="J596" s="4"/>
      <c r="K596" s="4" t="s">
        <v>1462</v>
      </c>
      <c r="L596" s="4" t="s">
        <v>683</v>
      </c>
    </row>
    <row r="597" spans="1:12">
      <c r="A597" s="4" t="s">
        <v>1462</v>
      </c>
      <c r="B597" s="4" t="s">
        <v>1467</v>
      </c>
      <c r="C597" s="4" t="s">
        <v>801</v>
      </c>
      <c r="D597" s="4" t="s">
        <v>702</v>
      </c>
      <c r="E597" s="4" t="s">
        <v>326</v>
      </c>
      <c r="F597" s="13">
        <v>0</v>
      </c>
      <c r="G597" s="13">
        <v>1</v>
      </c>
      <c r="H597" s="4"/>
      <c r="I597" s="4"/>
      <c r="J597" s="4"/>
      <c r="K597" s="4" t="s">
        <v>304</v>
      </c>
      <c r="L597" s="4"/>
    </row>
    <row r="598" spans="1:12">
      <c r="A598" s="4" t="s">
        <v>1468</v>
      </c>
      <c r="B598" s="4" t="s">
        <v>1469</v>
      </c>
      <c r="C598" s="4" t="s">
        <v>801</v>
      </c>
      <c r="D598" s="4" t="s">
        <v>325</v>
      </c>
      <c r="E598" s="4" t="s">
        <v>326</v>
      </c>
      <c r="F598" s="13">
        <v>0</v>
      </c>
      <c r="G598" s="13">
        <v>2</v>
      </c>
      <c r="H598" s="4"/>
      <c r="I598" s="4"/>
      <c r="J598" s="4"/>
      <c r="K598" s="4" t="s">
        <v>1470</v>
      </c>
      <c r="L598" s="4"/>
    </row>
    <row r="599" spans="1:12">
      <c r="A599" s="4" t="s">
        <v>1471</v>
      </c>
      <c r="B599" s="4" t="s">
        <v>1472</v>
      </c>
      <c r="C599" s="4" t="s">
        <v>801</v>
      </c>
      <c r="D599" s="4" t="s">
        <v>330</v>
      </c>
      <c r="E599" s="4" t="s">
        <v>326</v>
      </c>
      <c r="F599" s="13">
        <v>1</v>
      </c>
      <c r="G599" s="13">
        <v>1</v>
      </c>
      <c r="H599" s="4"/>
      <c r="I599" s="4"/>
      <c r="J599" s="4"/>
      <c r="K599" s="4" t="s">
        <v>1470</v>
      </c>
      <c r="L599" s="4" t="s">
        <v>683</v>
      </c>
    </row>
    <row r="600" spans="1:12">
      <c r="A600" s="4" t="s">
        <v>1473</v>
      </c>
      <c r="B600" s="4" t="s">
        <v>1474</v>
      </c>
      <c r="C600" s="4" t="s">
        <v>801</v>
      </c>
      <c r="D600" s="4" t="s">
        <v>330</v>
      </c>
      <c r="E600" s="4" t="s">
        <v>326</v>
      </c>
      <c r="F600" s="13">
        <v>1</v>
      </c>
      <c r="G600" s="13">
        <v>1</v>
      </c>
      <c r="H600" s="4"/>
      <c r="I600" s="4"/>
      <c r="J600" s="4"/>
      <c r="K600" s="4" t="s">
        <v>1470</v>
      </c>
      <c r="L600" s="4" t="s">
        <v>683</v>
      </c>
    </row>
    <row r="601" spans="1:12">
      <c r="A601" s="4" t="s">
        <v>1470</v>
      </c>
      <c r="B601" s="4" t="s">
        <v>1475</v>
      </c>
      <c r="C601" s="4" t="s">
        <v>801</v>
      </c>
      <c r="D601" s="4" t="s">
        <v>702</v>
      </c>
      <c r="E601" s="4" t="s">
        <v>326</v>
      </c>
      <c r="F601" s="13">
        <v>0</v>
      </c>
      <c r="G601" s="13">
        <v>1</v>
      </c>
      <c r="H601" s="4"/>
      <c r="I601" s="4"/>
      <c r="J601" s="4"/>
      <c r="K601" s="4" t="s">
        <v>304</v>
      </c>
      <c r="L601" s="4"/>
    </row>
    <row r="602" spans="1:12">
      <c r="A602" s="4" t="s">
        <v>1476</v>
      </c>
      <c r="B602" s="4" t="s">
        <v>1477</v>
      </c>
      <c r="C602" s="4" t="s">
        <v>801</v>
      </c>
      <c r="D602" s="4" t="s">
        <v>325</v>
      </c>
      <c r="E602" s="4" t="s">
        <v>326</v>
      </c>
      <c r="F602" s="13">
        <v>0</v>
      </c>
      <c r="G602" s="13">
        <v>2</v>
      </c>
      <c r="H602" s="4"/>
      <c r="I602" s="4"/>
      <c r="J602" s="4"/>
      <c r="K602" s="4" t="s">
        <v>1478</v>
      </c>
      <c r="L602" s="4"/>
    </row>
    <row r="603" spans="1:12">
      <c r="A603" s="4" t="s">
        <v>1479</v>
      </c>
      <c r="B603" s="4" t="s">
        <v>1480</v>
      </c>
      <c r="C603" s="4" t="s">
        <v>801</v>
      </c>
      <c r="D603" s="4" t="s">
        <v>330</v>
      </c>
      <c r="E603" s="4" t="s">
        <v>326</v>
      </c>
      <c r="F603" s="13">
        <v>1</v>
      </c>
      <c r="G603" s="13">
        <v>1</v>
      </c>
      <c r="H603" s="4"/>
      <c r="I603" s="4"/>
      <c r="J603" s="4"/>
      <c r="K603" s="4" t="s">
        <v>1478</v>
      </c>
      <c r="L603" s="4" t="s">
        <v>683</v>
      </c>
    </row>
    <row r="604" spans="1:12">
      <c r="A604" s="4" t="s">
        <v>1481</v>
      </c>
      <c r="B604" s="4" t="s">
        <v>1482</v>
      </c>
      <c r="C604" s="4" t="s">
        <v>801</v>
      </c>
      <c r="D604" s="4" t="s">
        <v>330</v>
      </c>
      <c r="E604" s="4" t="s">
        <v>326</v>
      </c>
      <c r="F604" s="13">
        <v>1</v>
      </c>
      <c r="G604" s="13">
        <v>1</v>
      </c>
      <c r="H604" s="4"/>
      <c r="I604" s="4"/>
      <c r="J604" s="4"/>
      <c r="K604" s="4" t="s">
        <v>1478</v>
      </c>
      <c r="L604" s="4" t="s">
        <v>683</v>
      </c>
    </row>
    <row r="605" spans="1:12">
      <c r="A605" s="4" t="s">
        <v>1478</v>
      </c>
      <c r="B605" s="4" t="s">
        <v>1483</v>
      </c>
      <c r="C605" s="4" t="s">
        <v>801</v>
      </c>
      <c r="D605" s="4" t="s">
        <v>702</v>
      </c>
      <c r="E605" s="4" t="s">
        <v>326</v>
      </c>
      <c r="F605" s="13">
        <v>0</v>
      </c>
      <c r="G605" s="13">
        <v>1</v>
      </c>
      <c r="H605" s="4"/>
      <c r="I605" s="4"/>
      <c r="J605" s="4"/>
      <c r="K605" s="4" t="s">
        <v>304</v>
      </c>
      <c r="L605" s="4"/>
    </row>
    <row r="606" spans="1:12">
      <c r="A606" s="4" t="s">
        <v>1484</v>
      </c>
      <c r="B606" s="4" t="s">
        <v>1485</v>
      </c>
      <c r="C606" s="4" t="s">
        <v>801</v>
      </c>
      <c r="D606" s="4" t="s">
        <v>325</v>
      </c>
      <c r="E606" s="4" t="s">
        <v>326</v>
      </c>
      <c r="F606" s="13">
        <v>0</v>
      </c>
      <c r="G606" s="13">
        <v>2</v>
      </c>
      <c r="H606" s="4"/>
      <c r="I606" s="4"/>
      <c r="J606" s="4"/>
      <c r="K606" s="4" t="s">
        <v>1486</v>
      </c>
      <c r="L606" s="4"/>
    </row>
    <row r="607" spans="1:12">
      <c r="A607" s="4" t="s">
        <v>1487</v>
      </c>
      <c r="B607" s="4" t="s">
        <v>1488</v>
      </c>
      <c r="C607" s="4" t="s">
        <v>801</v>
      </c>
      <c r="D607" s="4" t="s">
        <v>330</v>
      </c>
      <c r="E607" s="4" t="s">
        <v>326</v>
      </c>
      <c r="F607" s="13">
        <v>1</v>
      </c>
      <c r="G607" s="13">
        <v>1</v>
      </c>
      <c r="H607" s="4"/>
      <c r="I607" s="4"/>
      <c r="J607" s="4"/>
      <c r="K607" s="4" t="s">
        <v>1486</v>
      </c>
      <c r="L607" s="4" t="s">
        <v>683</v>
      </c>
    </row>
    <row r="608" spans="1:12">
      <c r="A608" s="4" t="s">
        <v>1489</v>
      </c>
      <c r="B608" s="4" t="s">
        <v>1490</v>
      </c>
      <c r="C608" s="4" t="s">
        <v>801</v>
      </c>
      <c r="D608" s="4" t="s">
        <v>330</v>
      </c>
      <c r="E608" s="4" t="s">
        <v>326</v>
      </c>
      <c r="F608" s="13">
        <v>1</v>
      </c>
      <c r="G608" s="13">
        <v>1</v>
      </c>
      <c r="H608" s="4"/>
      <c r="I608" s="4"/>
      <c r="J608" s="4"/>
      <c r="K608" s="4" t="s">
        <v>1486</v>
      </c>
      <c r="L608" s="4" t="s">
        <v>683</v>
      </c>
    </row>
    <row r="609" spans="1:12">
      <c r="A609" s="4" t="s">
        <v>1486</v>
      </c>
      <c r="B609" s="4" t="s">
        <v>1491</v>
      </c>
      <c r="C609" s="4" t="s">
        <v>801</v>
      </c>
      <c r="D609" s="4" t="s">
        <v>702</v>
      </c>
      <c r="E609" s="4" t="s">
        <v>326</v>
      </c>
      <c r="F609" s="13">
        <v>0</v>
      </c>
      <c r="G609" s="13">
        <v>1</v>
      </c>
      <c r="H609" s="4"/>
      <c r="I609" s="4"/>
      <c r="J609" s="4"/>
      <c r="K609" s="4" t="s">
        <v>304</v>
      </c>
      <c r="L609" s="4"/>
    </row>
    <row r="610" spans="1:12">
      <c r="A610" s="4" t="s">
        <v>1492</v>
      </c>
      <c r="B610" s="4" t="s">
        <v>1493</v>
      </c>
      <c r="C610" s="4" t="s">
        <v>801</v>
      </c>
      <c r="D610" s="4" t="s">
        <v>325</v>
      </c>
      <c r="E610" s="4" t="s">
        <v>326</v>
      </c>
      <c r="F610" s="13">
        <v>0</v>
      </c>
      <c r="G610" s="13">
        <v>2</v>
      </c>
      <c r="H610" s="4"/>
      <c r="I610" s="4"/>
      <c r="J610" s="4"/>
      <c r="K610" s="4" t="s">
        <v>1494</v>
      </c>
      <c r="L610" s="4"/>
    </row>
    <row r="611" spans="1:12">
      <c r="A611" s="4" t="s">
        <v>1495</v>
      </c>
      <c r="B611" s="4" t="s">
        <v>1496</v>
      </c>
      <c r="C611" s="4" t="s">
        <v>801</v>
      </c>
      <c r="D611" s="4" t="s">
        <v>330</v>
      </c>
      <c r="E611" s="4" t="s">
        <v>326</v>
      </c>
      <c r="F611" s="13">
        <v>1</v>
      </c>
      <c r="G611" s="13">
        <v>1</v>
      </c>
      <c r="H611" s="4"/>
      <c r="I611" s="4"/>
      <c r="J611" s="4"/>
      <c r="K611" s="4" t="s">
        <v>1494</v>
      </c>
      <c r="L611" s="4" t="s">
        <v>683</v>
      </c>
    </row>
    <row r="612" spans="1:12">
      <c r="A612" s="4" t="s">
        <v>1497</v>
      </c>
      <c r="B612" s="4" t="s">
        <v>1498</v>
      </c>
      <c r="C612" s="4" t="s">
        <v>801</v>
      </c>
      <c r="D612" s="4" t="s">
        <v>330</v>
      </c>
      <c r="E612" s="4" t="s">
        <v>326</v>
      </c>
      <c r="F612" s="13">
        <v>1</v>
      </c>
      <c r="G612" s="13">
        <v>1</v>
      </c>
      <c r="H612" s="4"/>
      <c r="I612" s="4"/>
      <c r="J612" s="4"/>
      <c r="K612" s="4" t="s">
        <v>1494</v>
      </c>
      <c r="L612" s="4" t="s">
        <v>683</v>
      </c>
    </row>
    <row r="613" spans="1:12">
      <c r="A613" s="4" t="s">
        <v>1494</v>
      </c>
      <c r="B613" s="4" t="s">
        <v>1499</v>
      </c>
      <c r="C613" s="4" t="s">
        <v>801</v>
      </c>
      <c r="D613" s="4" t="s">
        <v>702</v>
      </c>
      <c r="E613" s="4" t="s">
        <v>326</v>
      </c>
      <c r="F613" s="13">
        <v>0</v>
      </c>
      <c r="G613" s="13">
        <v>1</v>
      </c>
      <c r="H613" s="4"/>
      <c r="I613" s="4"/>
      <c r="J613" s="4"/>
      <c r="K613" s="4" t="s">
        <v>304</v>
      </c>
      <c r="L613" s="4"/>
    </row>
    <row r="614" spans="1:12">
      <c r="A614" s="4" t="s">
        <v>1500</v>
      </c>
      <c r="B614" s="4" t="s">
        <v>1501</v>
      </c>
      <c r="C614" s="4" t="s">
        <v>801</v>
      </c>
      <c r="D614" s="4" t="s">
        <v>325</v>
      </c>
      <c r="E614" s="4" t="s">
        <v>326</v>
      </c>
      <c r="F614" s="13">
        <v>0</v>
      </c>
      <c r="G614" s="13">
        <v>2</v>
      </c>
      <c r="H614" s="4"/>
      <c r="I614" s="4"/>
      <c r="J614" s="4"/>
      <c r="K614" s="4" t="s">
        <v>1502</v>
      </c>
      <c r="L614" s="4"/>
    </row>
    <row r="615" spans="1:12">
      <c r="A615" s="4" t="s">
        <v>1503</v>
      </c>
      <c r="B615" s="4" t="s">
        <v>1504</v>
      </c>
      <c r="C615" s="4" t="s">
        <v>801</v>
      </c>
      <c r="D615" s="4" t="s">
        <v>330</v>
      </c>
      <c r="E615" s="4" t="s">
        <v>326</v>
      </c>
      <c r="F615" s="13">
        <v>1</v>
      </c>
      <c r="G615" s="13">
        <v>1</v>
      </c>
      <c r="H615" s="4"/>
      <c r="I615" s="4"/>
      <c r="J615" s="4"/>
      <c r="K615" s="4" t="s">
        <v>1502</v>
      </c>
      <c r="L615" s="4" t="s">
        <v>683</v>
      </c>
    </row>
    <row r="616" spans="1:12">
      <c r="A616" s="4" t="s">
        <v>1505</v>
      </c>
      <c r="B616" s="4" t="s">
        <v>1506</v>
      </c>
      <c r="C616" s="4" t="s">
        <v>801</v>
      </c>
      <c r="D616" s="4" t="s">
        <v>330</v>
      </c>
      <c r="E616" s="4" t="s">
        <v>326</v>
      </c>
      <c r="F616" s="13">
        <v>1</v>
      </c>
      <c r="G616" s="13">
        <v>1</v>
      </c>
      <c r="H616" s="4"/>
      <c r="I616" s="4"/>
      <c r="J616" s="4"/>
      <c r="K616" s="4" t="s">
        <v>1502</v>
      </c>
      <c r="L616" s="4" t="s">
        <v>683</v>
      </c>
    </row>
    <row r="617" spans="1:12">
      <c r="A617" s="4" t="s">
        <v>1502</v>
      </c>
      <c r="B617" s="4" t="s">
        <v>1507</v>
      </c>
      <c r="C617" s="4" t="s">
        <v>801</v>
      </c>
      <c r="D617" s="4" t="s">
        <v>702</v>
      </c>
      <c r="E617" s="4" t="s">
        <v>326</v>
      </c>
      <c r="F617" s="13">
        <v>0</v>
      </c>
      <c r="G617" s="13">
        <v>1</v>
      </c>
      <c r="H617" s="4"/>
      <c r="I617" s="4"/>
      <c r="J617" s="4"/>
      <c r="K617" s="4" t="s">
        <v>304</v>
      </c>
      <c r="L617" s="4"/>
    </row>
    <row r="618" spans="1:12">
      <c r="A618" s="4" t="s">
        <v>1508</v>
      </c>
      <c r="B618" s="4" t="s">
        <v>1509</v>
      </c>
      <c r="C618" s="4" t="s">
        <v>801</v>
      </c>
      <c r="D618" s="4" t="s">
        <v>325</v>
      </c>
      <c r="E618" s="4" t="s">
        <v>326</v>
      </c>
      <c r="F618" s="13">
        <v>0</v>
      </c>
      <c r="G618" s="13">
        <v>2</v>
      </c>
      <c r="H618" s="4"/>
      <c r="I618" s="4"/>
      <c r="J618" s="4"/>
      <c r="K618" s="4" t="s">
        <v>1510</v>
      </c>
      <c r="L618" s="4"/>
    </row>
    <row r="619" spans="1:12">
      <c r="A619" s="4" t="s">
        <v>1511</v>
      </c>
      <c r="B619" s="4" t="s">
        <v>1512</v>
      </c>
      <c r="C619" s="4" t="s">
        <v>801</v>
      </c>
      <c r="D619" s="4" t="s">
        <v>330</v>
      </c>
      <c r="E619" s="4" t="s">
        <v>326</v>
      </c>
      <c r="F619" s="13">
        <v>1</v>
      </c>
      <c r="G619" s="13">
        <v>1</v>
      </c>
      <c r="H619" s="4"/>
      <c r="I619" s="4"/>
      <c r="J619" s="4"/>
      <c r="K619" s="4" t="s">
        <v>1510</v>
      </c>
      <c r="L619" s="4" t="s">
        <v>683</v>
      </c>
    </row>
    <row r="620" spans="1:12">
      <c r="A620" s="4" t="s">
        <v>1513</v>
      </c>
      <c r="B620" s="4" t="s">
        <v>1514</v>
      </c>
      <c r="C620" s="4" t="s">
        <v>801</v>
      </c>
      <c r="D620" s="4" t="s">
        <v>330</v>
      </c>
      <c r="E620" s="4" t="s">
        <v>326</v>
      </c>
      <c r="F620" s="13">
        <v>1</v>
      </c>
      <c r="G620" s="13">
        <v>1</v>
      </c>
      <c r="H620" s="4"/>
      <c r="I620" s="4"/>
      <c r="J620" s="4"/>
      <c r="K620" s="4" t="s">
        <v>1510</v>
      </c>
      <c r="L620" s="4" t="s">
        <v>683</v>
      </c>
    </row>
    <row r="621" spans="1:12">
      <c r="A621" s="4" t="s">
        <v>1510</v>
      </c>
      <c r="B621" s="4" t="s">
        <v>1515</v>
      </c>
      <c r="C621" s="4" t="s">
        <v>801</v>
      </c>
      <c r="D621" s="4" t="s">
        <v>702</v>
      </c>
      <c r="E621" s="4" t="s">
        <v>326</v>
      </c>
      <c r="F621" s="13">
        <v>0</v>
      </c>
      <c r="G621" s="13">
        <v>1</v>
      </c>
      <c r="H621" s="4"/>
      <c r="I621" s="4"/>
      <c r="J621" s="4"/>
      <c r="K621" s="4" t="s">
        <v>304</v>
      </c>
      <c r="L621" s="4"/>
    </row>
    <row r="622" spans="1:12">
      <c r="A622" s="4" t="s">
        <v>1516</v>
      </c>
      <c r="B622" s="4" t="s">
        <v>1517</v>
      </c>
      <c r="C622" s="4" t="s">
        <v>801</v>
      </c>
      <c r="D622" s="4" t="s">
        <v>325</v>
      </c>
      <c r="E622" s="4" t="s">
        <v>326</v>
      </c>
      <c r="F622" s="13">
        <v>0</v>
      </c>
      <c r="G622" s="13">
        <v>2</v>
      </c>
      <c r="H622" s="4"/>
      <c r="I622" s="4"/>
      <c r="J622" s="4"/>
      <c r="K622" s="4" t="s">
        <v>1518</v>
      </c>
      <c r="L622" s="4"/>
    </row>
    <row r="623" spans="1:12">
      <c r="A623" s="4" t="s">
        <v>1519</v>
      </c>
      <c r="B623" s="4" t="s">
        <v>1520</v>
      </c>
      <c r="C623" s="4" t="s">
        <v>801</v>
      </c>
      <c r="D623" s="4" t="s">
        <v>330</v>
      </c>
      <c r="E623" s="4" t="s">
        <v>326</v>
      </c>
      <c r="F623" s="13">
        <v>1</v>
      </c>
      <c r="G623" s="13">
        <v>1</v>
      </c>
      <c r="H623" s="4"/>
      <c r="I623" s="4"/>
      <c r="J623" s="4"/>
      <c r="K623" s="4" t="s">
        <v>1518</v>
      </c>
      <c r="L623" s="4" t="s">
        <v>683</v>
      </c>
    </row>
    <row r="624" spans="1:12">
      <c r="A624" s="4" t="s">
        <v>1521</v>
      </c>
      <c r="B624" s="4" t="s">
        <v>1522</v>
      </c>
      <c r="C624" s="4" t="s">
        <v>801</v>
      </c>
      <c r="D624" s="4" t="s">
        <v>330</v>
      </c>
      <c r="E624" s="4" t="s">
        <v>326</v>
      </c>
      <c r="F624" s="13">
        <v>1</v>
      </c>
      <c r="G624" s="13">
        <v>1</v>
      </c>
      <c r="H624" s="4"/>
      <c r="I624" s="4"/>
      <c r="J624" s="4"/>
      <c r="K624" s="4" t="s">
        <v>1518</v>
      </c>
      <c r="L624" s="4" t="s">
        <v>683</v>
      </c>
    </row>
    <row r="625" spans="1:12">
      <c r="A625" s="4" t="s">
        <v>1518</v>
      </c>
      <c r="B625" s="4" t="s">
        <v>1523</v>
      </c>
      <c r="C625" s="4" t="s">
        <v>801</v>
      </c>
      <c r="D625" s="4" t="s">
        <v>702</v>
      </c>
      <c r="E625" s="4" t="s">
        <v>326</v>
      </c>
      <c r="F625" s="13">
        <v>0</v>
      </c>
      <c r="G625" s="13">
        <v>1</v>
      </c>
      <c r="H625" s="4"/>
      <c r="I625" s="4"/>
      <c r="J625" s="4"/>
      <c r="K625" s="4" t="s">
        <v>304</v>
      </c>
      <c r="L625" s="4"/>
    </row>
    <row r="626" spans="1:12">
      <c r="A626" s="4" t="s">
        <v>1524</v>
      </c>
      <c r="B626" s="4" t="s">
        <v>1525</v>
      </c>
      <c r="C626" s="4" t="s">
        <v>801</v>
      </c>
      <c r="D626" s="4" t="s">
        <v>325</v>
      </c>
      <c r="E626" s="4" t="s">
        <v>326</v>
      </c>
      <c r="F626" s="13">
        <v>0</v>
      </c>
      <c r="G626" s="13">
        <v>2</v>
      </c>
      <c r="H626" s="4"/>
      <c r="I626" s="4"/>
      <c r="J626" s="4"/>
      <c r="K626" s="4" t="s">
        <v>1526</v>
      </c>
      <c r="L626" s="4"/>
    </row>
    <row r="627" spans="1:12">
      <c r="A627" s="4" t="s">
        <v>1527</v>
      </c>
      <c r="B627" s="4" t="s">
        <v>1528</v>
      </c>
      <c r="C627" s="4" t="s">
        <v>801</v>
      </c>
      <c r="D627" s="4" t="s">
        <v>330</v>
      </c>
      <c r="E627" s="4" t="s">
        <v>326</v>
      </c>
      <c r="F627" s="13">
        <v>1</v>
      </c>
      <c r="G627" s="13">
        <v>1</v>
      </c>
      <c r="H627" s="4"/>
      <c r="I627" s="4"/>
      <c r="J627" s="4"/>
      <c r="K627" s="4" t="s">
        <v>1526</v>
      </c>
      <c r="L627" s="4" t="s">
        <v>683</v>
      </c>
    </row>
    <row r="628" spans="1:12">
      <c r="A628" s="4" t="s">
        <v>1529</v>
      </c>
      <c r="B628" s="4" t="s">
        <v>1530</v>
      </c>
      <c r="C628" s="4" t="s">
        <v>801</v>
      </c>
      <c r="D628" s="4" t="s">
        <v>330</v>
      </c>
      <c r="E628" s="4" t="s">
        <v>326</v>
      </c>
      <c r="F628" s="13">
        <v>1</v>
      </c>
      <c r="G628" s="13">
        <v>1</v>
      </c>
      <c r="H628" s="4"/>
      <c r="I628" s="4"/>
      <c r="J628" s="4"/>
      <c r="K628" s="4" t="s">
        <v>1526</v>
      </c>
      <c r="L628" s="4" t="s">
        <v>683</v>
      </c>
    </row>
    <row r="629" spans="1:12">
      <c r="A629" s="4" t="s">
        <v>1526</v>
      </c>
      <c r="B629" s="4" t="s">
        <v>1531</v>
      </c>
      <c r="C629" s="4" t="s">
        <v>801</v>
      </c>
      <c r="D629" s="4" t="s">
        <v>702</v>
      </c>
      <c r="E629" s="4" t="s">
        <v>326</v>
      </c>
      <c r="F629" s="13">
        <v>0</v>
      </c>
      <c r="G629" s="13">
        <v>1</v>
      </c>
      <c r="H629" s="4"/>
      <c r="I629" s="4"/>
      <c r="J629" s="4"/>
      <c r="K629" s="4" t="s">
        <v>304</v>
      </c>
      <c r="L629" s="4"/>
    </row>
    <row r="630" spans="1:12">
      <c r="A630" s="4" t="s">
        <v>1532</v>
      </c>
      <c r="B630" s="4" t="s">
        <v>1533</v>
      </c>
      <c r="C630" s="4" t="s">
        <v>801</v>
      </c>
      <c r="D630" s="4" t="s">
        <v>325</v>
      </c>
      <c r="E630" s="4" t="s">
        <v>326</v>
      </c>
      <c r="F630" s="13">
        <v>0</v>
      </c>
      <c r="G630" s="13">
        <v>2</v>
      </c>
      <c r="H630" s="4"/>
      <c r="I630" s="4"/>
      <c r="J630" s="4"/>
      <c r="K630" s="4" t="s">
        <v>1534</v>
      </c>
      <c r="L630" s="4"/>
    </row>
    <row r="631" spans="1:12">
      <c r="A631" s="4" t="s">
        <v>1535</v>
      </c>
      <c r="B631" s="4" t="s">
        <v>1536</v>
      </c>
      <c r="C631" s="4" t="s">
        <v>801</v>
      </c>
      <c r="D631" s="4" t="s">
        <v>330</v>
      </c>
      <c r="E631" s="4" t="s">
        <v>326</v>
      </c>
      <c r="F631" s="13">
        <v>1</v>
      </c>
      <c r="G631" s="13">
        <v>1</v>
      </c>
      <c r="H631" s="4"/>
      <c r="I631" s="4"/>
      <c r="J631" s="4"/>
      <c r="K631" s="4" t="s">
        <v>1534</v>
      </c>
      <c r="L631" s="4" t="s">
        <v>683</v>
      </c>
    </row>
    <row r="632" spans="1:12">
      <c r="A632" s="4" t="s">
        <v>1537</v>
      </c>
      <c r="B632" s="4" t="s">
        <v>1538</v>
      </c>
      <c r="C632" s="4" t="s">
        <v>801</v>
      </c>
      <c r="D632" s="4" t="s">
        <v>330</v>
      </c>
      <c r="E632" s="4" t="s">
        <v>326</v>
      </c>
      <c r="F632" s="13">
        <v>1</v>
      </c>
      <c r="G632" s="13">
        <v>1</v>
      </c>
      <c r="H632" s="4"/>
      <c r="I632" s="4"/>
      <c r="J632" s="4"/>
      <c r="K632" s="4" t="s">
        <v>1534</v>
      </c>
      <c r="L632" s="4" t="s">
        <v>683</v>
      </c>
    </row>
    <row r="633" spans="1:12">
      <c r="A633" s="4" t="s">
        <v>1534</v>
      </c>
      <c r="B633" s="4" t="s">
        <v>1539</v>
      </c>
      <c r="C633" s="4" t="s">
        <v>801</v>
      </c>
      <c r="D633" s="4" t="s">
        <v>702</v>
      </c>
      <c r="E633" s="4" t="s">
        <v>326</v>
      </c>
      <c r="F633" s="13">
        <v>0</v>
      </c>
      <c r="G633" s="13">
        <v>1</v>
      </c>
      <c r="H633" s="4"/>
      <c r="I633" s="4"/>
      <c r="J633" s="4"/>
      <c r="K633" s="4" t="s">
        <v>304</v>
      </c>
      <c r="L633" s="4"/>
    </row>
    <row r="634" spans="1:12">
      <c r="A634" s="4" t="s">
        <v>1540</v>
      </c>
      <c r="B634" s="4" t="s">
        <v>1541</v>
      </c>
      <c r="C634" s="4" t="s">
        <v>801</v>
      </c>
      <c r="D634" s="4" t="s">
        <v>325</v>
      </c>
      <c r="E634" s="4" t="s">
        <v>326</v>
      </c>
      <c r="F634" s="13">
        <v>0</v>
      </c>
      <c r="G634" s="13">
        <v>2</v>
      </c>
      <c r="H634" s="4"/>
      <c r="I634" s="4"/>
      <c r="J634" s="4"/>
      <c r="K634" s="4" t="s">
        <v>1542</v>
      </c>
      <c r="L634" s="4"/>
    </row>
    <row r="635" spans="1:12">
      <c r="A635" s="4" t="s">
        <v>1543</v>
      </c>
      <c r="B635" s="4" t="s">
        <v>1544</v>
      </c>
      <c r="C635" s="4" t="s">
        <v>801</v>
      </c>
      <c r="D635" s="4" t="s">
        <v>330</v>
      </c>
      <c r="E635" s="4" t="s">
        <v>326</v>
      </c>
      <c r="F635" s="13">
        <v>1</v>
      </c>
      <c r="G635" s="13">
        <v>1</v>
      </c>
      <c r="H635" s="4"/>
      <c r="I635" s="4"/>
      <c r="J635" s="4"/>
      <c r="K635" s="4" t="s">
        <v>1542</v>
      </c>
      <c r="L635" s="4" t="s">
        <v>683</v>
      </c>
    </row>
    <row r="636" spans="1:12">
      <c r="A636" s="4" t="s">
        <v>1545</v>
      </c>
      <c r="B636" s="4" t="s">
        <v>1546</v>
      </c>
      <c r="C636" s="4" t="s">
        <v>801</v>
      </c>
      <c r="D636" s="4" t="s">
        <v>330</v>
      </c>
      <c r="E636" s="4" t="s">
        <v>326</v>
      </c>
      <c r="F636" s="13">
        <v>1</v>
      </c>
      <c r="G636" s="13">
        <v>1</v>
      </c>
      <c r="H636" s="4"/>
      <c r="I636" s="4"/>
      <c r="J636" s="4"/>
      <c r="K636" s="4" t="s">
        <v>1542</v>
      </c>
      <c r="L636" s="4" t="s">
        <v>683</v>
      </c>
    </row>
    <row r="637" spans="1:12">
      <c r="A637" s="4" t="s">
        <v>1542</v>
      </c>
      <c r="B637" s="4" t="s">
        <v>1547</v>
      </c>
      <c r="C637" s="4" t="s">
        <v>801</v>
      </c>
      <c r="D637" s="4" t="s">
        <v>702</v>
      </c>
      <c r="E637" s="4" t="s">
        <v>326</v>
      </c>
      <c r="F637" s="13">
        <v>0</v>
      </c>
      <c r="G637" s="13">
        <v>1</v>
      </c>
      <c r="H637" s="4"/>
      <c r="I637" s="4"/>
      <c r="J637" s="4"/>
      <c r="K637" s="4" t="s">
        <v>304</v>
      </c>
      <c r="L637" s="4"/>
    </row>
    <row r="638" spans="1:12">
      <c r="A638" s="4" t="s">
        <v>1548</v>
      </c>
      <c r="B638" s="4" t="s">
        <v>1549</v>
      </c>
      <c r="C638" s="4" t="s">
        <v>801</v>
      </c>
      <c r="D638" s="4" t="s">
        <v>325</v>
      </c>
      <c r="E638" s="4" t="s">
        <v>326</v>
      </c>
      <c r="F638" s="13">
        <v>0</v>
      </c>
      <c r="G638" s="13">
        <v>2</v>
      </c>
      <c r="H638" s="4"/>
      <c r="I638" s="4"/>
      <c r="J638" s="4"/>
      <c r="K638" s="4" t="s">
        <v>1550</v>
      </c>
      <c r="L638" s="4"/>
    </row>
    <row r="639" spans="1:12">
      <c r="A639" s="4" t="s">
        <v>1551</v>
      </c>
      <c r="B639" s="4" t="s">
        <v>1552</v>
      </c>
      <c r="C639" s="4" t="s">
        <v>801</v>
      </c>
      <c r="D639" s="4" t="s">
        <v>330</v>
      </c>
      <c r="E639" s="4" t="s">
        <v>326</v>
      </c>
      <c r="F639" s="13">
        <v>1</v>
      </c>
      <c r="G639" s="13">
        <v>1</v>
      </c>
      <c r="H639" s="4"/>
      <c r="I639" s="4"/>
      <c r="J639" s="4"/>
      <c r="K639" s="4" t="s">
        <v>1550</v>
      </c>
      <c r="L639" s="4" t="s">
        <v>683</v>
      </c>
    </row>
    <row r="640" spans="1:12">
      <c r="A640" s="4" t="s">
        <v>1553</v>
      </c>
      <c r="B640" s="4" t="s">
        <v>1554</v>
      </c>
      <c r="C640" s="4" t="s">
        <v>801</v>
      </c>
      <c r="D640" s="4" t="s">
        <v>330</v>
      </c>
      <c r="E640" s="4" t="s">
        <v>326</v>
      </c>
      <c r="F640" s="13">
        <v>1</v>
      </c>
      <c r="G640" s="13">
        <v>1</v>
      </c>
      <c r="H640" s="4"/>
      <c r="I640" s="4"/>
      <c r="J640" s="4"/>
      <c r="K640" s="4" t="s">
        <v>1550</v>
      </c>
      <c r="L640" s="4" t="s">
        <v>683</v>
      </c>
    </row>
    <row r="641" spans="1:12">
      <c r="A641" s="4" t="s">
        <v>1550</v>
      </c>
      <c r="B641" s="4" t="s">
        <v>1555</v>
      </c>
      <c r="C641" s="4" t="s">
        <v>801</v>
      </c>
      <c r="D641" s="4" t="s">
        <v>702</v>
      </c>
      <c r="E641" s="4" t="s">
        <v>326</v>
      </c>
      <c r="F641" s="13">
        <v>0</v>
      </c>
      <c r="G641" s="13">
        <v>1</v>
      </c>
      <c r="H641" s="4"/>
      <c r="I641" s="4"/>
      <c r="J641" s="4"/>
      <c r="K641" s="4" t="s">
        <v>304</v>
      </c>
      <c r="L641" s="4"/>
    </row>
    <row r="642" spans="1:12">
      <c r="A642" s="4" t="s">
        <v>1556</v>
      </c>
      <c r="B642" s="4" t="s">
        <v>1557</v>
      </c>
      <c r="C642" s="4" t="s">
        <v>801</v>
      </c>
      <c r="D642" s="4" t="s">
        <v>325</v>
      </c>
      <c r="E642" s="4" t="s">
        <v>326</v>
      </c>
      <c r="F642" s="13">
        <v>1</v>
      </c>
      <c r="G642" s="13">
        <v>2</v>
      </c>
      <c r="H642" s="4"/>
      <c r="I642" s="4"/>
      <c r="J642" s="4"/>
      <c r="K642" s="4"/>
      <c r="L642" s="4"/>
    </row>
    <row r="643" spans="1:12">
      <c r="A643" s="4" t="s">
        <v>1558</v>
      </c>
      <c r="B643" s="4" t="s">
        <v>1559</v>
      </c>
      <c r="C643" s="4" t="s">
        <v>801</v>
      </c>
      <c r="D643" s="4" t="s">
        <v>330</v>
      </c>
      <c r="E643" s="4" t="s">
        <v>326</v>
      </c>
      <c r="F643" s="13">
        <v>1</v>
      </c>
      <c r="G643" s="13">
        <v>1</v>
      </c>
      <c r="H643" s="4"/>
      <c r="I643" s="4"/>
      <c r="J643" s="4"/>
      <c r="K643" s="4" t="s">
        <v>1560</v>
      </c>
      <c r="L643" s="4" t="s">
        <v>683</v>
      </c>
    </row>
    <row r="644" spans="1:12">
      <c r="A644" s="4" t="s">
        <v>1561</v>
      </c>
      <c r="B644" s="4" t="s">
        <v>1562</v>
      </c>
      <c r="C644" s="4" t="s">
        <v>801</v>
      </c>
      <c r="D644" s="4" t="s">
        <v>330</v>
      </c>
      <c r="E644" s="4" t="s">
        <v>326</v>
      </c>
      <c r="F644" s="13">
        <v>1</v>
      </c>
      <c r="G644" s="13">
        <v>1</v>
      </c>
      <c r="H644" s="4"/>
      <c r="I644" s="4"/>
      <c r="J644" s="4"/>
      <c r="K644" s="4" t="s">
        <v>1560</v>
      </c>
      <c r="L644" s="4" t="s">
        <v>683</v>
      </c>
    </row>
    <row r="645" spans="1:12">
      <c r="A645" s="4" t="s">
        <v>1560</v>
      </c>
      <c r="B645" s="4" t="s">
        <v>1563</v>
      </c>
      <c r="C645" s="4" t="s">
        <v>801</v>
      </c>
      <c r="D645" s="4" t="s">
        <v>702</v>
      </c>
      <c r="E645" s="4" t="s">
        <v>326</v>
      </c>
      <c r="F645" s="13">
        <v>1</v>
      </c>
      <c r="G645" s="13">
        <v>1</v>
      </c>
      <c r="H645" s="4"/>
      <c r="I645" s="4"/>
      <c r="J645" s="4"/>
      <c r="K645" s="4" t="s">
        <v>304</v>
      </c>
      <c r="L645" s="4"/>
    </row>
    <row r="646" spans="1:12">
      <c r="A646" s="4" t="s">
        <v>1564</v>
      </c>
      <c r="B646" s="4" t="s">
        <v>1565</v>
      </c>
      <c r="C646" s="4" t="s">
        <v>801</v>
      </c>
      <c r="D646" s="4" t="s">
        <v>325</v>
      </c>
      <c r="E646" s="4" t="s">
        <v>326</v>
      </c>
      <c r="F646" s="13">
        <v>1</v>
      </c>
      <c r="G646" s="13">
        <v>1</v>
      </c>
      <c r="H646" s="4"/>
      <c r="I646" s="4"/>
      <c r="J646" s="4"/>
      <c r="K646" s="4" t="s">
        <v>1566</v>
      </c>
      <c r="L646" s="4"/>
    </row>
    <row r="647" spans="1:12">
      <c r="A647" s="4" t="s">
        <v>1567</v>
      </c>
      <c r="B647" s="4" t="s">
        <v>1568</v>
      </c>
      <c r="C647" s="4" t="s">
        <v>801</v>
      </c>
      <c r="D647" s="4" t="s">
        <v>330</v>
      </c>
      <c r="E647" s="4" t="s">
        <v>326</v>
      </c>
      <c r="F647" s="13">
        <v>1</v>
      </c>
      <c r="G647" s="13">
        <v>1</v>
      </c>
      <c r="H647" s="4"/>
      <c r="I647" s="4"/>
      <c r="J647" s="4"/>
      <c r="K647" s="4" t="s">
        <v>1566</v>
      </c>
      <c r="L647" s="4" t="s">
        <v>683</v>
      </c>
    </row>
    <row r="648" spans="1:12">
      <c r="A648" s="4" t="s">
        <v>1569</v>
      </c>
      <c r="B648" s="4" t="s">
        <v>1570</v>
      </c>
      <c r="C648" s="4" t="s">
        <v>801</v>
      </c>
      <c r="D648" s="4" t="s">
        <v>330</v>
      </c>
      <c r="E648" s="4" t="s">
        <v>326</v>
      </c>
      <c r="F648" s="13">
        <v>1</v>
      </c>
      <c r="G648" s="13">
        <v>1</v>
      </c>
      <c r="H648" s="4"/>
      <c r="I648" s="4"/>
      <c r="J648" s="4"/>
      <c r="K648" s="4" t="s">
        <v>1566</v>
      </c>
      <c r="L648" s="4" t="s">
        <v>683</v>
      </c>
    </row>
    <row r="649" spans="1:12">
      <c r="A649" s="4" t="s">
        <v>1566</v>
      </c>
      <c r="B649" s="4" t="s">
        <v>1571</v>
      </c>
      <c r="C649" s="4" t="s">
        <v>801</v>
      </c>
      <c r="D649" s="4" t="s">
        <v>702</v>
      </c>
      <c r="E649" s="4" t="s">
        <v>326</v>
      </c>
      <c r="F649" s="13">
        <v>0</v>
      </c>
      <c r="G649" s="13">
        <v>1</v>
      </c>
      <c r="H649" s="4"/>
      <c r="I649" s="4"/>
      <c r="J649" s="4"/>
      <c r="K649" s="4" t="s">
        <v>304</v>
      </c>
      <c r="L649" s="4"/>
    </row>
    <row r="650" spans="1:12">
      <c r="A650" s="4" t="s">
        <v>1572</v>
      </c>
      <c r="B650" s="4" t="s">
        <v>1573</v>
      </c>
      <c r="C650" s="4" t="s">
        <v>801</v>
      </c>
      <c r="D650" s="4" t="s">
        <v>325</v>
      </c>
      <c r="E650" s="4" t="s">
        <v>326</v>
      </c>
      <c r="F650" s="13">
        <v>0</v>
      </c>
      <c r="G650" s="13">
        <v>2</v>
      </c>
      <c r="H650" s="4"/>
      <c r="I650" s="4"/>
      <c r="J650" s="4"/>
      <c r="K650" s="4" t="s">
        <v>1574</v>
      </c>
      <c r="L650" s="4"/>
    </row>
    <row r="651" spans="1:12">
      <c r="A651" s="4" t="s">
        <v>1575</v>
      </c>
      <c r="B651" s="4" t="s">
        <v>1576</v>
      </c>
      <c r="C651" s="4" t="s">
        <v>801</v>
      </c>
      <c r="D651" s="4" t="s">
        <v>330</v>
      </c>
      <c r="E651" s="4" t="s">
        <v>326</v>
      </c>
      <c r="F651" s="13">
        <v>1</v>
      </c>
      <c r="G651" s="13">
        <v>1</v>
      </c>
      <c r="H651" s="4"/>
      <c r="I651" s="4"/>
      <c r="J651" s="4"/>
      <c r="K651" s="4" t="s">
        <v>1574</v>
      </c>
      <c r="L651" s="4" t="s">
        <v>683</v>
      </c>
    </row>
    <row r="652" spans="1:12">
      <c r="A652" s="4" t="s">
        <v>1577</v>
      </c>
      <c r="B652" s="4" t="s">
        <v>1578</v>
      </c>
      <c r="C652" s="4" t="s">
        <v>801</v>
      </c>
      <c r="D652" s="4" t="s">
        <v>330</v>
      </c>
      <c r="E652" s="4" t="s">
        <v>326</v>
      </c>
      <c r="F652" s="13">
        <v>1</v>
      </c>
      <c r="G652" s="13">
        <v>1</v>
      </c>
      <c r="H652" s="4"/>
      <c r="I652" s="4"/>
      <c r="J652" s="4"/>
      <c r="K652" s="4" t="s">
        <v>1574</v>
      </c>
      <c r="L652" s="4" t="s">
        <v>683</v>
      </c>
    </row>
    <row r="653" spans="1:12">
      <c r="A653" s="4" t="s">
        <v>1574</v>
      </c>
      <c r="B653" s="4" t="s">
        <v>1579</v>
      </c>
      <c r="C653" s="4" t="s">
        <v>801</v>
      </c>
      <c r="D653" s="4" t="s">
        <v>702</v>
      </c>
      <c r="E653" s="4" t="s">
        <v>326</v>
      </c>
      <c r="F653" s="13">
        <v>0</v>
      </c>
      <c r="G653" s="13">
        <v>1</v>
      </c>
      <c r="H653" s="4"/>
      <c r="I653" s="4"/>
      <c r="J653" s="4"/>
      <c r="K653" s="4" t="s">
        <v>304</v>
      </c>
      <c r="L653" s="4"/>
    </row>
    <row r="654" spans="1:12">
      <c r="A654" s="4" t="s">
        <v>1580</v>
      </c>
      <c r="B654" s="4" t="s">
        <v>1581</v>
      </c>
      <c r="C654" s="4" t="s">
        <v>801</v>
      </c>
      <c r="D654" s="4" t="s">
        <v>325</v>
      </c>
      <c r="E654" s="4" t="s">
        <v>326</v>
      </c>
      <c r="F654" s="13">
        <v>1</v>
      </c>
      <c r="G654" s="13">
        <v>1</v>
      </c>
      <c r="H654" s="4"/>
      <c r="I654" s="4"/>
      <c r="J654" s="4"/>
      <c r="K654" s="4" t="s">
        <v>1582</v>
      </c>
      <c r="L654" s="4" t="s">
        <v>881</v>
      </c>
    </row>
    <row r="655" spans="1:12">
      <c r="A655" s="4" t="s">
        <v>1583</v>
      </c>
      <c r="B655" s="4" t="s">
        <v>1584</v>
      </c>
      <c r="C655" s="4" t="s">
        <v>801</v>
      </c>
      <c r="D655" s="4" t="s">
        <v>330</v>
      </c>
      <c r="E655" s="4" t="s">
        <v>326</v>
      </c>
      <c r="F655" s="13">
        <v>1</v>
      </c>
      <c r="G655" s="13">
        <v>1</v>
      </c>
      <c r="H655" s="4"/>
      <c r="I655" s="4"/>
      <c r="J655" s="4"/>
      <c r="K655" s="4" t="s">
        <v>1582</v>
      </c>
      <c r="L655" s="4" t="s">
        <v>683</v>
      </c>
    </row>
    <row r="656" spans="1:12">
      <c r="A656" s="4" t="s">
        <v>1585</v>
      </c>
      <c r="B656" s="4" t="s">
        <v>1586</v>
      </c>
      <c r="C656" s="4" t="s">
        <v>801</v>
      </c>
      <c r="D656" s="4" t="s">
        <v>330</v>
      </c>
      <c r="E656" s="4" t="s">
        <v>326</v>
      </c>
      <c r="F656" s="13">
        <v>1</v>
      </c>
      <c r="G656" s="13">
        <v>1</v>
      </c>
      <c r="H656" s="4"/>
      <c r="I656" s="4"/>
      <c r="J656" s="4"/>
      <c r="K656" s="4" t="s">
        <v>1582</v>
      </c>
      <c r="L656" s="4" t="s">
        <v>683</v>
      </c>
    </row>
    <row r="657" spans="1:12">
      <c r="A657" s="4" t="s">
        <v>1582</v>
      </c>
      <c r="B657" s="4" t="s">
        <v>1587</v>
      </c>
      <c r="C657" s="4" t="s">
        <v>801</v>
      </c>
      <c r="D657" s="4" t="s">
        <v>702</v>
      </c>
      <c r="E657" s="4" t="s">
        <v>326</v>
      </c>
      <c r="F657" s="13">
        <v>1</v>
      </c>
      <c r="G657" s="13">
        <v>1</v>
      </c>
      <c r="H657" s="4"/>
      <c r="I657" s="4"/>
      <c r="J657" s="4"/>
      <c r="K657" s="4" t="s">
        <v>304</v>
      </c>
      <c r="L657" s="4"/>
    </row>
    <row r="658" spans="1:12">
      <c r="A658" s="4" t="s">
        <v>1588</v>
      </c>
      <c r="B658" s="4" t="s">
        <v>1589</v>
      </c>
      <c r="C658" s="4" t="s">
        <v>801</v>
      </c>
      <c r="D658" s="4" t="s">
        <v>330</v>
      </c>
      <c r="E658" s="4" t="s">
        <v>326</v>
      </c>
      <c r="F658" s="13">
        <v>1</v>
      </c>
      <c r="G658" s="13">
        <v>1</v>
      </c>
      <c r="H658" s="4"/>
      <c r="I658" s="4"/>
      <c r="J658" s="4"/>
      <c r="K658" s="4" t="s">
        <v>304</v>
      </c>
      <c r="L658" s="4" t="s">
        <v>683</v>
      </c>
    </row>
    <row r="659" spans="1:12">
      <c r="A659" s="4" t="s">
        <v>1590</v>
      </c>
      <c r="B659" s="4" t="s">
        <v>1591</v>
      </c>
      <c r="C659" s="4" t="s">
        <v>801</v>
      </c>
      <c r="D659" s="4" t="s">
        <v>325</v>
      </c>
      <c r="E659" s="4" t="s">
        <v>326</v>
      </c>
      <c r="F659" s="13">
        <v>1</v>
      </c>
      <c r="G659" s="13">
        <v>2</v>
      </c>
      <c r="H659" s="4"/>
      <c r="I659" s="4"/>
      <c r="J659" s="4"/>
      <c r="K659" s="4"/>
      <c r="L659" s="4"/>
    </row>
    <row r="660" spans="1:12">
      <c r="A660" s="4" t="s">
        <v>1592</v>
      </c>
      <c r="B660" s="4" t="s">
        <v>1593</v>
      </c>
      <c r="C660" s="4" t="s">
        <v>801</v>
      </c>
      <c r="D660" s="4" t="s">
        <v>330</v>
      </c>
      <c r="E660" s="4" t="s">
        <v>326</v>
      </c>
      <c r="F660" s="13">
        <v>1</v>
      </c>
      <c r="G660" s="13">
        <v>1</v>
      </c>
      <c r="H660" s="4"/>
      <c r="I660" s="4"/>
      <c r="J660" s="4"/>
      <c r="K660" s="4" t="s">
        <v>1594</v>
      </c>
      <c r="L660" s="4" t="s">
        <v>683</v>
      </c>
    </row>
    <row r="661" spans="1:12">
      <c r="A661" s="4" t="s">
        <v>1595</v>
      </c>
      <c r="B661" s="4" t="s">
        <v>1596</v>
      </c>
      <c r="C661" s="4" t="s">
        <v>801</v>
      </c>
      <c r="D661" s="4" t="s">
        <v>330</v>
      </c>
      <c r="E661" s="4" t="s">
        <v>326</v>
      </c>
      <c r="F661" s="13">
        <v>1</v>
      </c>
      <c r="G661" s="13">
        <v>1</v>
      </c>
      <c r="H661" s="4"/>
      <c r="I661" s="4"/>
      <c r="J661" s="4"/>
      <c r="K661" s="4" t="s">
        <v>1594</v>
      </c>
      <c r="L661" s="4" t="s">
        <v>683</v>
      </c>
    </row>
    <row r="662" spans="1:12">
      <c r="A662" s="4" t="s">
        <v>1594</v>
      </c>
      <c r="B662" s="4" t="s">
        <v>1597</v>
      </c>
      <c r="C662" s="4" t="s">
        <v>801</v>
      </c>
      <c r="D662" s="4" t="s">
        <v>702</v>
      </c>
      <c r="E662" s="4" t="s">
        <v>326</v>
      </c>
      <c r="F662" s="13">
        <v>1</v>
      </c>
      <c r="G662" s="13">
        <v>1</v>
      </c>
      <c r="H662" s="4"/>
      <c r="I662" s="4"/>
      <c r="J662" s="4"/>
      <c r="K662" s="4" t="s">
        <v>304</v>
      </c>
      <c r="L662" s="4"/>
    </row>
    <row r="663" spans="1:12">
      <c r="A663" s="4" t="s">
        <v>1598</v>
      </c>
      <c r="B663" s="4" t="s">
        <v>1599</v>
      </c>
      <c r="C663" s="4" t="s">
        <v>801</v>
      </c>
      <c r="D663" s="4" t="s">
        <v>330</v>
      </c>
      <c r="E663" s="4" t="s">
        <v>326</v>
      </c>
      <c r="F663" s="13">
        <v>1</v>
      </c>
      <c r="G663" s="13">
        <v>1</v>
      </c>
      <c r="H663" s="4"/>
      <c r="I663" s="4"/>
      <c r="J663" s="4"/>
      <c r="K663" s="4" t="s">
        <v>304</v>
      </c>
      <c r="L663" s="4" t="s">
        <v>683</v>
      </c>
    </row>
    <row r="664" spans="1:12">
      <c r="A664" s="4" t="s">
        <v>1600</v>
      </c>
      <c r="B664" s="4" t="s">
        <v>1601</v>
      </c>
      <c r="C664" s="4" t="s">
        <v>801</v>
      </c>
      <c r="D664" s="4" t="s">
        <v>325</v>
      </c>
      <c r="E664" s="4" t="s">
        <v>326</v>
      </c>
      <c r="F664" s="13">
        <v>1</v>
      </c>
      <c r="G664" s="13">
        <v>1</v>
      </c>
      <c r="H664" s="4"/>
      <c r="I664" s="4"/>
      <c r="J664" s="4"/>
      <c r="K664" s="4"/>
      <c r="L664" s="4" t="s">
        <v>881</v>
      </c>
    </row>
    <row r="665" spans="1:12">
      <c r="A665" s="4" t="s">
        <v>1602</v>
      </c>
      <c r="B665" s="4" t="s">
        <v>1603</v>
      </c>
      <c r="C665" s="4" t="s">
        <v>801</v>
      </c>
      <c r="D665" s="4" t="s">
        <v>330</v>
      </c>
      <c r="E665" s="4" t="s">
        <v>326</v>
      </c>
      <c r="F665" s="13">
        <v>1</v>
      </c>
      <c r="G665" s="13">
        <v>1</v>
      </c>
      <c r="H665" s="4"/>
      <c r="I665" s="4"/>
      <c r="J665" s="4"/>
      <c r="K665" s="4" t="s">
        <v>1604</v>
      </c>
      <c r="L665" s="4" t="s">
        <v>683</v>
      </c>
    </row>
    <row r="666" spans="1:12">
      <c r="A666" s="4" t="s">
        <v>1605</v>
      </c>
      <c r="B666" s="4" t="s">
        <v>1606</v>
      </c>
      <c r="C666" s="4" t="s">
        <v>801</v>
      </c>
      <c r="D666" s="4" t="s">
        <v>330</v>
      </c>
      <c r="E666" s="4" t="s">
        <v>326</v>
      </c>
      <c r="F666" s="13">
        <v>1</v>
      </c>
      <c r="G666" s="13">
        <v>1</v>
      </c>
      <c r="H666" s="4"/>
      <c r="I666" s="4"/>
      <c r="J666" s="4"/>
      <c r="K666" s="4" t="s">
        <v>1604</v>
      </c>
      <c r="L666" s="4" t="s">
        <v>683</v>
      </c>
    </row>
    <row r="667" spans="1:12">
      <c r="A667" s="4" t="s">
        <v>1604</v>
      </c>
      <c r="B667" s="4" t="s">
        <v>1607</v>
      </c>
      <c r="C667" s="4" t="s">
        <v>801</v>
      </c>
      <c r="D667" s="4" t="s">
        <v>702</v>
      </c>
      <c r="E667" s="4" t="s">
        <v>326</v>
      </c>
      <c r="F667" s="13">
        <v>1</v>
      </c>
      <c r="G667" s="13">
        <v>1</v>
      </c>
      <c r="H667" s="4"/>
      <c r="I667" s="4"/>
      <c r="J667" s="4"/>
      <c r="K667" s="4" t="s">
        <v>304</v>
      </c>
      <c r="L667" s="4"/>
    </row>
    <row r="668" spans="1:12">
      <c r="A668" s="4" t="s">
        <v>1608</v>
      </c>
      <c r="B668" s="4" t="s">
        <v>1609</v>
      </c>
      <c r="C668" s="4" t="s">
        <v>801</v>
      </c>
      <c r="D668" s="4" t="s">
        <v>325</v>
      </c>
      <c r="E668" s="4" t="s">
        <v>326</v>
      </c>
      <c r="F668" s="13">
        <v>1</v>
      </c>
      <c r="G668" s="13">
        <v>1</v>
      </c>
      <c r="H668" s="4"/>
      <c r="I668" s="4"/>
      <c r="J668" s="4"/>
      <c r="K668" s="4"/>
      <c r="L668" s="4"/>
    </row>
    <row r="669" spans="1:12">
      <c r="A669" s="4" t="s">
        <v>1610</v>
      </c>
      <c r="B669" s="4" t="s">
        <v>1611</v>
      </c>
      <c r="C669" s="4" t="s">
        <v>801</v>
      </c>
      <c r="D669" s="4" t="s">
        <v>330</v>
      </c>
      <c r="E669" s="4" t="s">
        <v>326</v>
      </c>
      <c r="F669" s="13">
        <v>1</v>
      </c>
      <c r="G669" s="13">
        <v>1</v>
      </c>
      <c r="H669" s="4"/>
      <c r="I669" s="4"/>
      <c r="J669" s="4"/>
      <c r="K669" s="4" t="s">
        <v>1612</v>
      </c>
      <c r="L669" s="4" t="s">
        <v>683</v>
      </c>
    </row>
    <row r="670" spans="1:12">
      <c r="A670" s="4" t="s">
        <v>1613</v>
      </c>
      <c r="B670" s="4" t="s">
        <v>1614</v>
      </c>
      <c r="C670" s="4" t="s">
        <v>801</v>
      </c>
      <c r="D670" s="4" t="s">
        <v>330</v>
      </c>
      <c r="E670" s="4" t="s">
        <v>326</v>
      </c>
      <c r="F670" s="13">
        <v>1</v>
      </c>
      <c r="G670" s="13">
        <v>1</v>
      </c>
      <c r="H670" s="4"/>
      <c r="I670" s="4"/>
      <c r="J670" s="4"/>
      <c r="K670" s="4" t="s">
        <v>1612</v>
      </c>
      <c r="L670" s="4" t="s">
        <v>683</v>
      </c>
    </row>
    <row r="671" spans="1:12">
      <c r="A671" s="4" t="s">
        <v>1612</v>
      </c>
      <c r="B671" s="4" t="s">
        <v>1615</v>
      </c>
      <c r="C671" s="4" t="s">
        <v>801</v>
      </c>
      <c r="D671" s="4" t="s">
        <v>702</v>
      </c>
      <c r="E671" s="4" t="s">
        <v>326</v>
      </c>
      <c r="F671" s="13">
        <v>1</v>
      </c>
      <c r="G671" s="13">
        <v>1</v>
      </c>
      <c r="H671" s="4"/>
      <c r="I671" s="4"/>
      <c r="J671" s="4"/>
      <c r="K671" s="4" t="s">
        <v>304</v>
      </c>
      <c r="L671" s="4"/>
    </row>
    <row r="672" spans="1:12">
      <c r="A672" s="4" t="s">
        <v>1616</v>
      </c>
      <c r="B672" s="4" t="s">
        <v>1617</v>
      </c>
      <c r="C672" s="4" t="s">
        <v>801</v>
      </c>
      <c r="D672" s="4" t="s">
        <v>325</v>
      </c>
      <c r="E672" s="4" t="s">
        <v>326</v>
      </c>
      <c r="F672" s="13">
        <v>1</v>
      </c>
      <c r="G672" s="13">
        <v>1</v>
      </c>
      <c r="H672" s="4"/>
      <c r="I672" s="4"/>
      <c r="J672" s="4"/>
      <c r="K672" s="4"/>
      <c r="L672" s="4"/>
    </row>
    <row r="673" spans="1:12">
      <c r="A673" s="4" t="s">
        <v>1618</v>
      </c>
      <c r="B673" s="4" t="s">
        <v>1619</v>
      </c>
      <c r="C673" s="4" t="s">
        <v>801</v>
      </c>
      <c r="D673" s="4" t="s">
        <v>330</v>
      </c>
      <c r="E673" s="4" t="s">
        <v>326</v>
      </c>
      <c r="F673" s="13">
        <v>1</v>
      </c>
      <c r="G673" s="13">
        <v>1</v>
      </c>
      <c r="H673" s="4"/>
      <c r="I673" s="4"/>
      <c r="J673" s="4"/>
      <c r="K673" s="4" t="s">
        <v>1620</v>
      </c>
      <c r="L673" s="4" t="s">
        <v>683</v>
      </c>
    </row>
    <row r="674" spans="1:12">
      <c r="A674" s="4" t="s">
        <v>1621</v>
      </c>
      <c r="B674" s="4" t="s">
        <v>1622</v>
      </c>
      <c r="C674" s="4" t="s">
        <v>801</v>
      </c>
      <c r="D674" s="4" t="s">
        <v>330</v>
      </c>
      <c r="E674" s="4" t="s">
        <v>326</v>
      </c>
      <c r="F674" s="13">
        <v>1</v>
      </c>
      <c r="G674" s="13">
        <v>1</v>
      </c>
      <c r="H674" s="4"/>
      <c r="I674" s="4"/>
      <c r="J674" s="4"/>
      <c r="K674" s="4" t="s">
        <v>1620</v>
      </c>
      <c r="L674" s="4" t="s">
        <v>683</v>
      </c>
    </row>
    <row r="675" spans="1:12">
      <c r="A675" s="4" t="s">
        <v>1620</v>
      </c>
      <c r="B675" s="4" t="s">
        <v>1623</v>
      </c>
      <c r="C675" s="4" t="s">
        <v>801</v>
      </c>
      <c r="D675" s="4" t="s">
        <v>702</v>
      </c>
      <c r="E675" s="4" t="s">
        <v>326</v>
      </c>
      <c r="F675" s="13">
        <v>1</v>
      </c>
      <c r="G675" s="13">
        <v>1</v>
      </c>
      <c r="H675" s="4"/>
      <c r="I675" s="4"/>
      <c r="J675" s="4"/>
      <c r="K675" s="4" t="s">
        <v>304</v>
      </c>
      <c r="L675" s="4"/>
    </row>
    <row r="676" spans="1:12">
      <c r="A676" s="4" t="s">
        <v>1624</v>
      </c>
      <c r="B676" s="4" t="s">
        <v>1625</v>
      </c>
      <c r="C676" s="4" t="s">
        <v>801</v>
      </c>
      <c r="D676" s="4" t="s">
        <v>325</v>
      </c>
      <c r="E676" s="4" t="s">
        <v>326</v>
      </c>
      <c r="F676" s="13">
        <v>1</v>
      </c>
      <c r="G676" s="13">
        <v>1</v>
      </c>
      <c r="H676" s="4"/>
      <c r="I676" s="4"/>
      <c r="J676" s="4"/>
      <c r="K676" s="4"/>
      <c r="L676" s="4"/>
    </row>
    <row r="677" spans="1:12">
      <c r="A677" s="4" t="s">
        <v>1626</v>
      </c>
      <c r="B677" s="4" t="s">
        <v>1627</v>
      </c>
      <c r="C677" s="4" t="s">
        <v>801</v>
      </c>
      <c r="D677" s="4" t="s">
        <v>330</v>
      </c>
      <c r="E677" s="4" t="s">
        <v>326</v>
      </c>
      <c r="F677" s="13">
        <v>1</v>
      </c>
      <c r="G677" s="13">
        <v>1</v>
      </c>
      <c r="H677" s="4"/>
      <c r="I677" s="4"/>
      <c r="J677" s="4"/>
      <c r="K677" s="4" t="s">
        <v>1628</v>
      </c>
      <c r="L677" s="4" t="s">
        <v>683</v>
      </c>
    </row>
    <row r="678" spans="1:12">
      <c r="A678" s="4" t="s">
        <v>1629</v>
      </c>
      <c r="B678" s="4" t="s">
        <v>1630</v>
      </c>
      <c r="C678" s="4" t="s">
        <v>801</v>
      </c>
      <c r="D678" s="4" t="s">
        <v>330</v>
      </c>
      <c r="E678" s="4" t="s">
        <v>326</v>
      </c>
      <c r="F678" s="13">
        <v>1</v>
      </c>
      <c r="G678" s="13">
        <v>1</v>
      </c>
      <c r="H678" s="4"/>
      <c r="I678" s="4"/>
      <c r="J678" s="4"/>
      <c r="K678" s="4" t="s">
        <v>1628</v>
      </c>
      <c r="L678" s="4" t="s">
        <v>683</v>
      </c>
    </row>
    <row r="679" spans="1:12">
      <c r="A679" s="4" t="s">
        <v>1628</v>
      </c>
      <c r="B679" s="4" t="s">
        <v>1631</v>
      </c>
      <c r="C679" s="4" t="s">
        <v>801</v>
      </c>
      <c r="D679" s="4" t="s">
        <v>702</v>
      </c>
      <c r="E679" s="4" t="s">
        <v>326</v>
      </c>
      <c r="F679" s="13">
        <v>1</v>
      </c>
      <c r="G679" s="13">
        <v>1</v>
      </c>
      <c r="H679" s="4"/>
      <c r="I679" s="4"/>
      <c r="J679" s="4"/>
      <c r="K679" s="4" t="s">
        <v>304</v>
      </c>
      <c r="L679" s="4"/>
    </row>
    <row r="680" spans="1:12">
      <c r="A680" s="4" t="s">
        <v>1632</v>
      </c>
      <c r="B680" s="4" t="s">
        <v>1633</v>
      </c>
      <c r="C680" s="4" t="s">
        <v>801</v>
      </c>
      <c r="D680" s="4" t="s">
        <v>325</v>
      </c>
      <c r="E680" s="4" t="s">
        <v>326</v>
      </c>
      <c r="F680" s="13">
        <v>1</v>
      </c>
      <c r="G680" s="13">
        <v>1</v>
      </c>
      <c r="H680" s="4"/>
      <c r="I680" s="4"/>
      <c r="J680" s="4"/>
      <c r="K680" s="4"/>
      <c r="L680" s="4"/>
    </row>
    <row r="681" spans="1:12">
      <c r="A681" s="4" t="s">
        <v>1634</v>
      </c>
      <c r="B681" s="4" t="s">
        <v>1635</v>
      </c>
      <c r="C681" s="4" t="s">
        <v>801</v>
      </c>
      <c r="D681" s="4" t="s">
        <v>330</v>
      </c>
      <c r="E681" s="4" t="s">
        <v>326</v>
      </c>
      <c r="F681" s="13">
        <v>1</v>
      </c>
      <c r="G681" s="13">
        <v>1</v>
      </c>
      <c r="H681" s="4"/>
      <c r="I681" s="4"/>
      <c r="J681" s="4"/>
      <c r="K681" s="4" t="s">
        <v>1636</v>
      </c>
      <c r="L681" s="4" t="s">
        <v>683</v>
      </c>
    </row>
    <row r="682" spans="1:12">
      <c r="A682" s="4" t="s">
        <v>1637</v>
      </c>
      <c r="B682" s="4" t="s">
        <v>1638</v>
      </c>
      <c r="C682" s="4" t="s">
        <v>801</v>
      </c>
      <c r="D682" s="4" t="s">
        <v>330</v>
      </c>
      <c r="E682" s="4" t="s">
        <v>326</v>
      </c>
      <c r="F682" s="13">
        <v>1</v>
      </c>
      <c r="G682" s="13">
        <v>1</v>
      </c>
      <c r="H682" s="4"/>
      <c r="I682" s="4"/>
      <c r="J682" s="4"/>
      <c r="K682" s="4" t="s">
        <v>1636</v>
      </c>
      <c r="L682" s="4" t="s">
        <v>683</v>
      </c>
    </row>
    <row r="683" spans="1:12">
      <c r="A683" s="4" t="s">
        <v>1636</v>
      </c>
      <c r="B683" s="4" t="s">
        <v>1639</v>
      </c>
      <c r="C683" s="4" t="s">
        <v>801</v>
      </c>
      <c r="D683" s="4" t="s">
        <v>702</v>
      </c>
      <c r="E683" s="4" t="s">
        <v>326</v>
      </c>
      <c r="F683" s="13">
        <v>1</v>
      </c>
      <c r="G683" s="13">
        <v>1</v>
      </c>
      <c r="H683" s="4"/>
      <c r="I683" s="4"/>
      <c r="J683" s="4"/>
      <c r="K683" s="4" t="s">
        <v>304</v>
      </c>
      <c r="L683" s="4"/>
    </row>
    <row r="684" spans="1:12">
      <c r="A684" s="4" t="s">
        <v>1640</v>
      </c>
      <c r="B684" s="4" t="s">
        <v>1641</v>
      </c>
      <c r="C684" s="4" t="s">
        <v>801</v>
      </c>
      <c r="D684" s="4" t="s">
        <v>325</v>
      </c>
      <c r="E684" s="4" t="s">
        <v>326</v>
      </c>
      <c r="F684" s="13">
        <v>1</v>
      </c>
      <c r="G684" s="13">
        <v>1</v>
      </c>
      <c r="H684" s="4"/>
      <c r="I684" s="4"/>
      <c r="J684" s="4"/>
      <c r="K684" s="4"/>
      <c r="L684" s="4"/>
    </row>
    <row r="685" spans="1:12">
      <c r="A685" s="4" t="s">
        <v>1642</v>
      </c>
      <c r="B685" s="4" t="s">
        <v>1643</v>
      </c>
      <c r="C685" s="4" t="s">
        <v>801</v>
      </c>
      <c r="D685" s="4" t="s">
        <v>330</v>
      </c>
      <c r="E685" s="4" t="s">
        <v>326</v>
      </c>
      <c r="F685" s="13">
        <v>1</v>
      </c>
      <c r="G685" s="13">
        <v>1</v>
      </c>
      <c r="H685" s="4"/>
      <c r="I685" s="4"/>
      <c r="J685" s="4"/>
      <c r="K685" s="4" t="s">
        <v>1644</v>
      </c>
      <c r="L685" s="4" t="s">
        <v>683</v>
      </c>
    </row>
    <row r="686" spans="1:12">
      <c r="A686" s="4" t="s">
        <v>1645</v>
      </c>
      <c r="B686" s="4" t="s">
        <v>1646</v>
      </c>
      <c r="C686" s="4" t="s">
        <v>801</v>
      </c>
      <c r="D686" s="4" t="s">
        <v>330</v>
      </c>
      <c r="E686" s="4" t="s">
        <v>326</v>
      </c>
      <c r="F686" s="13">
        <v>1</v>
      </c>
      <c r="G686" s="13">
        <v>1</v>
      </c>
      <c r="H686" s="4"/>
      <c r="I686" s="4"/>
      <c r="J686" s="4"/>
      <c r="K686" s="4" t="s">
        <v>1644</v>
      </c>
      <c r="L686" s="4" t="s">
        <v>683</v>
      </c>
    </row>
    <row r="687" spans="1:12">
      <c r="A687" s="4" t="s">
        <v>1644</v>
      </c>
      <c r="B687" s="4" t="s">
        <v>1647</v>
      </c>
      <c r="C687" s="4" t="s">
        <v>801</v>
      </c>
      <c r="D687" s="4" t="s">
        <v>702</v>
      </c>
      <c r="E687" s="4" t="s">
        <v>326</v>
      </c>
      <c r="F687" s="13">
        <v>1</v>
      </c>
      <c r="G687" s="13">
        <v>1</v>
      </c>
      <c r="H687" s="4"/>
      <c r="I687" s="4"/>
      <c r="J687" s="4"/>
      <c r="K687" s="4" t="s">
        <v>304</v>
      </c>
      <c r="L687" s="4"/>
    </row>
    <row r="688" spans="1:12">
      <c r="A688" s="4" t="s">
        <v>1648</v>
      </c>
      <c r="B688" s="4" t="s">
        <v>1649</v>
      </c>
      <c r="C688" s="4" t="s">
        <v>801</v>
      </c>
      <c r="D688" s="4" t="s">
        <v>325</v>
      </c>
      <c r="E688" s="4" t="s">
        <v>326</v>
      </c>
      <c r="F688" s="13">
        <v>1</v>
      </c>
      <c r="G688" s="13">
        <v>1</v>
      </c>
      <c r="H688" s="4"/>
      <c r="I688" s="4"/>
      <c r="J688" s="4"/>
      <c r="K688" s="4" t="s">
        <v>1650</v>
      </c>
      <c r="L688" s="4"/>
    </row>
    <row r="689" spans="1:12">
      <c r="A689" s="4" t="s">
        <v>1651</v>
      </c>
      <c r="B689" s="4" t="s">
        <v>1652</v>
      </c>
      <c r="C689" s="4" t="s">
        <v>801</v>
      </c>
      <c r="D689" s="4" t="s">
        <v>330</v>
      </c>
      <c r="E689" s="4" t="s">
        <v>326</v>
      </c>
      <c r="F689" s="13">
        <v>1</v>
      </c>
      <c r="G689" s="13">
        <v>1</v>
      </c>
      <c r="H689" s="4"/>
      <c r="I689" s="4"/>
      <c r="J689" s="4"/>
      <c r="K689" s="4" t="s">
        <v>1650</v>
      </c>
      <c r="L689" s="4" t="s">
        <v>683</v>
      </c>
    </row>
    <row r="690" spans="1:12">
      <c r="A690" s="4" t="s">
        <v>1653</v>
      </c>
      <c r="B690" s="4" t="s">
        <v>1654</v>
      </c>
      <c r="C690" s="4" t="s">
        <v>801</v>
      </c>
      <c r="D690" s="4" t="s">
        <v>330</v>
      </c>
      <c r="E690" s="4" t="s">
        <v>326</v>
      </c>
      <c r="F690" s="13">
        <v>1</v>
      </c>
      <c r="G690" s="13">
        <v>1</v>
      </c>
      <c r="H690" s="4"/>
      <c r="I690" s="4"/>
      <c r="J690" s="4"/>
      <c r="K690" s="4" t="s">
        <v>1650</v>
      </c>
      <c r="L690" s="4" t="s">
        <v>683</v>
      </c>
    </row>
    <row r="691" spans="1:12">
      <c r="A691" s="4" t="s">
        <v>1650</v>
      </c>
      <c r="B691" s="4" t="s">
        <v>1655</v>
      </c>
      <c r="C691" s="4" t="s">
        <v>801</v>
      </c>
      <c r="D691" s="4" t="s">
        <v>702</v>
      </c>
      <c r="E691" s="4" t="s">
        <v>326</v>
      </c>
      <c r="F691" s="13">
        <v>1</v>
      </c>
      <c r="G691" s="13">
        <v>1</v>
      </c>
      <c r="H691" s="4"/>
      <c r="I691" s="4"/>
      <c r="J691" s="4"/>
      <c r="K691" s="4" t="s">
        <v>304</v>
      </c>
      <c r="L691" s="4"/>
    </row>
    <row r="692" spans="1:12">
      <c r="A692" s="4" t="s">
        <v>1656</v>
      </c>
      <c r="B692" s="4" t="s">
        <v>1657</v>
      </c>
      <c r="C692" s="4" t="s">
        <v>801</v>
      </c>
      <c r="D692" s="4" t="s">
        <v>330</v>
      </c>
      <c r="E692" s="4" t="s">
        <v>326</v>
      </c>
      <c r="F692" s="13">
        <v>1</v>
      </c>
      <c r="G692" s="13">
        <v>1</v>
      </c>
      <c r="H692" s="4"/>
      <c r="I692" s="4"/>
      <c r="J692" s="4"/>
      <c r="K692" s="4" t="s">
        <v>1658</v>
      </c>
      <c r="L692" s="4" t="s">
        <v>683</v>
      </c>
    </row>
    <row r="693" spans="1:12">
      <c r="A693" s="4" t="s">
        <v>1659</v>
      </c>
      <c r="B693" s="4" t="s">
        <v>1660</v>
      </c>
      <c r="C693" s="4" t="s">
        <v>801</v>
      </c>
      <c r="D693" s="4" t="s">
        <v>330</v>
      </c>
      <c r="E693" s="4" t="s">
        <v>326</v>
      </c>
      <c r="F693" s="13">
        <v>1</v>
      </c>
      <c r="G693" s="13">
        <v>1</v>
      </c>
      <c r="H693" s="4"/>
      <c r="I693" s="4"/>
      <c r="J693" s="4"/>
      <c r="K693" s="4" t="s">
        <v>1658</v>
      </c>
      <c r="L693" s="4" t="s">
        <v>683</v>
      </c>
    </row>
    <row r="694" spans="1:12">
      <c r="A694" s="4" t="s">
        <v>1658</v>
      </c>
      <c r="B694" s="4" t="s">
        <v>1661</v>
      </c>
      <c r="C694" s="4" t="s">
        <v>801</v>
      </c>
      <c r="D694" s="4" t="s">
        <v>702</v>
      </c>
      <c r="E694" s="4" t="s">
        <v>326</v>
      </c>
      <c r="F694" s="13">
        <v>1</v>
      </c>
      <c r="G694" s="13">
        <v>1</v>
      </c>
      <c r="H694" s="4"/>
      <c r="I694" s="4"/>
      <c r="J694" s="4"/>
      <c r="K694" s="4" t="s">
        <v>304</v>
      </c>
      <c r="L694" s="4"/>
    </row>
    <row r="695" spans="1:12">
      <c r="A695" s="4" t="s">
        <v>1662</v>
      </c>
      <c r="B695" s="4" t="s">
        <v>1663</v>
      </c>
      <c r="C695" s="4" t="s">
        <v>801</v>
      </c>
      <c r="D695" s="4" t="s">
        <v>330</v>
      </c>
      <c r="E695" s="4" t="s">
        <v>326</v>
      </c>
      <c r="F695" s="13">
        <v>1</v>
      </c>
      <c r="G695" s="13">
        <v>1</v>
      </c>
      <c r="H695" s="4"/>
      <c r="I695" s="4"/>
      <c r="J695" s="4"/>
      <c r="K695" s="4" t="s">
        <v>1664</v>
      </c>
      <c r="L695" s="4" t="s">
        <v>683</v>
      </c>
    </row>
    <row r="696" spans="1:12">
      <c r="A696" s="4" t="s">
        <v>1665</v>
      </c>
      <c r="B696" s="4" t="s">
        <v>1666</v>
      </c>
      <c r="C696" s="4" t="s">
        <v>801</v>
      </c>
      <c r="D696" s="4" t="s">
        <v>330</v>
      </c>
      <c r="E696" s="4" t="s">
        <v>326</v>
      </c>
      <c r="F696" s="13">
        <v>1</v>
      </c>
      <c r="G696" s="13">
        <v>1</v>
      </c>
      <c r="H696" s="4"/>
      <c r="I696" s="4"/>
      <c r="J696" s="4"/>
      <c r="K696" s="4" t="s">
        <v>1664</v>
      </c>
      <c r="L696" s="4" t="s">
        <v>683</v>
      </c>
    </row>
    <row r="697" spans="1:12">
      <c r="A697" s="4" t="s">
        <v>1664</v>
      </c>
      <c r="B697" s="4" t="s">
        <v>1667</v>
      </c>
      <c r="C697" s="4" t="s">
        <v>801</v>
      </c>
      <c r="D697" s="4" t="s">
        <v>702</v>
      </c>
      <c r="E697" s="4" t="s">
        <v>326</v>
      </c>
      <c r="F697" s="13">
        <v>1</v>
      </c>
      <c r="G697" s="13">
        <v>1</v>
      </c>
      <c r="H697" s="4"/>
      <c r="I697" s="4"/>
      <c r="J697" s="4"/>
      <c r="K697" s="4" t="s">
        <v>304</v>
      </c>
      <c r="L697" s="4"/>
    </row>
    <row r="698" spans="1:12">
      <c r="A698" s="4" t="s">
        <v>1668</v>
      </c>
      <c r="B698" s="4" t="s">
        <v>1669</v>
      </c>
      <c r="C698" s="4" t="s">
        <v>801</v>
      </c>
      <c r="D698" s="4" t="s">
        <v>330</v>
      </c>
      <c r="E698" s="4" t="s">
        <v>326</v>
      </c>
      <c r="F698" s="13">
        <v>0</v>
      </c>
      <c r="G698" s="13">
        <v>1</v>
      </c>
      <c r="H698" s="4"/>
      <c r="I698" s="4"/>
      <c r="J698" s="4"/>
      <c r="K698" s="4" t="s">
        <v>304</v>
      </c>
      <c r="L698" s="4" t="s">
        <v>683</v>
      </c>
    </row>
    <row r="699" spans="1:12">
      <c r="A699" s="4" t="s">
        <v>1670</v>
      </c>
      <c r="B699" s="4" t="s">
        <v>1671</v>
      </c>
      <c r="C699" s="4" t="s">
        <v>801</v>
      </c>
      <c r="D699" s="4" t="s">
        <v>330</v>
      </c>
      <c r="E699" s="4" t="s">
        <v>326</v>
      </c>
      <c r="F699" s="13">
        <v>1</v>
      </c>
      <c r="G699" s="13">
        <v>1</v>
      </c>
      <c r="H699" s="4"/>
      <c r="I699" s="4"/>
      <c r="J699" s="4"/>
      <c r="K699" s="4" t="s">
        <v>304</v>
      </c>
      <c r="L699" s="4" t="s">
        <v>683</v>
      </c>
    </row>
    <row r="700" spans="1:12">
      <c r="A700" s="4" t="s">
        <v>1672</v>
      </c>
      <c r="B700" s="4" t="s">
        <v>1673</v>
      </c>
      <c r="C700" s="4" t="s">
        <v>801</v>
      </c>
      <c r="D700" s="4" t="s">
        <v>330</v>
      </c>
      <c r="E700" s="4" t="s">
        <v>326</v>
      </c>
      <c r="F700" s="13">
        <v>1</v>
      </c>
      <c r="G700" s="13">
        <v>1</v>
      </c>
      <c r="H700" s="4"/>
      <c r="I700" s="4"/>
      <c r="J700" s="4"/>
      <c r="K700" s="4" t="s">
        <v>304</v>
      </c>
      <c r="L700" s="4" t="s">
        <v>683</v>
      </c>
    </row>
    <row r="701" spans="1:12">
      <c r="A701" s="4" t="s">
        <v>1674</v>
      </c>
      <c r="B701" s="4" t="s">
        <v>1675</v>
      </c>
      <c r="C701" s="4" t="s">
        <v>801</v>
      </c>
      <c r="D701" s="4" t="s">
        <v>330</v>
      </c>
      <c r="E701" s="4" t="s">
        <v>326</v>
      </c>
      <c r="F701" s="13">
        <v>1</v>
      </c>
      <c r="G701" s="13">
        <v>1</v>
      </c>
      <c r="H701" s="4"/>
      <c r="I701" s="4"/>
      <c r="J701" s="4"/>
      <c r="K701" s="4" t="s">
        <v>304</v>
      </c>
      <c r="L701" s="4" t="s">
        <v>683</v>
      </c>
    </row>
    <row r="702" spans="1:12">
      <c r="A702" s="4" t="s">
        <v>1676</v>
      </c>
      <c r="B702" s="4" t="s">
        <v>1677</v>
      </c>
      <c r="C702" s="4" t="s">
        <v>324</v>
      </c>
      <c r="D702" s="4" t="s">
        <v>330</v>
      </c>
      <c r="E702" s="4" t="s">
        <v>326</v>
      </c>
      <c r="F702" s="13">
        <v>1</v>
      </c>
      <c r="G702" s="13">
        <v>1</v>
      </c>
      <c r="H702" s="4"/>
      <c r="I702" s="4"/>
      <c r="J702" s="4"/>
      <c r="K702" s="4" t="s">
        <v>304</v>
      </c>
      <c r="L702" s="4" t="s">
        <v>683</v>
      </c>
    </row>
    <row r="703" spans="1:12">
      <c r="A703" s="4" t="s">
        <v>1678</v>
      </c>
      <c r="B703" s="4" t="s">
        <v>1679</v>
      </c>
      <c r="C703" s="4" t="s">
        <v>801</v>
      </c>
      <c r="D703" s="4" t="s">
        <v>330</v>
      </c>
      <c r="E703" s="4" t="s">
        <v>326</v>
      </c>
      <c r="F703" s="13">
        <v>1</v>
      </c>
      <c r="G703" s="13">
        <v>1</v>
      </c>
      <c r="H703" s="4"/>
      <c r="I703" s="4"/>
      <c r="J703" s="4"/>
      <c r="K703" s="4" t="s">
        <v>304</v>
      </c>
      <c r="L703" s="4" t="s">
        <v>683</v>
      </c>
    </row>
    <row r="704" spans="1:12">
      <c r="A704" s="4" t="s">
        <v>1680</v>
      </c>
      <c r="B704" s="4" t="s">
        <v>1681</v>
      </c>
      <c r="C704" s="4" t="s">
        <v>324</v>
      </c>
      <c r="D704" s="4" t="s">
        <v>330</v>
      </c>
      <c r="E704" s="4" t="s">
        <v>587</v>
      </c>
      <c r="F704" s="13">
        <v>1</v>
      </c>
      <c r="G704" s="13">
        <v>1</v>
      </c>
      <c r="H704" s="4"/>
      <c r="I704" s="4"/>
      <c r="J704" s="4"/>
      <c r="K704" s="4" t="s">
        <v>304</v>
      </c>
      <c r="L704" s="4"/>
    </row>
    <row r="705" spans="1:12">
      <c r="A705" s="4" t="s">
        <v>1682</v>
      </c>
      <c r="B705" s="4" t="s">
        <v>1683</v>
      </c>
      <c r="C705" s="4" t="s">
        <v>801</v>
      </c>
      <c r="D705" s="4" t="s">
        <v>330</v>
      </c>
      <c r="E705" s="4" t="s">
        <v>326</v>
      </c>
      <c r="F705" s="13">
        <v>1</v>
      </c>
      <c r="G705" s="13">
        <v>1</v>
      </c>
      <c r="H705" s="4"/>
      <c r="I705" s="4"/>
      <c r="J705" s="4"/>
      <c r="K705" s="4" t="s">
        <v>304</v>
      </c>
      <c r="L705" s="4" t="s">
        <v>683</v>
      </c>
    </row>
    <row r="706" spans="1:12">
      <c r="A706" s="4" t="s">
        <v>1684</v>
      </c>
      <c r="B706" s="4" t="s">
        <v>1685</v>
      </c>
      <c r="C706" s="4" t="s">
        <v>801</v>
      </c>
      <c r="D706" s="4" t="s">
        <v>330</v>
      </c>
      <c r="E706" s="4" t="s">
        <v>326</v>
      </c>
      <c r="F706" s="13">
        <v>1</v>
      </c>
      <c r="G706" s="13">
        <v>1</v>
      </c>
      <c r="H706" s="4"/>
      <c r="I706" s="4"/>
      <c r="J706" s="4"/>
      <c r="K706" s="4" t="s">
        <v>304</v>
      </c>
      <c r="L706" s="4" t="s">
        <v>683</v>
      </c>
    </row>
    <row r="707" spans="1:12">
      <c r="A707" s="4" t="s">
        <v>1686</v>
      </c>
      <c r="B707" s="4" t="s">
        <v>1687</v>
      </c>
      <c r="C707" s="4" t="s">
        <v>801</v>
      </c>
      <c r="D707" s="4" t="s">
        <v>330</v>
      </c>
      <c r="E707" s="4" t="s">
        <v>326</v>
      </c>
      <c r="F707" s="13">
        <v>1</v>
      </c>
      <c r="G707" s="13">
        <v>1</v>
      </c>
      <c r="H707" s="4"/>
      <c r="I707" s="4"/>
      <c r="J707" s="4"/>
      <c r="K707" s="4" t="s">
        <v>304</v>
      </c>
      <c r="L707" s="4" t="s">
        <v>683</v>
      </c>
    </row>
    <row r="708" spans="1:12">
      <c r="A708" s="4" t="s">
        <v>1688</v>
      </c>
      <c r="B708" s="4" t="s">
        <v>1689</v>
      </c>
      <c r="C708" s="4" t="s">
        <v>801</v>
      </c>
      <c r="D708" s="4" t="s">
        <v>330</v>
      </c>
      <c r="E708" s="4" t="s">
        <v>326</v>
      </c>
      <c r="F708" s="13">
        <v>1</v>
      </c>
      <c r="G708" s="13">
        <v>1</v>
      </c>
      <c r="H708" s="4"/>
      <c r="I708" s="4"/>
      <c r="J708" s="4"/>
      <c r="K708" s="4" t="s">
        <v>304</v>
      </c>
      <c r="L708" s="4" t="s">
        <v>683</v>
      </c>
    </row>
    <row r="709" spans="1:12">
      <c r="A709" s="4" t="s">
        <v>1690</v>
      </c>
      <c r="B709" s="4" t="s">
        <v>1691</v>
      </c>
      <c r="C709" s="4" t="s">
        <v>801</v>
      </c>
      <c r="D709" s="4" t="s">
        <v>325</v>
      </c>
      <c r="E709" s="4" t="s">
        <v>326</v>
      </c>
      <c r="F709" s="13">
        <v>0</v>
      </c>
      <c r="G709" s="13">
        <v>1</v>
      </c>
      <c r="H709" s="4"/>
      <c r="I709" s="4"/>
      <c r="J709" s="4"/>
      <c r="K709" s="4" t="s">
        <v>1692</v>
      </c>
      <c r="L709" s="4"/>
    </row>
    <row r="710" spans="1:12">
      <c r="A710" s="4" t="s">
        <v>1693</v>
      </c>
      <c r="B710" s="4" t="s">
        <v>1694</v>
      </c>
      <c r="C710" s="4" t="s">
        <v>801</v>
      </c>
      <c r="D710" s="4" t="s">
        <v>330</v>
      </c>
      <c r="E710" s="4" t="s">
        <v>326</v>
      </c>
      <c r="F710" s="13">
        <v>0</v>
      </c>
      <c r="G710" s="13">
        <v>1</v>
      </c>
      <c r="H710" s="4"/>
      <c r="I710" s="4"/>
      <c r="J710" s="4"/>
      <c r="K710" s="4" t="s">
        <v>1692</v>
      </c>
      <c r="L710" s="4" t="s">
        <v>683</v>
      </c>
    </row>
    <row r="711" spans="1:12">
      <c r="A711" s="4" t="s">
        <v>1695</v>
      </c>
      <c r="B711" s="4" t="s">
        <v>1696</v>
      </c>
      <c r="C711" s="4" t="s">
        <v>801</v>
      </c>
      <c r="D711" s="4" t="s">
        <v>330</v>
      </c>
      <c r="E711" s="4" t="s">
        <v>326</v>
      </c>
      <c r="F711" s="13">
        <v>0</v>
      </c>
      <c r="G711" s="13">
        <v>1</v>
      </c>
      <c r="H711" s="4"/>
      <c r="I711" s="4"/>
      <c r="J711" s="4"/>
      <c r="K711" s="4" t="s">
        <v>1692</v>
      </c>
      <c r="L711" s="4" t="s">
        <v>683</v>
      </c>
    </row>
    <row r="712" spans="1:12">
      <c r="A712" s="4" t="s">
        <v>1692</v>
      </c>
      <c r="B712" s="4" t="s">
        <v>1697</v>
      </c>
      <c r="C712" s="4" t="s">
        <v>801</v>
      </c>
      <c r="D712" s="4" t="s">
        <v>702</v>
      </c>
      <c r="E712" s="4" t="s">
        <v>326</v>
      </c>
      <c r="F712" s="13">
        <v>0</v>
      </c>
      <c r="G712" s="13">
        <v>1</v>
      </c>
      <c r="H712" s="4"/>
      <c r="I712" s="4"/>
      <c r="J712" s="4"/>
      <c r="K712" s="4" t="s">
        <v>304</v>
      </c>
      <c r="L712" s="4"/>
    </row>
    <row r="713" spans="1:12">
      <c r="A713" s="4" t="s">
        <v>1698</v>
      </c>
      <c r="B713" s="4" t="s">
        <v>1699</v>
      </c>
      <c r="C713" s="4" t="s">
        <v>801</v>
      </c>
      <c r="D713" s="4" t="s">
        <v>325</v>
      </c>
      <c r="E713" s="4" t="s">
        <v>326</v>
      </c>
      <c r="F713" s="13">
        <v>1</v>
      </c>
      <c r="G713" s="13">
        <v>1</v>
      </c>
      <c r="H713" s="4"/>
      <c r="I713" s="4"/>
      <c r="J713" s="4"/>
      <c r="K713" s="4" t="s">
        <v>1700</v>
      </c>
      <c r="L713" s="4"/>
    </row>
    <row r="714" spans="1:12">
      <c r="A714" s="4" t="s">
        <v>1701</v>
      </c>
      <c r="B714" s="4" t="s">
        <v>1702</v>
      </c>
      <c r="C714" s="4" t="s">
        <v>801</v>
      </c>
      <c r="D714" s="4" t="s">
        <v>330</v>
      </c>
      <c r="E714" s="4" t="s">
        <v>326</v>
      </c>
      <c r="F714" s="13">
        <v>0</v>
      </c>
      <c r="G714" s="13">
        <v>1</v>
      </c>
      <c r="H714" s="4"/>
      <c r="I714" s="4"/>
      <c r="J714" s="4"/>
      <c r="K714" s="4" t="s">
        <v>1700</v>
      </c>
      <c r="L714" s="4" t="s">
        <v>683</v>
      </c>
    </row>
    <row r="715" spans="1:12">
      <c r="A715" s="4" t="s">
        <v>1703</v>
      </c>
      <c r="B715" s="4" t="s">
        <v>1704</v>
      </c>
      <c r="C715" s="4" t="s">
        <v>801</v>
      </c>
      <c r="D715" s="4" t="s">
        <v>330</v>
      </c>
      <c r="E715" s="4" t="s">
        <v>326</v>
      </c>
      <c r="F715" s="13">
        <v>1</v>
      </c>
      <c r="G715" s="13">
        <v>1</v>
      </c>
      <c r="H715" s="4"/>
      <c r="I715" s="4"/>
      <c r="J715" s="4"/>
      <c r="K715" s="4" t="s">
        <v>1700</v>
      </c>
      <c r="L715" s="4" t="s">
        <v>683</v>
      </c>
    </row>
    <row r="716" spans="1:12">
      <c r="A716" s="4" t="s">
        <v>1700</v>
      </c>
      <c r="B716" s="4" t="s">
        <v>1705</v>
      </c>
      <c r="C716" s="4" t="s">
        <v>801</v>
      </c>
      <c r="D716" s="4" t="s">
        <v>702</v>
      </c>
      <c r="E716" s="4" t="s">
        <v>326</v>
      </c>
      <c r="F716" s="13">
        <v>1</v>
      </c>
      <c r="G716" s="13">
        <v>1</v>
      </c>
      <c r="H716" s="4"/>
      <c r="I716" s="4"/>
      <c r="J716" s="4"/>
      <c r="K716" s="4" t="s">
        <v>304</v>
      </c>
      <c r="L716" s="4"/>
    </row>
    <row r="717" spans="1:12">
      <c r="A717" s="4" t="s">
        <v>1706</v>
      </c>
      <c r="B717" s="4" t="s">
        <v>1707</v>
      </c>
      <c r="C717" s="4" t="s">
        <v>801</v>
      </c>
      <c r="D717" s="4" t="s">
        <v>325</v>
      </c>
      <c r="E717" s="4" t="s">
        <v>326</v>
      </c>
      <c r="F717" s="13">
        <v>0</v>
      </c>
      <c r="G717" s="13">
        <v>1</v>
      </c>
      <c r="H717" s="4"/>
      <c r="I717" s="4"/>
      <c r="J717" s="4"/>
      <c r="K717" s="4" t="s">
        <v>1708</v>
      </c>
      <c r="L717" s="4"/>
    </row>
    <row r="718" spans="1:12">
      <c r="A718" s="4" t="s">
        <v>1709</v>
      </c>
      <c r="B718" s="4" t="s">
        <v>1710</v>
      </c>
      <c r="C718" s="4" t="s">
        <v>801</v>
      </c>
      <c r="D718" s="4" t="s">
        <v>330</v>
      </c>
      <c r="E718" s="4" t="s">
        <v>326</v>
      </c>
      <c r="F718" s="13">
        <v>0</v>
      </c>
      <c r="G718" s="13">
        <v>1</v>
      </c>
      <c r="H718" s="4"/>
      <c r="I718" s="4"/>
      <c r="J718" s="4"/>
      <c r="K718" s="4" t="s">
        <v>1708</v>
      </c>
      <c r="L718" s="4" t="s">
        <v>683</v>
      </c>
    </row>
    <row r="719" spans="1:12">
      <c r="A719" s="4" t="s">
        <v>1711</v>
      </c>
      <c r="B719" s="4" t="s">
        <v>1712</v>
      </c>
      <c r="C719" s="4" t="s">
        <v>801</v>
      </c>
      <c r="D719" s="4" t="s">
        <v>330</v>
      </c>
      <c r="E719" s="4" t="s">
        <v>326</v>
      </c>
      <c r="F719" s="13">
        <v>0</v>
      </c>
      <c r="G719" s="13">
        <v>1</v>
      </c>
      <c r="H719" s="4"/>
      <c r="I719" s="4"/>
      <c r="J719" s="4"/>
      <c r="K719" s="4" t="s">
        <v>1708</v>
      </c>
      <c r="L719" s="4" t="s">
        <v>683</v>
      </c>
    </row>
    <row r="720" spans="1:12">
      <c r="A720" s="4" t="s">
        <v>1708</v>
      </c>
      <c r="B720" s="4" t="s">
        <v>1713</v>
      </c>
      <c r="C720" s="4" t="s">
        <v>801</v>
      </c>
      <c r="D720" s="4" t="s">
        <v>702</v>
      </c>
      <c r="E720" s="4" t="s">
        <v>326</v>
      </c>
      <c r="F720" s="13">
        <v>0</v>
      </c>
      <c r="G720" s="13">
        <v>1</v>
      </c>
      <c r="H720" s="4"/>
      <c r="I720" s="4"/>
      <c r="J720" s="4"/>
      <c r="K720" s="4" t="s">
        <v>304</v>
      </c>
      <c r="L720" s="4"/>
    </row>
    <row r="721" spans="1:12">
      <c r="A721" s="4" t="s">
        <v>1714</v>
      </c>
      <c r="B721" s="4" t="s">
        <v>1715</v>
      </c>
      <c r="C721" s="4" t="s">
        <v>801</v>
      </c>
      <c r="D721" s="4" t="s">
        <v>325</v>
      </c>
      <c r="E721" s="4" t="s">
        <v>326</v>
      </c>
      <c r="F721" s="13">
        <v>0</v>
      </c>
      <c r="G721" s="13">
        <v>1</v>
      </c>
      <c r="H721" s="4"/>
      <c r="I721" s="4"/>
      <c r="J721" s="4"/>
      <c r="K721" s="4" t="s">
        <v>1716</v>
      </c>
      <c r="L721" s="4"/>
    </row>
    <row r="722" spans="1:12">
      <c r="A722" s="4" t="s">
        <v>1717</v>
      </c>
      <c r="B722" s="4" t="s">
        <v>1718</v>
      </c>
      <c r="C722" s="4" t="s">
        <v>801</v>
      </c>
      <c r="D722" s="4" t="s">
        <v>330</v>
      </c>
      <c r="E722" s="4" t="s">
        <v>326</v>
      </c>
      <c r="F722" s="13">
        <v>0</v>
      </c>
      <c r="G722" s="13">
        <v>1</v>
      </c>
      <c r="H722" s="4"/>
      <c r="I722" s="4"/>
      <c r="J722" s="4"/>
      <c r="K722" s="4" t="s">
        <v>1716</v>
      </c>
      <c r="L722" s="4" t="s">
        <v>683</v>
      </c>
    </row>
    <row r="723" spans="1:12">
      <c r="A723" s="4" t="s">
        <v>1719</v>
      </c>
      <c r="B723" s="4" t="s">
        <v>1720</v>
      </c>
      <c r="C723" s="4" t="s">
        <v>801</v>
      </c>
      <c r="D723" s="4" t="s">
        <v>330</v>
      </c>
      <c r="E723" s="4" t="s">
        <v>326</v>
      </c>
      <c r="F723" s="13">
        <v>0</v>
      </c>
      <c r="G723" s="13">
        <v>1</v>
      </c>
      <c r="H723" s="4"/>
      <c r="I723" s="4"/>
      <c r="J723" s="4"/>
      <c r="K723" s="4" t="s">
        <v>1716</v>
      </c>
      <c r="L723" s="4" t="s">
        <v>683</v>
      </c>
    </row>
    <row r="724" spans="1:12">
      <c r="A724" s="4" t="s">
        <v>1716</v>
      </c>
      <c r="B724" s="4" t="s">
        <v>1721</v>
      </c>
      <c r="C724" s="4" t="s">
        <v>801</v>
      </c>
      <c r="D724" s="4" t="s">
        <v>702</v>
      </c>
      <c r="E724" s="4" t="s">
        <v>326</v>
      </c>
      <c r="F724" s="13">
        <v>0</v>
      </c>
      <c r="G724" s="13">
        <v>1</v>
      </c>
      <c r="H724" s="4"/>
      <c r="I724" s="4"/>
      <c r="J724" s="4"/>
      <c r="K724" s="4" t="s">
        <v>304</v>
      </c>
      <c r="L724" s="4"/>
    </row>
    <row r="725" spans="1:12">
      <c r="A725" s="4" t="s">
        <v>1722</v>
      </c>
      <c r="B725" s="4" t="s">
        <v>1723</v>
      </c>
      <c r="C725" s="4" t="s">
        <v>801</v>
      </c>
      <c r="D725" s="4" t="s">
        <v>325</v>
      </c>
      <c r="E725" s="4" t="s">
        <v>326</v>
      </c>
      <c r="F725" s="13">
        <v>0</v>
      </c>
      <c r="G725" s="13">
        <v>1</v>
      </c>
      <c r="H725" s="4"/>
      <c r="I725" s="4"/>
      <c r="J725" s="4"/>
      <c r="K725" s="4" t="s">
        <v>1724</v>
      </c>
      <c r="L725" s="4"/>
    </row>
    <row r="726" spans="1:12">
      <c r="A726" s="4" t="s">
        <v>1725</v>
      </c>
      <c r="B726" s="4" t="s">
        <v>1726</v>
      </c>
      <c r="C726" s="4" t="s">
        <v>801</v>
      </c>
      <c r="D726" s="4" t="s">
        <v>330</v>
      </c>
      <c r="E726" s="4" t="s">
        <v>326</v>
      </c>
      <c r="F726" s="13">
        <v>0</v>
      </c>
      <c r="G726" s="13">
        <v>1</v>
      </c>
      <c r="H726" s="4"/>
      <c r="I726" s="4"/>
      <c r="J726" s="4"/>
      <c r="K726" s="4" t="s">
        <v>1724</v>
      </c>
      <c r="L726" s="4" t="s">
        <v>683</v>
      </c>
    </row>
    <row r="727" spans="1:12">
      <c r="A727" s="4" t="s">
        <v>1727</v>
      </c>
      <c r="B727" s="4" t="s">
        <v>1728</v>
      </c>
      <c r="C727" s="4" t="s">
        <v>801</v>
      </c>
      <c r="D727" s="4" t="s">
        <v>330</v>
      </c>
      <c r="E727" s="4" t="s">
        <v>326</v>
      </c>
      <c r="F727" s="13">
        <v>0</v>
      </c>
      <c r="G727" s="13">
        <v>1</v>
      </c>
      <c r="H727" s="4"/>
      <c r="I727" s="4"/>
      <c r="J727" s="4"/>
      <c r="K727" s="4" t="s">
        <v>1724</v>
      </c>
      <c r="L727" s="4" t="s">
        <v>683</v>
      </c>
    </row>
    <row r="728" spans="1:12">
      <c r="A728" s="4" t="s">
        <v>1724</v>
      </c>
      <c r="B728" s="4" t="s">
        <v>1729</v>
      </c>
      <c r="C728" s="4" t="s">
        <v>801</v>
      </c>
      <c r="D728" s="4" t="s">
        <v>702</v>
      </c>
      <c r="E728" s="4" t="s">
        <v>326</v>
      </c>
      <c r="F728" s="13">
        <v>0</v>
      </c>
      <c r="G728" s="13">
        <v>1</v>
      </c>
      <c r="H728" s="4"/>
      <c r="I728" s="4"/>
      <c r="J728" s="4"/>
      <c r="K728" s="4" t="s">
        <v>304</v>
      </c>
      <c r="L728" s="4"/>
    </row>
    <row r="729" spans="1:12">
      <c r="A729" s="4" t="s">
        <v>1730</v>
      </c>
      <c r="B729" s="4" t="s">
        <v>1731</v>
      </c>
      <c r="C729" s="4" t="s">
        <v>801</v>
      </c>
      <c r="D729" s="4" t="s">
        <v>325</v>
      </c>
      <c r="E729" s="4" t="s">
        <v>326</v>
      </c>
      <c r="F729" s="13">
        <v>0</v>
      </c>
      <c r="G729" s="13">
        <v>1</v>
      </c>
      <c r="H729" s="4"/>
      <c r="I729" s="4"/>
      <c r="J729" s="4"/>
      <c r="K729" s="4" t="s">
        <v>1732</v>
      </c>
      <c r="L729" s="4"/>
    </row>
    <row r="730" spans="1:12">
      <c r="A730" s="4" t="s">
        <v>1733</v>
      </c>
      <c r="B730" s="4" t="s">
        <v>1734</v>
      </c>
      <c r="C730" s="4" t="s">
        <v>801</v>
      </c>
      <c r="D730" s="4" t="s">
        <v>330</v>
      </c>
      <c r="E730" s="4" t="s">
        <v>326</v>
      </c>
      <c r="F730" s="13">
        <v>0</v>
      </c>
      <c r="G730" s="13">
        <v>1</v>
      </c>
      <c r="H730" s="4"/>
      <c r="I730" s="4"/>
      <c r="J730" s="4"/>
      <c r="K730" s="4" t="s">
        <v>1732</v>
      </c>
      <c r="L730" s="4" t="s">
        <v>683</v>
      </c>
    </row>
    <row r="731" spans="1:12">
      <c r="A731" s="4" t="s">
        <v>1735</v>
      </c>
      <c r="B731" s="4" t="s">
        <v>1736</v>
      </c>
      <c r="C731" s="4" t="s">
        <v>801</v>
      </c>
      <c r="D731" s="4" t="s">
        <v>330</v>
      </c>
      <c r="E731" s="4" t="s">
        <v>326</v>
      </c>
      <c r="F731" s="13">
        <v>0</v>
      </c>
      <c r="G731" s="13">
        <v>1</v>
      </c>
      <c r="H731" s="4"/>
      <c r="I731" s="4"/>
      <c r="J731" s="4"/>
      <c r="K731" s="4" t="s">
        <v>1732</v>
      </c>
      <c r="L731" s="4" t="s">
        <v>683</v>
      </c>
    </row>
    <row r="732" spans="1:12">
      <c r="A732" s="4" t="s">
        <v>1732</v>
      </c>
      <c r="B732" s="4" t="s">
        <v>1737</v>
      </c>
      <c r="C732" s="4" t="s">
        <v>801</v>
      </c>
      <c r="D732" s="4" t="s">
        <v>702</v>
      </c>
      <c r="E732" s="4" t="s">
        <v>326</v>
      </c>
      <c r="F732" s="13">
        <v>0</v>
      </c>
      <c r="G732" s="13">
        <v>1</v>
      </c>
      <c r="H732" s="4"/>
      <c r="I732" s="4"/>
      <c r="J732" s="4"/>
      <c r="K732" s="4" t="s">
        <v>304</v>
      </c>
      <c r="L732" s="4"/>
    </row>
    <row r="733" spans="1:12">
      <c r="A733" s="4" t="s">
        <v>1738</v>
      </c>
      <c r="B733" s="4" t="s">
        <v>1739</v>
      </c>
      <c r="C733" s="4" t="s">
        <v>801</v>
      </c>
      <c r="D733" s="4" t="s">
        <v>325</v>
      </c>
      <c r="E733" s="4" t="s">
        <v>326</v>
      </c>
      <c r="F733" s="13">
        <v>0</v>
      </c>
      <c r="G733" s="13">
        <v>1</v>
      </c>
      <c r="H733" s="4"/>
      <c r="I733" s="4"/>
      <c r="J733" s="4"/>
      <c r="K733" s="4" t="s">
        <v>1740</v>
      </c>
      <c r="L733" s="4"/>
    </row>
    <row r="734" spans="1:12">
      <c r="A734" s="4" t="s">
        <v>1741</v>
      </c>
      <c r="B734" s="4" t="s">
        <v>1742</v>
      </c>
      <c r="C734" s="4" t="s">
        <v>801</v>
      </c>
      <c r="D734" s="4" t="s">
        <v>330</v>
      </c>
      <c r="E734" s="4" t="s">
        <v>326</v>
      </c>
      <c r="F734" s="13">
        <v>0</v>
      </c>
      <c r="G734" s="13">
        <v>1</v>
      </c>
      <c r="H734" s="4"/>
      <c r="I734" s="4"/>
      <c r="J734" s="4"/>
      <c r="K734" s="4" t="s">
        <v>1740</v>
      </c>
      <c r="L734" s="4" t="s">
        <v>683</v>
      </c>
    </row>
    <row r="735" spans="1:12">
      <c r="A735" s="4" t="s">
        <v>1743</v>
      </c>
      <c r="B735" s="4" t="s">
        <v>1744</v>
      </c>
      <c r="C735" s="4" t="s">
        <v>801</v>
      </c>
      <c r="D735" s="4" t="s">
        <v>330</v>
      </c>
      <c r="E735" s="4" t="s">
        <v>326</v>
      </c>
      <c r="F735" s="13">
        <v>0</v>
      </c>
      <c r="G735" s="13">
        <v>1</v>
      </c>
      <c r="H735" s="4"/>
      <c r="I735" s="4"/>
      <c r="J735" s="4"/>
      <c r="K735" s="4" t="s">
        <v>1740</v>
      </c>
      <c r="L735" s="4" t="s">
        <v>683</v>
      </c>
    </row>
    <row r="736" spans="1:12">
      <c r="A736" s="4" t="s">
        <v>1740</v>
      </c>
      <c r="B736" s="4" t="s">
        <v>1745</v>
      </c>
      <c r="C736" s="4" t="s">
        <v>801</v>
      </c>
      <c r="D736" s="4" t="s">
        <v>702</v>
      </c>
      <c r="E736" s="4" t="s">
        <v>326</v>
      </c>
      <c r="F736" s="13">
        <v>0</v>
      </c>
      <c r="G736" s="13">
        <v>1</v>
      </c>
      <c r="H736" s="4"/>
      <c r="I736" s="4"/>
      <c r="J736" s="4"/>
      <c r="K736" s="4" t="s">
        <v>304</v>
      </c>
      <c r="L736" s="4"/>
    </row>
    <row r="737" spans="1:12">
      <c r="A737" s="4" t="s">
        <v>1746</v>
      </c>
      <c r="B737" s="4" t="s">
        <v>1747</v>
      </c>
      <c r="C737" s="4" t="s">
        <v>801</v>
      </c>
      <c r="D737" s="4" t="s">
        <v>325</v>
      </c>
      <c r="E737" s="4" t="s">
        <v>326</v>
      </c>
      <c r="F737" s="13">
        <v>0</v>
      </c>
      <c r="G737" s="13">
        <v>1</v>
      </c>
      <c r="H737" s="4"/>
      <c r="I737" s="4"/>
      <c r="J737" s="4"/>
      <c r="K737" s="4" t="s">
        <v>1748</v>
      </c>
      <c r="L737" s="4"/>
    </row>
    <row r="738" spans="1:12">
      <c r="A738" s="4" t="s">
        <v>1749</v>
      </c>
      <c r="B738" s="4" t="s">
        <v>1750</v>
      </c>
      <c r="C738" s="4" t="s">
        <v>801</v>
      </c>
      <c r="D738" s="4" t="s">
        <v>330</v>
      </c>
      <c r="E738" s="4" t="s">
        <v>326</v>
      </c>
      <c r="F738" s="13">
        <v>0</v>
      </c>
      <c r="G738" s="13">
        <v>1</v>
      </c>
      <c r="H738" s="4"/>
      <c r="I738" s="4"/>
      <c r="J738" s="4"/>
      <c r="K738" s="4" t="s">
        <v>1748</v>
      </c>
      <c r="L738" s="4" t="s">
        <v>683</v>
      </c>
    </row>
    <row r="739" spans="1:12">
      <c r="A739" s="4" t="s">
        <v>1751</v>
      </c>
      <c r="B739" s="4" t="s">
        <v>1752</v>
      </c>
      <c r="C739" s="4" t="s">
        <v>801</v>
      </c>
      <c r="D739" s="4" t="s">
        <v>330</v>
      </c>
      <c r="E739" s="4" t="s">
        <v>326</v>
      </c>
      <c r="F739" s="13">
        <v>0</v>
      </c>
      <c r="G739" s="13">
        <v>1</v>
      </c>
      <c r="H739" s="4"/>
      <c r="I739" s="4"/>
      <c r="J739" s="4"/>
      <c r="K739" s="4" t="s">
        <v>1748</v>
      </c>
      <c r="L739" s="4" t="s">
        <v>683</v>
      </c>
    </row>
    <row r="740" spans="1:12">
      <c r="A740" s="4" t="s">
        <v>1748</v>
      </c>
      <c r="B740" s="4" t="s">
        <v>1753</v>
      </c>
      <c r="C740" s="4" t="s">
        <v>801</v>
      </c>
      <c r="D740" s="4" t="s">
        <v>702</v>
      </c>
      <c r="E740" s="4" t="s">
        <v>326</v>
      </c>
      <c r="F740" s="13">
        <v>0</v>
      </c>
      <c r="G740" s="13">
        <v>1</v>
      </c>
      <c r="H740" s="4"/>
      <c r="I740" s="4"/>
      <c r="J740" s="4"/>
      <c r="K740" s="4" t="s">
        <v>304</v>
      </c>
      <c r="L740" s="4"/>
    </row>
    <row r="741" spans="1:12">
      <c r="A741" s="4" t="s">
        <v>1754</v>
      </c>
      <c r="B741" s="4" t="s">
        <v>1755</v>
      </c>
      <c r="C741" s="4" t="s">
        <v>801</v>
      </c>
      <c r="D741" s="4" t="s">
        <v>325</v>
      </c>
      <c r="E741" s="4" t="s">
        <v>326</v>
      </c>
      <c r="F741" s="13">
        <v>0</v>
      </c>
      <c r="G741" s="13">
        <v>1</v>
      </c>
      <c r="H741" s="4"/>
      <c r="I741" s="4"/>
      <c r="J741" s="4"/>
      <c r="K741" s="4" t="s">
        <v>1756</v>
      </c>
      <c r="L741" s="4"/>
    </row>
    <row r="742" spans="1:12">
      <c r="A742" s="4" t="s">
        <v>1757</v>
      </c>
      <c r="B742" s="4" t="s">
        <v>1758</v>
      </c>
      <c r="C742" s="4" t="s">
        <v>801</v>
      </c>
      <c r="D742" s="4" t="s">
        <v>330</v>
      </c>
      <c r="E742" s="4" t="s">
        <v>326</v>
      </c>
      <c r="F742" s="13">
        <v>0</v>
      </c>
      <c r="G742" s="13">
        <v>1</v>
      </c>
      <c r="H742" s="4"/>
      <c r="I742" s="4"/>
      <c r="J742" s="4"/>
      <c r="K742" s="4" t="s">
        <v>1756</v>
      </c>
      <c r="L742" s="4" t="s">
        <v>683</v>
      </c>
    </row>
    <row r="743" spans="1:12">
      <c r="A743" s="4" t="s">
        <v>1759</v>
      </c>
      <c r="B743" s="4" t="s">
        <v>1760</v>
      </c>
      <c r="C743" s="4" t="s">
        <v>801</v>
      </c>
      <c r="D743" s="4" t="s">
        <v>330</v>
      </c>
      <c r="E743" s="4" t="s">
        <v>326</v>
      </c>
      <c r="F743" s="13">
        <v>0</v>
      </c>
      <c r="G743" s="13">
        <v>1</v>
      </c>
      <c r="H743" s="4"/>
      <c r="I743" s="4"/>
      <c r="J743" s="4"/>
      <c r="K743" s="4" t="s">
        <v>1756</v>
      </c>
      <c r="L743" s="4" t="s">
        <v>683</v>
      </c>
    </row>
    <row r="744" spans="1:12">
      <c r="A744" s="4" t="s">
        <v>1756</v>
      </c>
      <c r="B744" s="4" t="s">
        <v>1761</v>
      </c>
      <c r="C744" s="4" t="s">
        <v>801</v>
      </c>
      <c r="D744" s="4" t="s">
        <v>702</v>
      </c>
      <c r="E744" s="4" t="s">
        <v>326</v>
      </c>
      <c r="F744" s="13">
        <v>0</v>
      </c>
      <c r="G744" s="13">
        <v>1</v>
      </c>
      <c r="H744" s="4"/>
      <c r="I744" s="4"/>
      <c r="J744" s="4"/>
      <c r="K744" s="4" t="s">
        <v>304</v>
      </c>
      <c r="L744" s="4"/>
    </row>
    <row r="745" spans="1:12">
      <c r="A745" s="4" t="s">
        <v>1762</v>
      </c>
      <c r="B745" s="4" t="s">
        <v>1763</v>
      </c>
      <c r="C745" s="4" t="s">
        <v>801</v>
      </c>
      <c r="D745" s="4" t="s">
        <v>325</v>
      </c>
      <c r="E745" s="4" t="s">
        <v>326</v>
      </c>
      <c r="F745" s="13">
        <v>0</v>
      </c>
      <c r="G745" s="13">
        <v>1</v>
      </c>
      <c r="H745" s="4"/>
      <c r="I745" s="4"/>
      <c r="J745" s="4"/>
      <c r="K745" s="4" t="s">
        <v>1764</v>
      </c>
      <c r="L745" s="4"/>
    </row>
    <row r="746" spans="1:12">
      <c r="A746" s="4" t="s">
        <v>1765</v>
      </c>
      <c r="B746" s="4" t="s">
        <v>1766</v>
      </c>
      <c r="C746" s="4" t="s">
        <v>801</v>
      </c>
      <c r="D746" s="4" t="s">
        <v>330</v>
      </c>
      <c r="E746" s="4" t="s">
        <v>326</v>
      </c>
      <c r="F746" s="13">
        <v>0</v>
      </c>
      <c r="G746" s="13">
        <v>1</v>
      </c>
      <c r="H746" s="4"/>
      <c r="I746" s="4"/>
      <c r="J746" s="4"/>
      <c r="K746" s="4" t="s">
        <v>1764</v>
      </c>
      <c r="L746" s="4" t="s">
        <v>683</v>
      </c>
    </row>
    <row r="747" spans="1:12">
      <c r="A747" s="4" t="s">
        <v>1767</v>
      </c>
      <c r="B747" s="4" t="s">
        <v>1768</v>
      </c>
      <c r="C747" s="4" t="s">
        <v>801</v>
      </c>
      <c r="D747" s="4" t="s">
        <v>330</v>
      </c>
      <c r="E747" s="4" t="s">
        <v>326</v>
      </c>
      <c r="F747" s="13">
        <v>0</v>
      </c>
      <c r="G747" s="13">
        <v>1</v>
      </c>
      <c r="H747" s="4"/>
      <c r="I747" s="4"/>
      <c r="J747" s="4"/>
      <c r="K747" s="4" t="s">
        <v>1764</v>
      </c>
      <c r="L747" s="4" t="s">
        <v>683</v>
      </c>
    </row>
    <row r="748" spans="1:12">
      <c r="A748" s="4" t="s">
        <v>1764</v>
      </c>
      <c r="B748" s="4" t="s">
        <v>1769</v>
      </c>
      <c r="C748" s="4" t="s">
        <v>801</v>
      </c>
      <c r="D748" s="4" t="s">
        <v>702</v>
      </c>
      <c r="E748" s="4" t="s">
        <v>326</v>
      </c>
      <c r="F748" s="13">
        <v>0</v>
      </c>
      <c r="G748" s="13">
        <v>1</v>
      </c>
      <c r="H748" s="4"/>
      <c r="I748" s="4"/>
      <c r="J748" s="4"/>
      <c r="K748" s="4" t="s">
        <v>304</v>
      </c>
      <c r="L748" s="4"/>
    </row>
    <row r="749" spans="1:12">
      <c r="A749" s="4" t="s">
        <v>1770</v>
      </c>
      <c r="B749" s="4" t="s">
        <v>1771</v>
      </c>
      <c r="C749" s="4" t="s">
        <v>801</v>
      </c>
      <c r="D749" s="4" t="s">
        <v>325</v>
      </c>
      <c r="E749" s="4" t="s">
        <v>326</v>
      </c>
      <c r="F749" s="13">
        <v>0</v>
      </c>
      <c r="G749" s="13">
        <v>1</v>
      </c>
      <c r="H749" s="4"/>
      <c r="I749" s="4"/>
      <c r="J749" s="4"/>
      <c r="K749" s="4" t="s">
        <v>1772</v>
      </c>
      <c r="L749" s="4"/>
    </row>
    <row r="750" spans="1:12">
      <c r="A750" s="4" t="s">
        <v>1773</v>
      </c>
      <c r="B750" s="4" t="s">
        <v>1774</v>
      </c>
      <c r="C750" s="4" t="s">
        <v>801</v>
      </c>
      <c r="D750" s="4" t="s">
        <v>330</v>
      </c>
      <c r="E750" s="4" t="s">
        <v>326</v>
      </c>
      <c r="F750" s="13">
        <v>0</v>
      </c>
      <c r="G750" s="13">
        <v>1</v>
      </c>
      <c r="H750" s="4"/>
      <c r="I750" s="4"/>
      <c r="J750" s="4"/>
      <c r="K750" s="4" t="s">
        <v>1772</v>
      </c>
      <c r="L750" s="4" t="s">
        <v>683</v>
      </c>
    </row>
    <row r="751" spans="1:12">
      <c r="A751" s="4" t="s">
        <v>1775</v>
      </c>
      <c r="B751" s="4" t="s">
        <v>1776</v>
      </c>
      <c r="C751" s="4" t="s">
        <v>801</v>
      </c>
      <c r="D751" s="4" t="s">
        <v>330</v>
      </c>
      <c r="E751" s="4" t="s">
        <v>326</v>
      </c>
      <c r="F751" s="13">
        <v>0</v>
      </c>
      <c r="G751" s="13">
        <v>1</v>
      </c>
      <c r="H751" s="4"/>
      <c r="I751" s="4"/>
      <c r="J751" s="4"/>
      <c r="K751" s="4" t="s">
        <v>1772</v>
      </c>
      <c r="L751" s="4" t="s">
        <v>683</v>
      </c>
    </row>
    <row r="752" spans="1:12">
      <c r="A752" s="4" t="s">
        <v>1772</v>
      </c>
      <c r="B752" s="4" t="s">
        <v>1777</v>
      </c>
      <c r="C752" s="4" t="s">
        <v>801</v>
      </c>
      <c r="D752" s="4" t="s">
        <v>702</v>
      </c>
      <c r="E752" s="4" t="s">
        <v>326</v>
      </c>
      <c r="F752" s="13">
        <v>0</v>
      </c>
      <c r="G752" s="13">
        <v>1</v>
      </c>
      <c r="H752" s="4"/>
      <c r="I752" s="4"/>
      <c r="J752" s="4"/>
      <c r="K752" s="4" t="s">
        <v>304</v>
      </c>
      <c r="L752" s="4"/>
    </row>
    <row r="753" spans="1:12">
      <c r="A753" s="4" t="s">
        <v>1778</v>
      </c>
      <c r="B753" s="4" t="s">
        <v>1779</v>
      </c>
      <c r="C753" s="4" t="s">
        <v>801</v>
      </c>
      <c r="D753" s="4" t="s">
        <v>325</v>
      </c>
      <c r="E753" s="4" t="s">
        <v>326</v>
      </c>
      <c r="F753" s="13">
        <v>0</v>
      </c>
      <c r="G753" s="13">
        <v>1</v>
      </c>
      <c r="H753" s="4"/>
      <c r="I753" s="4"/>
      <c r="J753" s="4"/>
      <c r="K753" s="4"/>
      <c r="L753" s="4"/>
    </row>
    <row r="754" spans="1:12">
      <c r="A754" s="4" t="s">
        <v>1780</v>
      </c>
      <c r="B754" s="4" t="s">
        <v>1781</v>
      </c>
      <c r="C754" s="4" t="s">
        <v>801</v>
      </c>
      <c r="D754" s="4" t="s">
        <v>330</v>
      </c>
      <c r="E754" s="4" t="s">
        <v>326</v>
      </c>
      <c r="F754" s="13">
        <v>0</v>
      </c>
      <c r="G754" s="13">
        <v>1</v>
      </c>
      <c r="H754" s="4"/>
      <c r="I754" s="4"/>
      <c r="J754" s="4"/>
      <c r="K754" s="4" t="s">
        <v>1782</v>
      </c>
      <c r="L754" s="4" t="s">
        <v>683</v>
      </c>
    </row>
    <row r="755" spans="1:12">
      <c r="A755" s="4" t="s">
        <v>1783</v>
      </c>
      <c r="B755" s="4" t="s">
        <v>1784</v>
      </c>
      <c r="C755" s="4" t="s">
        <v>801</v>
      </c>
      <c r="D755" s="4" t="s">
        <v>330</v>
      </c>
      <c r="E755" s="4" t="s">
        <v>326</v>
      </c>
      <c r="F755" s="13">
        <v>0</v>
      </c>
      <c r="G755" s="13">
        <v>1</v>
      </c>
      <c r="H755" s="4"/>
      <c r="I755" s="4"/>
      <c r="J755" s="4"/>
      <c r="K755" s="4" t="s">
        <v>1782</v>
      </c>
      <c r="L755" s="4" t="s">
        <v>683</v>
      </c>
    </row>
    <row r="756" spans="1:12">
      <c r="A756" s="4" t="s">
        <v>1782</v>
      </c>
      <c r="B756" s="4" t="s">
        <v>1785</v>
      </c>
      <c r="C756" s="4" t="s">
        <v>801</v>
      </c>
      <c r="D756" s="4" t="s">
        <v>702</v>
      </c>
      <c r="E756" s="4" t="s">
        <v>326</v>
      </c>
      <c r="F756" s="13">
        <v>0</v>
      </c>
      <c r="G756" s="13">
        <v>1</v>
      </c>
      <c r="H756" s="4"/>
      <c r="I756" s="4"/>
      <c r="J756" s="4"/>
      <c r="K756" s="4" t="s">
        <v>304</v>
      </c>
      <c r="L756" s="4"/>
    </row>
    <row r="757" spans="1:12">
      <c r="A757" s="4" t="s">
        <v>1786</v>
      </c>
      <c r="B757" s="4" t="s">
        <v>1787</v>
      </c>
      <c r="C757" s="4" t="s">
        <v>801</v>
      </c>
      <c r="D757" s="4" t="s">
        <v>325</v>
      </c>
      <c r="E757" s="4" t="s">
        <v>326</v>
      </c>
      <c r="F757" s="13">
        <v>0</v>
      </c>
      <c r="G757" s="13">
        <v>1</v>
      </c>
      <c r="H757" s="4"/>
      <c r="I757" s="4"/>
      <c r="J757" s="4"/>
      <c r="K757" s="4" t="s">
        <v>1788</v>
      </c>
      <c r="L757" s="4"/>
    </row>
    <row r="758" spans="1:12">
      <c r="A758" s="4" t="s">
        <v>1789</v>
      </c>
      <c r="B758" s="4" t="s">
        <v>1790</v>
      </c>
      <c r="C758" s="4" t="s">
        <v>801</v>
      </c>
      <c r="D758" s="4" t="s">
        <v>330</v>
      </c>
      <c r="E758" s="4" t="s">
        <v>326</v>
      </c>
      <c r="F758" s="13">
        <v>0</v>
      </c>
      <c r="G758" s="13">
        <v>1</v>
      </c>
      <c r="H758" s="4"/>
      <c r="I758" s="4"/>
      <c r="J758" s="4"/>
      <c r="K758" s="4" t="s">
        <v>1788</v>
      </c>
      <c r="L758" s="4" t="s">
        <v>683</v>
      </c>
    </row>
    <row r="759" spans="1:12">
      <c r="A759" s="4" t="s">
        <v>1791</v>
      </c>
      <c r="B759" s="4" t="s">
        <v>1792</v>
      </c>
      <c r="C759" s="4" t="s">
        <v>801</v>
      </c>
      <c r="D759" s="4" t="s">
        <v>330</v>
      </c>
      <c r="E759" s="4" t="s">
        <v>326</v>
      </c>
      <c r="F759" s="13">
        <v>0</v>
      </c>
      <c r="G759" s="13">
        <v>1</v>
      </c>
      <c r="H759" s="4"/>
      <c r="I759" s="4"/>
      <c r="J759" s="4"/>
      <c r="K759" s="4" t="s">
        <v>1788</v>
      </c>
      <c r="L759" s="4" t="s">
        <v>683</v>
      </c>
    </row>
    <row r="760" spans="1:12">
      <c r="A760" s="4" t="s">
        <v>1788</v>
      </c>
      <c r="B760" s="4" t="s">
        <v>1793</v>
      </c>
      <c r="C760" s="4" t="s">
        <v>801</v>
      </c>
      <c r="D760" s="4" t="s">
        <v>702</v>
      </c>
      <c r="E760" s="4" t="s">
        <v>326</v>
      </c>
      <c r="F760" s="13">
        <v>0</v>
      </c>
      <c r="G760" s="13">
        <v>1</v>
      </c>
      <c r="H760" s="4"/>
      <c r="I760" s="4"/>
      <c r="J760" s="4"/>
      <c r="K760" s="4" t="s">
        <v>304</v>
      </c>
      <c r="L760" s="4"/>
    </row>
    <row r="761" spans="1:12">
      <c r="A761" s="4" t="s">
        <v>1794</v>
      </c>
      <c r="B761" s="4" t="s">
        <v>1795</v>
      </c>
      <c r="C761" s="4" t="s">
        <v>801</v>
      </c>
      <c r="D761" s="4" t="s">
        <v>325</v>
      </c>
      <c r="E761" s="4" t="s">
        <v>326</v>
      </c>
      <c r="F761" s="13">
        <v>0</v>
      </c>
      <c r="G761" s="13">
        <v>1</v>
      </c>
      <c r="H761" s="4"/>
      <c r="I761" s="4"/>
      <c r="J761" s="4"/>
      <c r="K761" s="4" t="s">
        <v>1796</v>
      </c>
      <c r="L761" s="4"/>
    </row>
    <row r="762" spans="1:12">
      <c r="A762" s="4" t="s">
        <v>1797</v>
      </c>
      <c r="B762" s="4" t="s">
        <v>1798</v>
      </c>
      <c r="C762" s="4" t="s">
        <v>801</v>
      </c>
      <c r="D762" s="4" t="s">
        <v>330</v>
      </c>
      <c r="E762" s="4" t="s">
        <v>326</v>
      </c>
      <c r="F762" s="13">
        <v>0</v>
      </c>
      <c r="G762" s="13">
        <v>1</v>
      </c>
      <c r="H762" s="4"/>
      <c r="I762" s="4"/>
      <c r="J762" s="4"/>
      <c r="K762" s="4" t="s">
        <v>1796</v>
      </c>
      <c r="L762" s="4" t="s">
        <v>683</v>
      </c>
    </row>
    <row r="763" spans="1:12">
      <c r="A763" s="4" t="s">
        <v>1799</v>
      </c>
      <c r="B763" s="4" t="s">
        <v>1800</v>
      </c>
      <c r="C763" s="4" t="s">
        <v>801</v>
      </c>
      <c r="D763" s="4" t="s">
        <v>330</v>
      </c>
      <c r="E763" s="4" t="s">
        <v>326</v>
      </c>
      <c r="F763" s="13">
        <v>0</v>
      </c>
      <c r="G763" s="13">
        <v>1</v>
      </c>
      <c r="H763" s="4"/>
      <c r="I763" s="4"/>
      <c r="J763" s="4"/>
      <c r="K763" s="4" t="s">
        <v>1796</v>
      </c>
      <c r="L763" s="4" t="s">
        <v>683</v>
      </c>
    </row>
    <row r="764" spans="1:12">
      <c r="A764" s="4" t="s">
        <v>1796</v>
      </c>
      <c r="B764" s="4" t="s">
        <v>1801</v>
      </c>
      <c r="C764" s="4" t="s">
        <v>801</v>
      </c>
      <c r="D764" s="4" t="s">
        <v>702</v>
      </c>
      <c r="E764" s="4" t="s">
        <v>326</v>
      </c>
      <c r="F764" s="13">
        <v>0</v>
      </c>
      <c r="G764" s="13">
        <v>1</v>
      </c>
      <c r="H764" s="4"/>
      <c r="I764" s="4"/>
      <c r="J764" s="4"/>
      <c r="K764" s="4" t="s">
        <v>304</v>
      </c>
      <c r="L764" s="4"/>
    </row>
    <row r="765" spans="1:12">
      <c r="A765" s="4" t="s">
        <v>1802</v>
      </c>
      <c r="B765" s="4" t="s">
        <v>1803</v>
      </c>
      <c r="C765" s="4" t="s">
        <v>801</v>
      </c>
      <c r="D765" s="4" t="s">
        <v>325</v>
      </c>
      <c r="E765" s="4" t="s">
        <v>326</v>
      </c>
      <c r="F765" s="13">
        <v>0</v>
      </c>
      <c r="G765" s="13">
        <v>1</v>
      </c>
      <c r="H765" s="4"/>
      <c r="I765" s="4"/>
      <c r="J765" s="4"/>
      <c r="K765" s="4" t="s">
        <v>1804</v>
      </c>
      <c r="L765" s="4"/>
    </row>
    <row r="766" spans="1:12">
      <c r="A766" s="4" t="s">
        <v>1805</v>
      </c>
      <c r="B766" s="4" t="s">
        <v>1806</v>
      </c>
      <c r="C766" s="4" t="s">
        <v>801</v>
      </c>
      <c r="D766" s="4" t="s">
        <v>330</v>
      </c>
      <c r="E766" s="4" t="s">
        <v>326</v>
      </c>
      <c r="F766" s="13">
        <v>0</v>
      </c>
      <c r="G766" s="13">
        <v>1</v>
      </c>
      <c r="H766" s="4"/>
      <c r="I766" s="4"/>
      <c r="J766" s="4"/>
      <c r="K766" s="4" t="s">
        <v>1804</v>
      </c>
      <c r="L766" s="4" t="s">
        <v>683</v>
      </c>
    </row>
    <row r="767" spans="1:12">
      <c r="A767" s="4" t="s">
        <v>1807</v>
      </c>
      <c r="B767" s="4" t="s">
        <v>1808</v>
      </c>
      <c r="C767" s="4" t="s">
        <v>801</v>
      </c>
      <c r="D767" s="4" t="s">
        <v>330</v>
      </c>
      <c r="E767" s="4" t="s">
        <v>326</v>
      </c>
      <c r="F767" s="13">
        <v>0</v>
      </c>
      <c r="G767" s="13">
        <v>1</v>
      </c>
      <c r="H767" s="4"/>
      <c r="I767" s="4"/>
      <c r="J767" s="4"/>
      <c r="K767" s="4" t="s">
        <v>1804</v>
      </c>
      <c r="L767" s="4" t="s">
        <v>683</v>
      </c>
    </row>
    <row r="768" spans="1:12">
      <c r="A768" s="4" t="s">
        <v>1804</v>
      </c>
      <c r="B768" s="4" t="s">
        <v>1809</v>
      </c>
      <c r="C768" s="4" t="s">
        <v>801</v>
      </c>
      <c r="D768" s="4" t="s">
        <v>702</v>
      </c>
      <c r="E768" s="4" t="s">
        <v>326</v>
      </c>
      <c r="F768" s="13">
        <v>0</v>
      </c>
      <c r="G768" s="13">
        <v>1</v>
      </c>
      <c r="H768" s="4"/>
      <c r="I768" s="4"/>
      <c r="J768" s="4"/>
      <c r="K768" s="4" t="s">
        <v>304</v>
      </c>
      <c r="L768" s="4"/>
    </row>
    <row r="769" spans="1:12">
      <c r="A769" s="4" t="s">
        <v>1810</v>
      </c>
      <c r="B769" s="4" t="s">
        <v>1811</v>
      </c>
      <c r="C769" s="4" t="s">
        <v>801</v>
      </c>
      <c r="D769" s="4" t="s">
        <v>325</v>
      </c>
      <c r="E769" s="4" t="s">
        <v>326</v>
      </c>
      <c r="F769" s="13">
        <v>0</v>
      </c>
      <c r="G769" s="13">
        <v>1</v>
      </c>
      <c r="H769" s="4"/>
      <c r="I769" s="4"/>
      <c r="J769" s="4"/>
      <c r="K769" s="4" t="s">
        <v>1812</v>
      </c>
      <c r="L769" s="4"/>
    </row>
    <row r="770" spans="1:12">
      <c r="A770" s="4" t="s">
        <v>1813</v>
      </c>
      <c r="B770" s="4" t="s">
        <v>1814</v>
      </c>
      <c r="C770" s="4" t="s">
        <v>801</v>
      </c>
      <c r="D770" s="4" t="s">
        <v>330</v>
      </c>
      <c r="E770" s="4" t="s">
        <v>326</v>
      </c>
      <c r="F770" s="13">
        <v>0</v>
      </c>
      <c r="G770" s="13">
        <v>1</v>
      </c>
      <c r="H770" s="4"/>
      <c r="I770" s="4"/>
      <c r="J770" s="4"/>
      <c r="K770" s="4" t="s">
        <v>1812</v>
      </c>
      <c r="L770" s="4" t="s">
        <v>683</v>
      </c>
    </row>
    <row r="771" spans="1:12">
      <c r="A771" s="4" t="s">
        <v>1815</v>
      </c>
      <c r="B771" s="4" t="s">
        <v>1816</v>
      </c>
      <c r="C771" s="4" t="s">
        <v>801</v>
      </c>
      <c r="D771" s="4" t="s">
        <v>330</v>
      </c>
      <c r="E771" s="4" t="s">
        <v>326</v>
      </c>
      <c r="F771" s="13">
        <v>0</v>
      </c>
      <c r="G771" s="13">
        <v>1</v>
      </c>
      <c r="H771" s="4"/>
      <c r="I771" s="4"/>
      <c r="J771" s="4"/>
      <c r="K771" s="4" t="s">
        <v>1812</v>
      </c>
      <c r="L771" s="4" t="s">
        <v>683</v>
      </c>
    </row>
    <row r="772" spans="1:12">
      <c r="A772" s="4" t="s">
        <v>1812</v>
      </c>
      <c r="B772" s="4" t="s">
        <v>1817</v>
      </c>
      <c r="C772" s="4" t="s">
        <v>801</v>
      </c>
      <c r="D772" s="4" t="s">
        <v>702</v>
      </c>
      <c r="E772" s="4" t="s">
        <v>326</v>
      </c>
      <c r="F772" s="13">
        <v>0</v>
      </c>
      <c r="G772" s="13">
        <v>1</v>
      </c>
      <c r="H772" s="4"/>
      <c r="I772" s="4"/>
      <c r="J772" s="4"/>
      <c r="K772" s="4" t="s">
        <v>304</v>
      </c>
      <c r="L772" s="4"/>
    </row>
    <row r="773" spans="1:12">
      <c r="A773" s="4" t="s">
        <v>1818</v>
      </c>
      <c r="B773" s="4" t="s">
        <v>1819</v>
      </c>
      <c r="C773" s="4" t="s">
        <v>801</v>
      </c>
      <c r="D773" s="4" t="s">
        <v>325</v>
      </c>
      <c r="E773" s="4" t="s">
        <v>326</v>
      </c>
      <c r="F773" s="13">
        <v>0</v>
      </c>
      <c r="G773" s="13">
        <v>1</v>
      </c>
      <c r="H773" s="4"/>
      <c r="I773" s="4"/>
      <c r="J773" s="4"/>
      <c r="K773" s="4" t="s">
        <v>1820</v>
      </c>
      <c r="L773" s="4"/>
    </row>
    <row r="774" spans="1:12">
      <c r="A774" s="4" t="s">
        <v>1821</v>
      </c>
      <c r="B774" s="4" t="s">
        <v>1822</v>
      </c>
      <c r="C774" s="4" t="s">
        <v>801</v>
      </c>
      <c r="D774" s="4" t="s">
        <v>330</v>
      </c>
      <c r="E774" s="4" t="s">
        <v>326</v>
      </c>
      <c r="F774" s="13">
        <v>0</v>
      </c>
      <c r="G774" s="13">
        <v>1</v>
      </c>
      <c r="H774" s="4"/>
      <c r="I774" s="4"/>
      <c r="J774" s="4"/>
      <c r="K774" s="4" t="s">
        <v>1820</v>
      </c>
      <c r="L774" s="4" t="s">
        <v>683</v>
      </c>
    </row>
    <row r="775" spans="1:12">
      <c r="A775" s="4" t="s">
        <v>1823</v>
      </c>
      <c r="B775" s="4" t="s">
        <v>1824</v>
      </c>
      <c r="C775" s="4" t="s">
        <v>801</v>
      </c>
      <c r="D775" s="4" t="s">
        <v>330</v>
      </c>
      <c r="E775" s="4" t="s">
        <v>326</v>
      </c>
      <c r="F775" s="13">
        <v>0</v>
      </c>
      <c r="G775" s="13">
        <v>1</v>
      </c>
      <c r="H775" s="4"/>
      <c r="I775" s="4"/>
      <c r="J775" s="4"/>
      <c r="K775" s="4" t="s">
        <v>1820</v>
      </c>
      <c r="L775" s="4" t="s">
        <v>683</v>
      </c>
    </row>
    <row r="776" spans="1:12">
      <c r="A776" s="4" t="s">
        <v>1820</v>
      </c>
      <c r="B776" s="4" t="s">
        <v>1825</v>
      </c>
      <c r="C776" s="4" t="s">
        <v>801</v>
      </c>
      <c r="D776" s="4" t="s">
        <v>702</v>
      </c>
      <c r="E776" s="4" t="s">
        <v>326</v>
      </c>
      <c r="F776" s="13">
        <v>0</v>
      </c>
      <c r="G776" s="13">
        <v>1</v>
      </c>
      <c r="H776" s="4"/>
      <c r="I776" s="4"/>
      <c r="J776" s="4"/>
      <c r="K776" s="4" t="s">
        <v>304</v>
      </c>
      <c r="L776" s="4"/>
    </row>
    <row r="777" spans="1:12">
      <c r="A777" s="4" t="s">
        <v>1826</v>
      </c>
      <c r="B777" s="4" t="s">
        <v>1827</v>
      </c>
      <c r="C777" s="4" t="s">
        <v>801</v>
      </c>
      <c r="D777" s="4" t="s">
        <v>325</v>
      </c>
      <c r="E777" s="4" t="s">
        <v>326</v>
      </c>
      <c r="F777" s="13">
        <v>0</v>
      </c>
      <c r="G777" s="13">
        <v>1</v>
      </c>
      <c r="H777" s="4"/>
      <c r="I777" s="4"/>
      <c r="J777" s="4"/>
      <c r="K777" s="4"/>
      <c r="L777" s="4"/>
    </row>
    <row r="778" spans="1:12">
      <c r="A778" s="4" t="s">
        <v>1828</v>
      </c>
      <c r="B778" s="4" t="s">
        <v>1829</v>
      </c>
      <c r="C778" s="4" t="s">
        <v>801</v>
      </c>
      <c r="D778" s="4" t="s">
        <v>330</v>
      </c>
      <c r="E778" s="4" t="s">
        <v>326</v>
      </c>
      <c r="F778" s="13">
        <v>0</v>
      </c>
      <c r="G778" s="13">
        <v>1</v>
      </c>
      <c r="H778" s="4"/>
      <c r="I778" s="4"/>
      <c r="J778" s="4"/>
      <c r="K778" s="4" t="s">
        <v>1830</v>
      </c>
      <c r="L778" s="4" t="s">
        <v>683</v>
      </c>
    </row>
    <row r="779" spans="1:12">
      <c r="A779" s="4" t="s">
        <v>1831</v>
      </c>
      <c r="B779" s="4" t="s">
        <v>1832</v>
      </c>
      <c r="C779" s="4" t="s">
        <v>801</v>
      </c>
      <c r="D779" s="4" t="s">
        <v>330</v>
      </c>
      <c r="E779" s="4" t="s">
        <v>326</v>
      </c>
      <c r="F779" s="13">
        <v>0</v>
      </c>
      <c r="G779" s="13">
        <v>1</v>
      </c>
      <c r="H779" s="4"/>
      <c r="I779" s="4"/>
      <c r="J779" s="4"/>
      <c r="K779" s="4" t="s">
        <v>1830</v>
      </c>
      <c r="L779" s="4" t="s">
        <v>683</v>
      </c>
    </row>
    <row r="780" spans="1:12">
      <c r="A780" s="4" t="s">
        <v>1830</v>
      </c>
      <c r="B780" s="4" t="s">
        <v>1833</v>
      </c>
      <c r="C780" s="4" t="s">
        <v>801</v>
      </c>
      <c r="D780" s="4" t="s">
        <v>702</v>
      </c>
      <c r="E780" s="4" t="s">
        <v>326</v>
      </c>
      <c r="F780" s="13">
        <v>0</v>
      </c>
      <c r="G780" s="13">
        <v>1</v>
      </c>
      <c r="H780" s="4"/>
      <c r="I780" s="4"/>
      <c r="J780" s="4"/>
      <c r="K780" s="4" t="s">
        <v>304</v>
      </c>
      <c r="L780" s="4"/>
    </row>
    <row r="781" spans="1:12">
      <c r="A781" s="4" t="s">
        <v>1834</v>
      </c>
      <c r="B781" s="4" t="s">
        <v>1835</v>
      </c>
      <c r="C781" s="4" t="s">
        <v>801</v>
      </c>
      <c r="D781" s="4" t="s">
        <v>325</v>
      </c>
      <c r="E781" s="4" t="s">
        <v>326</v>
      </c>
      <c r="F781" s="13">
        <v>0</v>
      </c>
      <c r="G781" s="13">
        <v>1</v>
      </c>
      <c r="H781" s="4"/>
      <c r="I781" s="4"/>
      <c r="J781" s="4"/>
      <c r="K781" s="4" t="s">
        <v>1836</v>
      </c>
      <c r="L781" s="4"/>
    </row>
    <row r="782" spans="1:12">
      <c r="A782" s="4" t="s">
        <v>1837</v>
      </c>
      <c r="B782" s="4" t="s">
        <v>1838</v>
      </c>
      <c r="C782" s="4" t="s">
        <v>801</v>
      </c>
      <c r="D782" s="4" t="s">
        <v>330</v>
      </c>
      <c r="E782" s="4" t="s">
        <v>326</v>
      </c>
      <c r="F782" s="13">
        <v>0</v>
      </c>
      <c r="G782" s="13">
        <v>1</v>
      </c>
      <c r="H782" s="4"/>
      <c r="I782" s="4"/>
      <c r="J782" s="4"/>
      <c r="K782" s="4" t="s">
        <v>1836</v>
      </c>
      <c r="L782" s="4" t="s">
        <v>683</v>
      </c>
    </row>
    <row r="783" spans="1:12">
      <c r="A783" s="4" t="s">
        <v>1839</v>
      </c>
      <c r="B783" s="4" t="s">
        <v>1840</v>
      </c>
      <c r="C783" s="4" t="s">
        <v>801</v>
      </c>
      <c r="D783" s="4" t="s">
        <v>330</v>
      </c>
      <c r="E783" s="4" t="s">
        <v>326</v>
      </c>
      <c r="F783" s="13">
        <v>0</v>
      </c>
      <c r="G783" s="13">
        <v>1</v>
      </c>
      <c r="H783" s="4"/>
      <c r="I783" s="4"/>
      <c r="J783" s="4"/>
      <c r="K783" s="4" t="s">
        <v>1836</v>
      </c>
      <c r="L783" s="4" t="s">
        <v>683</v>
      </c>
    </row>
    <row r="784" spans="1:12">
      <c r="A784" s="4" t="s">
        <v>1836</v>
      </c>
      <c r="B784" s="4" t="s">
        <v>1841</v>
      </c>
      <c r="C784" s="4" t="s">
        <v>801</v>
      </c>
      <c r="D784" s="4" t="s">
        <v>702</v>
      </c>
      <c r="E784" s="4" t="s">
        <v>326</v>
      </c>
      <c r="F784" s="13">
        <v>0</v>
      </c>
      <c r="G784" s="13">
        <v>1</v>
      </c>
      <c r="H784" s="4"/>
      <c r="I784" s="4"/>
      <c r="J784" s="4"/>
      <c r="K784" s="4" t="s">
        <v>304</v>
      </c>
      <c r="L784" s="4"/>
    </row>
    <row r="785" spans="1:12">
      <c r="A785" s="4" t="s">
        <v>1842</v>
      </c>
      <c r="B785" s="4" t="s">
        <v>1843</v>
      </c>
      <c r="C785" s="4" t="s">
        <v>801</v>
      </c>
      <c r="D785" s="4" t="s">
        <v>325</v>
      </c>
      <c r="E785" s="4" t="s">
        <v>326</v>
      </c>
      <c r="F785" s="13">
        <v>0</v>
      </c>
      <c r="G785" s="13">
        <v>1</v>
      </c>
      <c r="H785" s="4"/>
      <c r="I785" s="4"/>
      <c r="J785" s="4"/>
      <c r="K785" s="4"/>
      <c r="L785" s="4"/>
    </row>
    <row r="786" spans="1:12">
      <c r="A786" s="4" t="s">
        <v>1844</v>
      </c>
      <c r="B786" s="4" t="s">
        <v>1327</v>
      </c>
      <c r="C786" s="4" t="s">
        <v>801</v>
      </c>
      <c r="D786" s="4" t="s">
        <v>330</v>
      </c>
      <c r="E786" s="4" t="s">
        <v>326</v>
      </c>
      <c r="F786" s="13">
        <v>0</v>
      </c>
      <c r="G786" s="13">
        <v>1</v>
      </c>
      <c r="H786" s="4"/>
      <c r="I786" s="4"/>
      <c r="J786" s="4"/>
      <c r="K786" s="4" t="s">
        <v>1845</v>
      </c>
      <c r="L786" s="4" t="s">
        <v>683</v>
      </c>
    </row>
    <row r="787" spans="1:12">
      <c r="A787" s="4" t="s">
        <v>1846</v>
      </c>
      <c r="B787" s="4" t="s">
        <v>1847</v>
      </c>
      <c r="C787" s="4" t="s">
        <v>801</v>
      </c>
      <c r="D787" s="4" t="s">
        <v>330</v>
      </c>
      <c r="E787" s="4" t="s">
        <v>326</v>
      </c>
      <c r="F787" s="13">
        <v>0</v>
      </c>
      <c r="G787" s="13">
        <v>1</v>
      </c>
      <c r="H787" s="4"/>
      <c r="I787" s="4"/>
      <c r="J787" s="4"/>
      <c r="K787" s="4" t="s">
        <v>1845</v>
      </c>
      <c r="L787" s="4" t="s">
        <v>683</v>
      </c>
    </row>
    <row r="788" spans="1:12">
      <c r="A788" s="4" t="s">
        <v>1845</v>
      </c>
      <c r="B788" s="4" t="s">
        <v>1329</v>
      </c>
      <c r="C788" s="4" t="s">
        <v>801</v>
      </c>
      <c r="D788" s="4" t="s">
        <v>702</v>
      </c>
      <c r="E788" s="4" t="s">
        <v>326</v>
      </c>
      <c r="F788" s="13">
        <v>0</v>
      </c>
      <c r="G788" s="13">
        <v>1</v>
      </c>
      <c r="H788" s="4"/>
      <c r="I788" s="4"/>
      <c r="J788" s="4"/>
      <c r="K788" s="4" t="s">
        <v>304</v>
      </c>
      <c r="L788" s="4"/>
    </row>
    <row r="789" spans="1:12">
      <c r="A789" s="4" t="s">
        <v>1848</v>
      </c>
      <c r="B789" s="4" t="s">
        <v>1849</v>
      </c>
      <c r="C789" s="4" t="s">
        <v>801</v>
      </c>
      <c r="D789" s="4" t="s">
        <v>325</v>
      </c>
      <c r="E789" s="4" t="s">
        <v>326</v>
      </c>
      <c r="F789" s="13">
        <v>0</v>
      </c>
      <c r="G789" s="13">
        <v>1</v>
      </c>
      <c r="H789" s="4"/>
      <c r="I789" s="4"/>
      <c r="J789" s="4"/>
      <c r="K789" s="4" t="s">
        <v>1850</v>
      </c>
      <c r="L789" s="4"/>
    </row>
    <row r="790" spans="1:12">
      <c r="A790" s="4" t="s">
        <v>1851</v>
      </c>
      <c r="B790" s="4" t="s">
        <v>1852</v>
      </c>
      <c r="C790" s="4" t="s">
        <v>801</v>
      </c>
      <c r="D790" s="4" t="s">
        <v>330</v>
      </c>
      <c r="E790" s="4" t="s">
        <v>326</v>
      </c>
      <c r="F790" s="13">
        <v>0</v>
      </c>
      <c r="G790" s="13">
        <v>1</v>
      </c>
      <c r="H790" s="4"/>
      <c r="I790" s="4"/>
      <c r="J790" s="4"/>
      <c r="K790" s="4" t="s">
        <v>1850</v>
      </c>
      <c r="L790" s="4" t="s">
        <v>683</v>
      </c>
    </row>
    <row r="791" spans="1:12">
      <c r="A791" s="4" t="s">
        <v>1853</v>
      </c>
      <c r="B791" s="4" t="s">
        <v>1854</v>
      </c>
      <c r="C791" s="4" t="s">
        <v>801</v>
      </c>
      <c r="D791" s="4" t="s">
        <v>330</v>
      </c>
      <c r="E791" s="4" t="s">
        <v>326</v>
      </c>
      <c r="F791" s="13">
        <v>0</v>
      </c>
      <c r="G791" s="13">
        <v>1</v>
      </c>
      <c r="H791" s="4"/>
      <c r="I791" s="4"/>
      <c r="J791" s="4"/>
      <c r="K791" s="4" t="s">
        <v>1850</v>
      </c>
      <c r="L791" s="4" t="s">
        <v>683</v>
      </c>
    </row>
    <row r="792" spans="1:12">
      <c r="A792" s="4" t="s">
        <v>1850</v>
      </c>
      <c r="B792" s="4" t="s">
        <v>1855</v>
      </c>
      <c r="C792" s="4" t="s">
        <v>801</v>
      </c>
      <c r="D792" s="4" t="s">
        <v>702</v>
      </c>
      <c r="E792" s="4" t="s">
        <v>326</v>
      </c>
      <c r="F792" s="13">
        <v>0</v>
      </c>
      <c r="G792" s="13">
        <v>1</v>
      </c>
      <c r="H792" s="4"/>
      <c r="I792" s="4"/>
      <c r="J792" s="4"/>
      <c r="K792" s="4" t="s">
        <v>304</v>
      </c>
      <c r="L792" s="4"/>
    </row>
    <row r="793" spans="1:12">
      <c r="A793" s="4" t="s">
        <v>1856</v>
      </c>
      <c r="B793" s="4" t="s">
        <v>1857</v>
      </c>
      <c r="C793" s="4" t="s">
        <v>801</v>
      </c>
      <c r="D793" s="4" t="s">
        <v>325</v>
      </c>
      <c r="E793" s="4" t="s">
        <v>326</v>
      </c>
      <c r="F793" s="13">
        <v>0</v>
      </c>
      <c r="G793" s="13">
        <v>2</v>
      </c>
      <c r="H793" s="4"/>
      <c r="I793" s="4"/>
      <c r="J793" s="4"/>
      <c r="K793" s="4" t="s">
        <v>1858</v>
      </c>
      <c r="L793" s="4"/>
    </row>
    <row r="794" spans="1:12">
      <c r="A794" s="4" t="s">
        <v>1859</v>
      </c>
      <c r="B794" s="4" t="s">
        <v>1860</v>
      </c>
      <c r="C794" s="4" t="s">
        <v>801</v>
      </c>
      <c r="D794" s="4" t="s">
        <v>330</v>
      </c>
      <c r="E794" s="4" t="s">
        <v>326</v>
      </c>
      <c r="F794" s="13">
        <v>1</v>
      </c>
      <c r="G794" s="13">
        <v>1</v>
      </c>
      <c r="H794" s="4"/>
      <c r="I794" s="4"/>
      <c r="J794" s="4"/>
      <c r="K794" s="4" t="s">
        <v>1858</v>
      </c>
      <c r="L794" s="4" t="s">
        <v>683</v>
      </c>
    </row>
    <row r="795" spans="1:12">
      <c r="A795" s="4" t="s">
        <v>1861</v>
      </c>
      <c r="B795" s="4" t="s">
        <v>1862</v>
      </c>
      <c r="C795" s="4" t="s">
        <v>801</v>
      </c>
      <c r="D795" s="4" t="s">
        <v>330</v>
      </c>
      <c r="E795" s="4" t="s">
        <v>326</v>
      </c>
      <c r="F795" s="13">
        <v>1</v>
      </c>
      <c r="G795" s="13">
        <v>1</v>
      </c>
      <c r="H795" s="4"/>
      <c r="I795" s="4"/>
      <c r="J795" s="4"/>
      <c r="K795" s="4" t="s">
        <v>1858</v>
      </c>
      <c r="L795" s="4" t="s">
        <v>683</v>
      </c>
    </row>
    <row r="796" spans="1:12">
      <c r="A796" s="4" t="s">
        <v>1858</v>
      </c>
      <c r="B796" s="4" t="s">
        <v>1863</v>
      </c>
      <c r="C796" s="4" t="s">
        <v>801</v>
      </c>
      <c r="D796" s="4" t="s">
        <v>702</v>
      </c>
      <c r="E796" s="4" t="s">
        <v>326</v>
      </c>
      <c r="F796" s="13">
        <v>0</v>
      </c>
      <c r="G796" s="13">
        <v>1</v>
      </c>
      <c r="H796" s="4"/>
      <c r="I796" s="4"/>
      <c r="J796" s="4"/>
      <c r="K796" s="4" t="s">
        <v>304</v>
      </c>
      <c r="L796" s="4"/>
    </row>
    <row r="797" spans="1:12">
      <c r="A797" s="4" t="s">
        <v>1864</v>
      </c>
      <c r="B797" s="4" t="s">
        <v>1865</v>
      </c>
      <c r="C797" s="4" t="s">
        <v>801</v>
      </c>
      <c r="D797" s="4" t="s">
        <v>325</v>
      </c>
      <c r="E797" s="4" t="s">
        <v>326</v>
      </c>
      <c r="F797" s="13">
        <v>0</v>
      </c>
      <c r="G797" s="13">
        <v>1</v>
      </c>
      <c r="H797" s="4"/>
      <c r="I797" s="4"/>
      <c r="J797" s="4"/>
      <c r="K797" s="4" t="s">
        <v>1866</v>
      </c>
      <c r="L797" s="4"/>
    </row>
    <row r="798" spans="1:12">
      <c r="A798" s="4" t="s">
        <v>1867</v>
      </c>
      <c r="B798" s="4" t="s">
        <v>1868</v>
      </c>
      <c r="C798" s="4" t="s">
        <v>801</v>
      </c>
      <c r="D798" s="4" t="s">
        <v>330</v>
      </c>
      <c r="E798" s="4" t="s">
        <v>326</v>
      </c>
      <c r="F798" s="13">
        <v>0</v>
      </c>
      <c r="G798" s="13">
        <v>1</v>
      </c>
      <c r="H798" s="4"/>
      <c r="I798" s="4"/>
      <c r="J798" s="4"/>
      <c r="K798" s="4" t="s">
        <v>1866</v>
      </c>
      <c r="L798" s="4" t="s">
        <v>683</v>
      </c>
    </row>
    <row r="799" spans="1:12">
      <c r="A799" s="4" t="s">
        <v>1869</v>
      </c>
      <c r="B799" s="4" t="s">
        <v>1870</v>
      </c>
      <c r="C799" s="4" t="s">
        <v>801</v>
      </c>
      <c r="D799" s="4" t="s">
        <v>330</v>
      </c>
      <c r="E799" s="4" t="s">
        <v>326</v>
      </c>
      <c r="F799" s="13">
        <v>0</v>
      </c>
      <c r="G799" s="13">
        <v>1</v>
      </c>
      <c r="H799" s="4"/>
      <c r="I799" s="4"/>
      <c r="J799" s="4"/>
      <c r="K799" s="4" t="s">
        <v>1866</v>
      </c>
      <c r="L799" s="4" t="s">
        <v>683</v>
      </c>
    </row>
    <row r="800" spans="1:12">
      <c r="A800" s="4" t="s">
        <v>1866</v>
      </c>
      <c r="B800" s="4" t="s">
        <v>1871</v>
      </c>
      <c r="C800" s="4" t="s">
        <v>801</v>
      </c>
      <c r="D800" s="4" t="s">
        <v>702</v>
      </c>
      <c r="E800" s="4" t="s">
        <v>326</v>
      </c>
      <c r="F800" s="13">
        <v>0</v>
      </c>
      <c r="G800" s="13">
        <v>1</v>
      </c>
      <c r="H800" s="4"/>
      <c r="I800" s="4"/>
      <c r="J800" s="4"/>
      <c r="K800" s="4" t="s">
        <v>304</v>
      </c>
      <c r="L800" s="4"/>
    </row>
    <row r="801" spans="1:12">
      <c r="A801" s="4" t="s">
        <v>1872</v>
      </c>
      <c r="B801" s="4" t="s">
        <v>1873</v>
      </c>
      <c r="C801" s="4" t="s">
        <v>801</v>
      </c>
      <c r="D801" s="4" t="s">
        <v>325</v>
      </c>
      <c r="E801" s="4" t="s">
        <v>326</v>
      </c>
      <c r="F801" s="13">
        <v>0</v>
      </c>
      <c r="G801" s="13">
        <v>1</v>
      </c>
      <c r="H801" s="4"/>
      <c r="I801" s="4"/>
      <c r="J801" s="4"/>
      <c r="K801" s="4" t="s">
        <v>1874</v>
      </c>
      <c r="L801" s="4"/>
    </row>
    <row r="802" spans="1:12">
      <c r="A802" s="4" t="s">
        <v>1875</v>
      </c>
      <c r="B802" s="4" t="s">
        <v>1876</v>
      </c>
      <c r="C802" s="4" t="s">
        <v>801</v>
      </c>
      <c r="D802" s="4" t="s">
        <v>330</v>
      </c>
      <c r="E802" s="4" t="s">
        <v>326</v>
      </c>
      <c r="F802" s="13">
        <v>0</v>
      </c>
      <c r="G802" s="13">
        <v>1</v>
      </c>
      <c r="H802" s="4"/>
      <c r="I802" s="4"/>
      <c r="J802" s="4"/>
      <c r="K802" s="4" t="s">
        <v>1874</v>
      </c>
      <c r="L802" s="4" t="s">
        <v>683</v>
      </c>
    </row>
    <row r="803" spans="1:12">
      <c r="A803" s="4" t="s">
        <v>1877</v>
      </c>
      <c r="B803" s="4" t="s">
        <v>1878</v>
      </c>
      <c r="C803" s="4" t="s">
        <v>801</v>
      </c>
      <c r="D803" s="4" t="s">
        <v>330</v>
      </c>
      <c r="E803" s="4" t="s">
        <v>326</v>
      </c>
      <c r="F803" s="13">
        <v>0</v>
      </c>
      <c r="G803" s="13">
        <v>1</v>
      </c>
      <c r="H803" s="4"/>
      <c r="I803" s="4"/>
      <c r="J803" s="4"/>
      <c r="K803" s="4" t="s">
        <v>1874</v>
      </c>
      <c r="L803" s="4" t="s">
        <v>683</v>
      </c>
    </row>
    <row r="804" spans="1:12">
      <c r="A804" s="4" t="s">
        <v>1874</v>
      </c>
      <c r="B804" s="4" t="s">
        <v>1879</v>
      </c>
      <c r="C804" s="4" t="s">
        <v>801</v>
      </c>
      <c r="D804" s="4" t="s">
        <v>702</v>
      </c>
      <c r="E804" s="4" t="s">
        <v>326</v>
      </c>
      <c r="F804" s="13">
        <v>0</v>
      </c>
      <c r="G804" s="13">
        <v>1</v>
      </c>
      <c r="H804" s="4"/>
      <c r="I804" s="4"/>
      <c r="J804" s="4"/>
      <c r="K804" s="4" t="s">
        <v>304</v>
      </c>
      <c r="L804" s="4"/>
    </row>
    <row r="805" spans="1:12">
      <c r="A805" s="4" t="s">
        <v>1880</v>
      </c>
      <c r="B805" s="4" t="s">
        <v>1881</v>
      </c>
      <c r="C805" s="4" t="s">
        <v>801</v>
      </c>
      <c r="D805" s="4" t="s">
        <v>325</v>
      </c>
      <c r="E805" s="4" t="s">
        <v>326</v>
      </c>
      <c r="F805" s="13">
        <v>0</v>
      </c>
      <c r="G805" s="13">
        <v>2</v>
      </c>
      <c r="H805" s="4"/>
      <c r="I805" s="4"/>
      <c r="J805" s="4"/>
      <c r="K805" s="4" t="s">
        <v>1882</v>
      </c>
      <c r="L805" s="4"/>
    </row>
    <row r="806" spans="1:12">
      <c r="A806" s="4" t="s">
        <v>1883</v>
      </c>
      <c r="B806" s="4" t="s">
        <v>1884</v>
      </c>
      <c r="C806" s="4" t="s">
        <v>801</v>
      </c>
      <c r="D806" s="4" t="s">
        <v>330</v>
      </c>
      <c r="E806" s="4" t="s">
        <v>326</v>
      </c>
      <c r="F806" s="13">
        <v>1</v>
      </c>
      <c r="G806" s="13">
        <v>1</v>
      </c>
      <c r="H806" s="4"/>
      <c r="I806" s="4"/>
      <c r="J806" s="4"/>
      <c r="K806" s="4" t="s">
        <v>1882</v>
      </c>
      <c r="L806" s="4" t="s">
        <v>683</v>
      </c>
    </row>
    <row r="807" spans="1:12">
      <c r="A807" s="4" t="s">
        <v>1885</v>
      </c>
      <c r="B807" s="4" t="s">
        <v>1886</v>
      </c>
      <c r="C807" s="4" t="s">
        <v>801</v>
      </c>
      <c r="D807" s="4" t="s">
        <v>330</v>
      </c>
      <c r="E807" s="4" t="s">
        <v>326</v>
      </c>
      <c r="F807" s="13">
        <v>1</v>
      </c>
      <c r="G807" s="13">
        <v>1</v>
      </c>
      <c r="H807" s="4"/>
      <c r="I807" s="4"/>
      <c r="J807" s="4"/>
      <c r="K807" s="4" t="s">
        <v>1882</v>
      </c>
      <c r="L807" s="4" t="s">
        <v>683</v>
      </c>
    </row>
    <row r="808" spans="1:12">
      <c r="A808" s="4" t="s">
        <v>1882</v>
      </c>
      <c r="B808" s="4" t="s">
        <v>1887</v>
      </c>
      <c r="C808" s="4" t="s">
        <v>801</v>
      </c>
      <c r="D808" s="4" t="s">
        <v>702</v>
      </c>
      <c r="E808" s="4" t="s">
        <v>326</v>
      </c>
      <c r="F808" s="13">
        <v>0</v>
      </c>
      <c r="G808" s="13">
        <v>1</v>
      </c>
      <c r="H808" s="4"/>
      <c r="I808" s="4"/>
      <c r="J808" s="4"/>
      <c r="K808" s="4" t="s">
        <v>304</v>
      </c>
      <c r="L808" s="4"/>
    </row>
    <row r="809" spans="1:12">
      <c r="A809" s="4" t="s">
        <v>1888</v>
      </c>
      <c r="B809" s="4" t="s">
        <v>1889</v>
      </c>
      <c r="C809" s="4" t="s">
        <v>801</v>
      </c>
      <c r="D809" s="4" t="s">
        <v>330</v>
      </c>
      <c r="E809" s="4" t="s">
        <v>326</v>
      </c>
      <c r="F809" s="13">
        <v>1</v>
      </c>
      <c r="G809" s="13">
        <v>2</v>
      </c>
      <c r="H809" s="4"/>
      <c r="I809" s="4"/>
      <c r="J809" s="4"/>
      <c r="K809" s="4" t="s">
        <v>1890</v>
      </c>
      <c r="L809" s="4" t="s">
        <v>683</v>
      </c>
    </row>
    <row r="810" spans="1:12">
      <c r="A810" s="4" t="s">
        <v>1891</v>
      </c>
      <c r="B810" s="4" t="s">
        <v>1892</v>
      </c>
      <c r="C810" s="4" t="s">
        <v>801</v>
      </c>
      <c r="D810" s="4" t="s">
        <v>330</v>
      </c>
      <c r="E810" s="4" t="s">
        <v>326</v>
      </c>
      <c r="F810" s="13">
        <v>1</v>
      </c>
      <c r="G810" s="13">
        <v>1</v>
      </c>
      <c r="H810" s="4"/>
      <c r="I810" s="4"/>
      <c r="J810" s="4"/>
      <c r="K810" s="4" t="s">
        <v>1890</v>
      </c>
      <c r="L810" s="4" t="s">
        <v>683</v>
      </c>
    </row>
    <row r="811" spans="1:12">
      <c r="A811" s="4" t="s">
        <v>1890</v>
      </c>
      <c r="B811" s="4" t="s">
        <v>1893</v>
      </c>
      <c r="C811" s="4" t="s">
        <v>801</v>
      </c>
      <c r="D811" s="4" t="s">
        <v>702</v>
      </c>
      <c r="E811" s="4" t="s">
        <v>326</v>
      </c>
      <c r="F811" s="13">
        <v>0</v>
      </c>
      <c r="G811" s="13">
        <v>1</v>
      </c>
      <c r="H811" s="4"/>
      <c r="I811" s="4"/>
      <c r="J811" s="4"/>
      <c r="K811" s="4" t="s">
        <v>304</v>
      </c>
      <c r="L811" s="4"/>
    </row>
    <row r="812" spans="1:12">
      <c r="A812" s="4" t="s">
        <v>1894</v>
      </c>
      <c r="B812" s="4" t="s">
        <v>1895</v>
      </c>
      <c r="C812" s="4" t="s">
        <v>801</v>
      </c>
      <c r="D812" s="4" t="s">
        <v>330</v>
      </c>
      <c r="E812" s="4" t="s">
        <v>326</v>
      </c>
      <c r="F812" s="13">
        <v>1</v>
      </c>
      <c r="G812" s="13">
        <v>2</v>
      </c>
      <c r="H812" s="4"/>
      <c r="I812" s="4"/>
      <c r="J812" s="4"/>
      <c r="K812" s="4" t="s">
        <v>1896</v>
      </c>
      <c r="L812" s="4" t="s">
        <v>683</v>
      </c>
    </row>
    <row r="813" spans="1:12">
      <c r="A813" s="4" t="s">
        <v>1897</v>
      </c>
      <c r="B813" s="4" t="s">
        <v>1898</v>
      </c>
      <c r="C813" s="4" t="s">
        <v>801</v>
      </c>
      <c r="D813" s="4" t="s">
        <v>330</v>
      </c>
      <c r="E813" s="4" t="s">
        <v>326</v>
      </c>
      <c r="F813" s="13">
        <v>1</v>
      </c>
      <c r="G813" s="13">
        <v>1</v>
      </c>
      <c r="H813" s="4"/>
      <c r="I813" s="4"/>
      <c r="J813" s="4"/>
      <c r="K813" s="4" t="s">
        <v>1896</v>
      </c>
      <c r="L813" s="4" t="s">
        <v>683</v>
      </c>
    </row>
    <row r="814" spans="1:12">
      <c r="A814" s="4" t="s">
        <v>1896</v>
      </c>
      <c r="B814" s="4" t="s">
        <v>1899</v>
      </c>
      <c r="C814" s="4" t="s">
        <v>801</v>
      </c>
      <c r="D814" s="4" t="s">
        <v>702</v>
      </c>
      <c r="E814" s="4" t="s">
        <v>326</v>
      </c>
      <c r="F814" s="13">
        <v>0</v>
      </c>
      <c r="G814" s="13">
        <v>1</v>
      </c>
      <c r="H814" s="4"/>
      <c r="I814" s="4"/>
      <c r="J814" s="4"/>
      <c r="K814" s="4" t="s">
        <v>304</v>
      </c>
      <c r="L814" s="4"/>
    </row>
    <row r="815" spans="1:12">
      <c r="A815" s="4" t="s">
        <v>1900</v>
      </c>
      <c r="B815" s="4" t="s">
        <v>1901</v>
      </c>
      <c r="C815" s="4" t="s">
        <v>801</v>
      </c>
      <c r="D815" s="4" t="s">
        <v>330</v>
      </c>
      <c r="E815" s="4" t="s">
        <v>326</v>
      </c>
      <c r="F815" s="13">
        <v>1</v>
      </c>
      <c r="G815" s="13">
        <v>2</v>
      </c>
      <c r="H815" s="4"/>
      <c r="I815" s="4"/>
      <c r="J815" s="4"/>
      <c r="K815" s="4" t="s">
        <v>1902</v>
      </c>
      <c r="L815" s="4" t="s">
        <v>683</v>
      </c>
    </row>
    <row r="816" spans="1:12">
      <c r="A816" s="4" t="s">
        <v>1903</v>
      </c>
      <c r="B816" s="4" t="s">
        <v>1904</v>
      </c>
      <c r="C816" s="4" t="s">
        <v>801</v>
      </c>
      <c r="D816" s="4" t="s">
        <v>330</v>
      </c>
      <c r="E816" s="4" t="s">
        <v>326</v>
      </c>
      <c r="F816" s="13">
        <v>1</v>
      </c>
      <c r="G816" s="13">
        <v>1</v>
      </c>
      <c r="H816" s="4"/>
      <c r="I816" s="4"/>
      <c r="J816" s="4"/>
      <c r="K816" s="4" t="s">
        <v>1902</v>
      </c>
      <c r="L816" s="4" t="s">
        <v>683</v>
      </c>
    </row>
    <row r="817" spans="1:12">
      <c r="A817" s="4" t="s">
        <v>1902</v>
      </c>
      <c r="B817" s="4" t="s">
        <v>1905</v>
      </c>
      <c r="C817" s="4" t="s">
        <v>801</v>
      </c>
      <c r="D817" s="4" t="s">
        <v>702</v>
      </c>
      <c r="E817" s="4" t="s">
        <v>326</v>
      </c>
      <c r="F817" s="13">
        <v>0</v>
      </c>
      <c r="G817" s="13">
        <v>1</v>
      </c>
      <c r="H817" s="4"/>
      <c r="I817" s="4"/>
      <c r="J817" s="4"/>
      <c r="K817" s="4" t="s">
        <v>304</v>
      </c>
      <c r="L817" s="4"/>
    </row>
    <row r="818" spans="1:12">
      <c r="A818" s="4" t="s">
        <v>1906</v>
      </c>
      <c r="B818" s="4" t="s">
        <v>1907</v>
      </c>
      <c r="C818" s="4" t="s">
        <v>801</v>
      </c>
      <c r="D818" s="4" t="s">
        <v>330</v>
      </c>
      <c r="E818" s="4" t="s">
        <v>326</v>
      </c>
      <c r="F818" s="13">
        <v>1</v>
      </c>
      <c r="G818" s="13">
        <v>2</v>
      </c>
      <c r="H818" s="4"/>
      <c r="I818" s="4"/>
      <c r="J818" s="4"/>
      <c r="K818" s="4" t="s">
        <v>1908</v>
      </c>
      <c r="L818" s="4" t="s">
        <v>683</v>
      </c>
    </row>
    <row r="819" spans="1:12">
      <c r="A819" s="4" t="s">
        <v>1909</v>
      </c>
      <c r="B819" s="4" t="s">
        <v>1910</v>
      </c>
      <c r="C819" s="4" t="s">
        <v>801</v>
      </c>
      <c r="D819" s="4" t="s">
        <v>330</v>
      </c>
      <c r="E819" s="4" t="s">
        <v>326</v>
      </c>
      <c r="F819" s="13">
        <v>1</v>
      </c>
      <c r="G819" s="13">
        <v>1</v>
      </c>
      <c r="H819" s="4"/>
      <c r="I819" s="4"/>
      <c r="J819" s="4"/>
      <c r="K819" s="4" t="s">
        <v>1908</v>
      </c>
      <c r="L819" s="4" t="s">
        <v>683</v>
      </c>
    </row>
    <row r="820" spans="1:12">
      <c r="A820" s="4" t="s">
        <v>1908</v>
      </c>
      <c r="B820" s="4" t="s">
        <v>1911</v>
      </c>
      <c r="C820" s="4" t="s">
        <v>801</v>
      </c>
      <c r="D820" s="4" t="s">
        <v>702</v>
      </c>
      <c r="E820" s="4" t="s">
        <v>326</v>
      </c>
      <c r="F820" s="13">
        <v>0</v>
      </c>
      <c r="G820" s="13">
        <v>1</v>
      </c>
      <c r="H820" s="4"/>
      <c r="I820" s="4"/>
      <c r="J820" s="4"/>
      <c r="K820" s="4" t="s">
        <v>304</v>
      </c>
      <c r="L820" s="4"/>
    </row>
    <row r="821" spans="1:12">
      <c r="A821" s="4" t="s">
        <v>1912</v>
      </c>
      <c r="B821" s="4" t="s">
        <v>1913</v>
      </c>
      <c r="C821" s="4" t="s">
        <v>801</v>
      </c>
      <c r="D821" s="4" t="s">
        <v>330</v>
      </c>
      <c r="E821" s="4" t="s">
        <v>326</v>
      </c>
      <c r="F821" s="13">
        <v>1</v>
      </c>
      <c r="G821" s="13">
        <v>2</v>
      </c>
      <c r="H821" s="4"/>
      <c r="I821" s="4"/>
      <c r="J821" s="4"/>
      <c r="K821" s="4" t="s">
        <v>1914</v>
      </c>
      <c r="L821" s="4" t="s">
        <v>683</v>
      </c>
    </row>
    <row r="822" spans="1:12">
      <c r="A822" s="4" t="s">
        <v>1915</v>
      </c>
      <c r="B822" s="4" t="s">
        <v>1916</v>
      </c>
      <c r="C822" s="4" t="s">
        <v>801</v>
      </c>
      <c r="D822" s="4" t="s">
        <v>330</v>
      </c>
      <c r="E822" s="4" t="s">
        <v>326</v>
      </c>
      <c r="F822" s="13">
        <v>1</v>
      </c>
      <c r="G822" s="13">
        <v>1</v>
      </c>
      <c r="H822" s="4"/>
      <c r="I822" s="4"/>
      <c r="J822" s="4"/>
      <c r="K822" s="4" t="s">
        <v>1914</v>
      </c>
      <c r="L822" s="4" t="s">
        <v>683</v>
      </c>
    </row>
    <row r="823" spans="1:12">
      <c r="A823" s="4" t="s">
        <v>1914</v>
      </c>
      <c r="B823" s="4" t="s">
        <v>1917</v>
      </c>
      <c r="C823" s="4" t="s">
        <v>801</v>
      </c>
      <c r="D823" s="4" t="s">
        <v>702</v>
      </c>
      <c r="E823" s="4" t="s">
        <v>326</v>
      </c>
      <c r="F823" s="13">
        <v>0</v>
      </c>
      <c r="G823" s="13">
        <v>1</v>
      </c>
      <c r="H823" s="4"/>
      <c r="I823" s="4"/>
      <c r="J823" s="4"/>
      <c r="K823" s="4" t="s">
        <v>304</v>
      </c>
      <c r="L823" s="4"/>
    </row>
    <row r="824" spans="1:12">
      <c r="A824" s="4" t="s">
        <v>1918</v>
      </c>
      <c r="B824" s="4" t="s">
        <v>1919</v>
      </c>
      <c r="C824" s="4" t="s">
        <v>801</v>
      </c>
      <c r="D824" s="4" t="s">
        <v>330</v>
      </c>
      <c r="E824" s="4" t="s">
        <v>326</v>
      </c>
      <c r="F824" s="13">
        <v>1</v>
      </c>
      <c r="G824" s="13">
        <v>2</v>
      </c>
      <c r="H824" s="4"/>
      <c r="I824" s="4"/>
      <c r="J824" s="4"/>
      <c r="K824" s="4" t="s">
        <v>1920</v>
      </c>
      <c r="L824" s="4" t="s">
        <v>683</v>
      </c>
    </row>
    <row r="825" spans="1:12">
      <c r="A825" s="4" t="s">
        <v>1921</v>
      </c>
      <c r="B825" s="4" t="s">
        <v>1922</v>
      </c>
      <c r="C825" s="4" t="s">
        <v>801</v>
      </c>
      <c r="D825" s="4" t="s">
        <v>330</v>
      </c>
      <c r="E825" s="4" t="s">
        <v>326</v>
      </c>
      <c r="F825" s="13">
        <v>1</v>
      </c>
      <c r="G825" s="13">
        <v>1</v>
      </c>
      <c r="H825" s="4"/>
      <c r="I825" s="4"/>
      <c r="J825" s="4"/>
      <c r="K825" s="4" t="s">
        <v>1920</v>
      </c>
      <c r="L825" s="4" t="s">
        <v>683</v>
      </c>
    </row>
    <row r="826" spans="1:12">
      <c r="A826" s="4" t="s">
        <v>1920</v>
      </c>
      <c r="B826" s="4" t="s">
        <v>1923</v>
      </c>
      <c r="C826" s="4" t="s">
        <v>801</v>
      </c>
      <c r="D826" s="4" t="s">
        <v>702</v>
      </c>
      <c r="E826" s="4" t="s">
        <v>326</v>
      </c>
      <c r="F826" s="13">
        <v>0</v>
      </c>
      <c r="G826" s="13">
        <v>1</v>
      </c>
      <c r="H826" s="4"/>
      <c r="I826" s="4"/>
      <c r="J826" s="4"/>
      <c r="K826" s="4" t="s">
        <v>304</v>
      </c>
      <c r="L826" s="4"/>
    </row>
    <row r="827" spans="1:12">
      <c r="A827" s="4" t="s">
        <v>1924</v>
      </c>
      <c r="B827" s="4" t="s">
        <v>1925</v>
      </c>
      <c r="C827" s="4" t="s">
        <v>801</v>
      </c>
      <c r="D827" s="4" t="s">
        <v>330</v>
      </c>
      <c r="E827" s="4" t="s">
        <v>326</v>
      </c>
      <c r="F827" s="13">
        <v>1</v>
      </c>
      <c r="G827" s="13">
        <v>2</v>
      </c>
      <c r="H827" s="4"/>
      <c r="I827" s="4"/>
      <c r="J827" s="4"/>
      <c r="K827" s="4" t="s">
        <v>1926</v>
      </c>
      <c r="L827" s="4" t="s">
        <v>683</v>
      </c>
    </row>
    <row r="828" spans="1:12">
      <c r="A828" s="4" t="s">
        <v>1927</v>
      </c>
      <c r="B828" s="4" t="s">
        <v>1928</v>
      </c>
      <c r="C828" s="4" t="s">
        <v>801</v>
      </c>
      <c r="D828" s="4" t="s">
        <v>330</v>
      </c>
      <c r="E828" s="4" t="s">
        <v>326</v>
      </c>
      <c r="F828" s="13">
        <v>1</v>
      </c>
      <c r="G828" s="13">
        <v>1</v>
      </c>
      <c r="H828" s="4"/>
      <c r="I828" s="4"/>
      <c r="J828" s="4"/>
      <c r="K828" s="4" t="s">
        <v>1926</v>
      </c>
      <c r="L828" s="4" t="s">
        <v>683</v>
      </c>
    </row>
    <row r="829" spans="1:12">
      <c r="A829" s="4" t="s">
        <v>1926</v>
      </c>
      <c r="B829" s="4" t="s">
        <v>1929</v>
      </c>
      <c r="C829" s="4" t="s">
        <v>801</v>
      </c>
      <c r="D829" s="4" t="s">
        <v>702</v>
      </c>
      <c r="E829" s="4" t="s">
        <v>326</v>
      </c>
      <c r="F829" s="13">
        <v>0</v>
      </c>
      <c r="G829" s="13">
        <v>1</v>
      </c>
      <c r="H829" s="4"/>
      <c r="I829" s="4"/>
      <c r="J829" s="4"/>
      <c r="K829" s="4" t="s">
        <v>304</v>
      </c>
      <c r="L829" s="4"/>
    </row>
    <row r="830" spans="1:12">
      <c r="A830" s="4" t="s">
        <v>1930</v>
      </c>
      <c r="B830" s="4" t="s">
        <v>1931</v>
      </c>
      <c r="C830" s="4" t="s">
        <v>801</v>
      </c>
      <c r="D830" s="4" t="s">
        <v>330</v>
      </c>
      <c r="E830" s="4" t="s">
        <v>326</v>
      </c>
      <c r="F830" s="13">
        <v>1</v>
      </c>
      <c r="G830" s="13">
        <v>2</v>
      </c>
      <c r="H830" s="4"/>
      <c r="I830" s="4"/>
      <c r="J830" s="4"/>
      <c r="K830" s="4" t="s">
        <v>1932</v>
      </c>
      <c r="L830" s="4" t="s">
        <v>683</v>
      </c>
    </row>
    <row r="831" spans="1:12">
      <c r="A831" s="4" t="s">
        <v>1933</v>
      </c>
      <c r="B831" s="4" t="s">
        <v>1934</v>
      </c>
      <c r="C831" s="4" t="s">
        <v>801</v>
      </c>
      <c r="D831" s="4" t="s">
        <v>330</v>
      </c>
      <c r="E831" s="4" t="s">
        <v>326</v>
      </c>
      <c r="F831" s="13">
        <v>1</v>
      </c>
      <c r="G831" s="13">
        <v>1</v>
      </c>
      <c r="H831" s="4"/>
      <c r="I831" s="4"/>
      <c r="J831" s="4"/>
      <c r="K831" s="4" t="s">
        <v>1932</v>
      </c>
      <c r="L831" s="4" t="s">
        <v>683</v>
      </c>
    </row>
    <row r="832" spans="1:12">
      <c r="A832" s="4" t="s">
        <v>1932</v>
      </c>
      <c r="B832" s="4" t="s">
        <v>1935</v>
      </c>
      <c r="C832" s="4" t="s">
        <v>801</v>
      </c>
      <c r="D832" s="4" t="s">
        <v>702</v>
      </c>
      <c r="E832" s="4" t="s">
        <v>326</v>
      </c>
      <c r="F832" s="13">
        <v>0</v>
      </c>
      <c r="G832" s="13">
        <v>1</v>
      </c>
      <c r="H832" s="4"/>
      <c r="I832" s="4"/>
      <c r="J832" s="4"/>
      <c r="K832" s="4" t="s">
        <v>304</v>
      </c>
      <c r="L832" s="4"/>
    </row>
    <row r="833" spans="1:12">
      <c r="A833" s="4" t="s">
        <v>1936</v>
      </c>
      <c r="B833" s="4" t="s">
        <v>1937</v>
      </c>
      <c r="C833" s="4" t="s">
        <v>801</v>
      </c>
      <c r="D833" s="4" t="s">
        <v>330</v>
      </c>
      <c r="E833" s="4" t="s">
        <v>326</v>
      </c>
      <c r="F833" s="13">
        <v>1</v>
      </c>
      <c r="G833" s="13">
        <v>2</v>
      </c>
      <c r="H833" s="4"/>
      <c r="I833" s="4"/>
      <c r="J833" s="4"/>
      <c r="K833" s="4" t="s">
        <v>1938</v>
      </c>
      <c r="L833" s="4" t="s">
        <v>683</v>
      </c>
    </row>
    <row r="834" spans="1:12">
      <c r="A834" s="4" t="s">
        <v>1939</v>
      </c>
      <c r="B834" s="4" t="s">
        <v>1940</v>
      </c>
      <c r="C834" s="4" t="s">
        <v>801</v>
      </c>
      <c r="D834" s="4" t="s">
        <v>330</v>
      </c>
      <c r="E834" s="4" t="s">
        <v>326</v>
      </c>
      <c r="F834" s="13">
        <v>1</v>
      </c>
      <c r="G834" s="13">
        <v>1</v>
      </c>
      <c r="H834" s="4"/>
      <c r="I834" s="4"/>
      <c r="J834" s="4"/>
      <c r="K834" s="4" t="s">
        <v>1938</v>
      </c>
      <c r="L834" s="4" t="s">
        <v>683</v>
      </c>
    </row>
    <row r="835" spans="1:12">
      <c r="A835" s="4" t="s">
        <v>1938</v>
      </c>
      <c r="B835" s="4" t="s">
        <v>1941</v>
      </c>
      <c r="C835" s="4" t="s">
        <v>801</v>
      </c>
      <c r="D835" s="4" t="s">
        <v>702</v>
      </c>
      <c r="E835" s="4" t="s">
        <v>326</v>
      </c>
      <c r="F835" s="13">
        <v>0</v>
      </c>
      <c r="G835" s="13">
        <v>1</v>
      </c>
      <c r="H835" s="4"/>
      <c r="I835" s="4"/>
      <c r="J835" s="4"/>
      <c r="K835" s="4" t="s">
        <v>304</v>
      </c>
      <c r="L835" s="4"/>
    </row>
    <row r="836" spans="1:12">
      <c r="A836" s="4" t="s">
        <v>1942</v>
      </c>
      <c r="B836" s="4" t="s">
        <v>1943</v>
      </c>
      <c r="C836" s="4" t="s">
        <v>801</v>
      </c>
      <c r="D836" s="4" t="s">
        <v>330</v>
      </c>
      <c r="E836" s="4" t="s">
        <v>326</v>
      </c>
      <c r="F836" s="13">
        <v>1</v>
      </c>
      <c r="G836" s="13">
        <v>2</v>
      </c>
      <c r="H836" s="4"/>
      <c r="I836" s="4"/>
      <c r="J836" s="4"/>
      <c r="K836" s="4" t="s">
        <v>1944</v>
      </c>
      <c r="L836" s="4" t="s">
        <v>683</v>
      </c>
    </row>
    <row r="837" spans="1:12">
      <c r="A837" s="4" t="s">
        <v>1945</v>
      </c>
      <c r="B837" s="4" t="s">
        <v>1946</v>
      </c>
      <c r="C837" s="4" t="s">
        <v>801</v>
      </c>
      <c r="D837" s="4" t="s">
        <v>330</v>
      </c>
      <c r="E837" s="4" t="s">
        <v>326</v>
      </c>
      <c r="F837" s="13">
        <v>1</v>
      </c>
      <c r="G837" s="13">
        <v>1</v>
      </c>
      <c r="H837" s="4"/>
      <c r="I837" s="4"/>
      <c r="J837" s="4"/>
      <c r="K837" s="4" t="s">
        <v>1944</v>
      </c>
      <c r="L837" s="4" t="s">
        <v>683</v>
      </c>
    </row>
    <row r="838" spans="1:12">
      <c r="A838" s="4" t="s">
        <v>1944</v>
      </c>
      <c r="B838" s="4" t="s">
        <v>1947</v>
      </c>
      <c r="C838" s="4" t="s">
        <v>801</v>
      </c>
      <c r="D838" s="4" t="s">
        <v>702</v>
      </c>
      <c r="E838" s="4" t="s">
        <v>326</v>
      </c>
      <c r="F838" s="13">
        <v>0</v>
      </c>
      <c r="G838" s="13">
        <v>1</v>
      </c>
      <c r="H838" s="4"/>
      <c r="I838" s="4"/>
      <c r="J838" s="4"/>
      <c r="K838" s="4" t="s">
        <v>304</v>
      </c>
      <c r="L838" s="4"/>
    </row>
    <row r="839" spans="1:12">
      <c r="A839" s="4" t="s">
        <v>1948</v>
      </c>
      <c r="B839" s="4" t="s">
        <v>1949</v>
      </c>
      <c r="C839" s="4" t="s">
        <v>801</v>
      </c>
      <c r="D839" s="4" t="s">
        <v>330</v>
      </c>
      <c r="E839" s="4" t="s">
        <v>326</v>
      </c>
      <c r="F839" s="13">
        <v>1</v>
      </c>
      <c r="G839" s="13">
        <v>2</v>
      </c>
      <c r="H839" s="4"/>
      <c r="I839" s="4"/>
      <c r="J839" s="4"/>
      <c r="K839" s="4" t="s">
        <v>1950</v>
      </c>
      <c r="L839" s="4" t="s">
        <v>683</v>
      </c>
    </row>
    <row r="840" spans="1:12">
      <c r="A840" s="4" t="s">
        <v>1951</v>
      </c>
      <c r="B840" s="4" t="s">
        <v>1952</v>
      </c>
      <c r="C840" s="4" t="s">
        <v>801</v>
      </c>
      <c r="D840" s="4" t="s">
        <v>330</v>
      </c>
      <c r="E840" s="4" t="s">
        <v>326</v>
      </c>
      <c r="F840" s="13">
        <v>1</v>
      </c>
      <c r="G840" s="13">
        <v>1</v>
      </c>
      <c r="H840" s="4"/>
      <c r="I840" s="4"/>
      <c r="J840" s="4"/>
      <c r="K840" s="4" t="s">
        <v>1950</v>
      </c>
      <c r="L840" s="4" t="s">
        <v>683</v>
      </c>
    </row>
    <row r="841" spans="1:12">
      <c r="A841" s="4" t="s">
        <v>1950</v>
      </c>
      <c r="B841" s="4" t="s">
        <v>1953</v>
      </c>
      <c r="C841" s="4" t="s">
        <v>801</v>
      </c>
      <c r="D841" s="4" t="s">
        <v>702</v>
      </c>
      <c r="E841" s="4" t="s">
        <v>326</v>
      </c>
      <c r="F841" s="13">
        <v>0</v>
      </c>
      <c r="G841" s="13">
        <v>1</v>
      </c>
      <c r="H841" s="4"/>
      <c r="I841" s="4"/>
      <c r="J841" s="4"/>
      <c r="K841" s="4" t="s">
        <v>304</v>
      </c>
      <c r="L841" s="4"/>
    </row>
    <row r="842" spans="1:12">
      <c r="A842" s="4" t="s">
        <v>1954</v>
      </c>
      <c r="B842" s="4" t="s">
        <v>1955</v>
      </c>
      <c r="C842" s="4" t="s">
        <v>801</v>
      </c>
      <c r="D842" s="4" t="s">
        <v>330</v>
      </c>
      <c r="E842" s="4" t="s">
        <v>326</v>
      </c>
      <c r="F842" s="13">
        <v>1</v>
      </c>
      <c r="G842" s="13">
        <v>2</v>
      </c>
      <c r="H842" s="4"/>
      <c r="I842" s="4"/>
      <c r="J842" s="4"/>
      <c r="K842" s="4" t="s">
        <v>1956</v>
      </c>
      <c r="L842" s="4" t="s">
        <v>683</v>
      </c>
    </row>
    <row r="843" spans="1:12">
      <c r="A843" s="4" t="s">
        <v>1957</v>
      </c>
      <c r="B843" s="4" t="s">
        <v>1958</v>
      </c>
      <c r="C843" s="4" t="s">
        <v>801</v>
      </c>
      <c r="D843" s="4" t="s">
        <v>330</v>
      </c>
      <c r="E843" s="4" t="s">
        <v>326</v>
      </c>
      <c r="F843" s="13">
        <v>1</v>
      </c>
      <c r="G843" s="13">
        <v>1</v>
      </c>
      <c r="H843" s="4"/>
      <c r="I843" s="4"/>
      <c r="J843" s="4"/>
      <c r="K843" s="4" t="s">
        <v>1956</v>
      </c>
      <c r="L843" s="4" t="s">
        <v>683</v>
      </c>
    </row>
    <row r="844" spans="1:12">
      <c r="A844" s="4" t="s">
        <v>1956</v>
      </c>
      <c r="B844" s="4" t="s">
        <v>1959</v>
      </c>
      <c r="C844" s="4" t="s">
        <v>801</v>
      </c>
      <c r="D844" s="4" t="s">
        <v>702</v>
      </c>
      <c r="E844" s="4" t="s">
        <v>326</v>
      </c>
      <c r="F844" s="13">
        <v>0</v>
      </c>
      <c r="G844" s="13">
        <v>1</v>
      </c>
      <c r="H844" s="4"/>
      <c r="I844" s="4"/>
      <c r="J844" s="4"/>
      <c r="K844" s="4" t="s">
        <v>304</v>
      </c>
      <c r="L844" s="4"/>
    </row>
    <row r="845" spans="1:12">
      <c r="A845" s="4" t="s">
        <v>1960</v>
      </c>
      <c r="B845" s="4" t="s">
        <v>1961</v>
      </c>
      <c r="C845" s="4" t="s">
        <v>801</v>
      </c>
      <c r="D845" s="4" t="s">
        <v>330</v>
      </c>
      <c r="E845" s="4" t="s">
        <v>326</v>
      </c>
      <c r="F845" s="13">
        <v>1</v>
      </c>
      <c r="G845" s="13">
        <v>2</v>
      </c>
      <c r="H845" s="4"/>
      <c r="I845" s="4"/>
      <c r="J845" s="4"/>
      <c r="K845" s="4" t="s">
        <v>1962</v>
      </c>
      <c r="L845" s="4" t="s">
        <v>683</v>
      </c>
    </row>
    <row r="846" spans="1:12">
      <c r="A846" s="4" t="s">
        <v>1963</v>
      </c>
      <c r="B846" s="4" t="s">
        <v>1964</v>
      </c>
      <c r="C846" s="4" t="s">
        <v>801</v>
      </c>
      <c r="D846" s="4" t="s">
        <v>330</v>
      </c>
      <c r="E846" s="4" t="s">
        <v>326</v>
      </c>
      <c r="F846" s="13">
        <v>1</v>
      </c>
      <c r="G846" s="13">
        <v>1</v>
      </c>
      <c r="H846" s="4"/>
      <c r="I846" s="4"/>
      <c r="J846" s="4"/>
      <c r="K846" s="4" t="s">
        <v>1962</v>
      </c>
      <c r="L846" s="4" t="s">
        <v>683</v>
      </c>
    </row>
    <row r="847" spans="1:12">
      <c r="A847" s="4" t="s">
        <v>1962</v>
      </c>
      <c r="B847" s="4" t="s">
        <v>1965</v>
      </c>
      <c r="C847" s="4" t="s">
        <v>801</v>
      </c>
      <c r="D847" s="4" t="s">
        <v>702</v>
      </c>
      <c r="E847" s="4" t="s">
        <v>326</v>
      </c>
      <c r="F847" s="13">
        <v>0</v>
      </c>
      <c r="G847" s="13">
        <v>1</v>
      </c>
      <c r="H847" s="4"/>
      <c r="I847" s="4"/>
      <c r="J847" s="4"/>
      <c r="K847" s="4" t="s">
        <v>304</v>
      </c>
      <c r="L847" s="4"/>
    </row>
    <row r="848" spans="1:12">
      <c r="A848" s="4" t="s">
        <v>1966</v>
      </c>
      <c r="B848" s="4" t="s">
        <v>1967</v>
      </c>
      <c r="C848" s="4" t="s">
        <v>801</v>
      </c>
      <c r="D848" s="4" t="s">
        <v>330</v>
      </c>
      <c r="E848" s="4" t="s">
        <v>326</v>
      </c>
      <c r="F848" s="13">
        <v>1</v>
      </c>
      <c r="G848" s="13">
        <v>2</v>
      </c>
      <c r="H848" s="4"/>
      <c r="I848" s="4"/>
      <c r="J848" s="4"/>
      <c r="K848" s="4" t="s">
        <v>1968</v>
      </c>
      <c r="L848" s="4" t="s">
        <v>683</v>
      </c>
    </row>
    <row r="849" spans="1:12">
      <c r="A849" s="4" t="s">
        <v>1969</v>
      </c>
      <c r="B849" s="4" t="s">
        <v>1970</v>
      </c>
      <c r="C849" s="4" t="s">
        <v>801</v>
      </c>
      <c r="D849" s="4" t="s">
        <v>330</v>
      </c>
      <c r="E849" s="4" t="s">
        <v>326</v>
      </c>
      <c r="F849" s="13">
        <v>1</v>
      </c>
      <c r="G849" s="13">
        <v>1</v>
      </c>
      <c r="H849" s="4"/>
      <c r="I849" s="4"/>
      <c r="J849" s="4"/>
      <c r="K849" s="4" t="s">
        <v>1968</v>
      </c>
      <c r="L849" s="4" t="s">
        <v>683</v>
      </c>
    </row>
    <row r="850" spans="1:12">
      <c r="A850" s="4" t="s">
        <v>1968</v>
      </c>
      <c r="B850" s="4" t="s">
        <v>1971</v>
      </c>
      <c r="C850" s="4" t="s">
        <v>801</v>
      </c>
      <c r="D850" s="4" t="s">
        <v>702</v>
      </c>
      <c r="E850" s="4" t="s">
        <v>326</v>
      </c>
      <c r="F850" s="13">
        <v>0</v>
      </c>
      <c r="G850" s="13">
        <v>1</v>
      </c>
      <c r="H850" s="4"/>
      <c r="I850" s="4"/>
      <c r="J850" s="4"/>
      <c r="K850" s="4" t="s">
        <v>304</v>
      </c>
      <c r="L850" s="4"/>
    </row>
    <row r="851" spans="1:12">
      <c r="A851" s="4" t="s">
        <v>1972</v>
      </c>
      <c r="B851" s="4" t="s">
        <v>1973</v>
      </c>
      <c r="C851" s="4" t="s">
        <v>801</v>
      </c>
      <c r="D851" s="4" t="s">
        <v>330</v>
      </c>
      <c r="E851" s="4" t="s">
        <v>326</v>
      </c>
      <c r="F851" s="13">
        <v>1</v>
      </c>
      <c r="G851" s="13">
        <v>2</v>
      </c>
      <c r="H851" s="4"/>
      <c r="I851" s="4"/>
      <c r="J851" s="4"/>
      <c r="K851" s="4" t="s">
        <v>1974</v>
      </c>
      <c r="L851" s="4" t="s">
        <v>683</v>
      </c>
    </row>
    <row r="852" spans="1:12">
      <c r="A852" s="4" t="s">
        <v>1975</v>
      </c>
      <c r="B852" s="4" t="s">
        <v>1976</v>
      </c>
      <c r="C852" s="4" t="s">
        <v>801</v>
      </c>
      <c r="D852" s="4" t="s">
        <v>330</v>
      </c>
      <c r="E852" s="4" t="s">
        <v>326</v>
      </c>
      <c r="F852" s="13">
        <v>1</v>
      </c>
      <c r="G852" s="13">
        <v>1</v>
      </c>
      <c r="H852" s="4"/>
      <c r="I852" s="4"/>
      <c r="J852" s="4"/>
      <c r="K852" s="4" t="s">
        <v>1974</v>
      </c>
      <c r="L852" s="4" t="s">
        <v>683</v>
      </c>
    </row>
    <row r="853" spans="1:12">
      <c r="A853" s="4" t="s">
        <v>1974</v>
      </c>
      <c r="B853" s="4" t="s">
        <v>1977</v>
      </c>
      <c r="C853" s="4" t="s">
        <v>801</v>
      </c>
      <c r="D853" s="4" t="s">
        <v>702</v>
      </c>
      <c r="E853" s="4" t="s">
        <v>326</v>
      </c>
      <c r="F853" s="13">
        <v>0</v>
      </c>
      <c r="G853" s="13">
        <v>1</v>
      </c>
      <c r="H853" s="4"/>
      <c r="I853" s="4"/>
      <c r="J853" s="4"/>
      <c r="K853" s="4" t="s">
        <v>304</v>
      </c>
      <c r="L853" s="4"/>
    </row>
    <row r="854" spans="1:12">
      <c r="A854" s="4" t="s">
        <v>1978</v>
      </c>
      <c r="B854" s="4" t="s">
        <v>1979</v>
      </c>
      <c r="C854" s="4" t="s">
        <v>801</v>
      </c>
      <c r="D854" s="4" t="s">
        <v>330</v>
      </c>
      <c r="E854" s="4" t="s">
        <v>326</v>
      </c>
      <c r="F854" s="13">
        <v>1</v>
      </c>
      <c r="G854" s="13">
        <v>2</v>
      </c>
      <c r="H854" s="4"/>
      <c r="I854" s="4"/>
      <c r="J854" s="4"/>
      <c r="K854" s="4" t="s">
        <v>1980</v>
      </c>
      <c r="L854" s="4" t="s">
        <v>683</v>
      </c>
    </row>
    <row r="855" spans="1:12">
      <c r="A855" s="4" t="s">
        <v>1981</v>
      </c>
      <c r="B855" s="4" t="s">
        <v>1982</v>
      </c>
      <c r="C855" s="4" t="s">
        <v>801</v>
      </c>
      <c r="D855" s="4" t="s">
        <v>330</v>
      </c>
      <c r="E855" s="4" t="s">
        <v>326</v>
      </c>
      <c r="F855" s="13">
        <v>1</v>
      </c>
      <c r="G855" s="13">
        <v>1</v>
      </c>
      <c r="H855" s="4"/>
      <c r="I855" s="4"/>
      <c r="J855" s="4"/>
      <c r="K855" s="4" t="s">
        <v>1980</v>
      </c>
      <c r="L855" s="4" t="s">
        <v>683</v>
      </c>
    </row>
    <row r="856" spans="1:12">
      <c r="A856" s="4" t="s">
        <v>1980</v>
      </c>
      <c r="B856" s="4" t="s">
        <v>1983</v>
      </c>
      <c r="C856" s="4" t="s">
        <v>801</v>
      </c>
      <c r="D856" s="4" t="s">
        <v>702</v>
      </c>
      <c r="E856" s="4" t="s">
        <v>326</v>
      </c>
      <c r="F856" s="13">
        <v>0</v>
      </c>
      <c r="G856" s="13">
        <v>1</v>
      </c>
      <c r="H856" s="4"/>
      <c r="I856" s="4"/>
      <c r="J856" s="4"/>
      <c r="K856" s="4" t="s">
        <v>304</v>
      </c>
      <c r="L856" s="4"/>
    </row>
    <row r="857" spans="1:12">
      <c r="A857" s="4" t="s">
        <v>1984</v>
      </c>
      <c r="B857" s="4" t="s">
        <v>1985</v>
      </c>
      <c r="C857" s="4" t="s">
        <v>801</v>
      </c>
      <c r="D857" s="4" t="s">
        <v>330</v>
      </c>
      <c r="E857" s="4" t="s">
        <v>326</v>
      </c>
      <c r="F857" s="13">
        <v>1</v>
      </c>
      <c r="G857" s="13">
        <v>2</v>
      </c>
      <c r="H857" s="4"/>
      <c r="I857" s="4"/>
      <c r="J857" s="4"/>
      <c r="K857" s="4" t="s">
        <v>1986</v>
      </c>
      <c r="L857" s="4" t="s">
        <v>683</v>
      </c>
    </row>
    <row r="858" spans="1:12">
      <c r="A858" s="4" t="s">
        <v>1987</v>
      </c>
      <c r="B858" s="4" t="s">
        <v>1988</v>
      </c>
      <c r="C858" s="4" t="s">
        <v>801</v>
      </c>
      <c r="D858" s="4" t="s">
        <v>330</v>
      </c>
      <c r="E858" s="4" t="s">
        <v>326</v>
      </c>
      <c r="F858" s="13">
        <v>1</v>
      </c>
      <c r="G858" s="13">
        <v>1</v>
      </c>
      <c r="H858" s="4"/>
      <c r="I858" s="4"/>
      <c r="J858" s="4"/>
      <c r="K858" s="4" t="s">
        <v>1986</v>
      </c>
      <c r="L858" s="4" t="s">
        <v>683</v>
      </c>
    </row>
    <row r="859" spans="1:12">
      <c r="A859" s="4" t="s">
        <v>1986</v>
      </c>
      <c r="B859" s="4" t="s">
        <v>1989</v>
      </c>
      <c r="C859" s="4" t="s">
        <v>801</v>
      </c>
      <c r="D859" s="4" t="s">
        <v>702</v>
      </c>
      <c r="E859" s="4" t="s">
        <v>326</v>
      </c>
      <c r="F859" s="13">
        <v>0</v>
      </c>
      <c r="G859" s="13">
        <v>1</v>
      </c>
      <c r="H859" s="4"/>
      <c r="I859" s="4"/>
      <c r="J859" s="4"/>
      <c r="K859" s="4" t="s">
        <v>304</v>
      </c>
      <c r="L859" s="4"/>
    </row>
    <row r="860" spans="1:12">
      <c r="A860" s="4" t="s">
        <v>1990</v>
      </c>
      <c r="B860" s="4" t="s">
        <v>1991</v>
      </c>
      <c r="C860" s="4" t="s">
        <v>801</v>
      </c>
      <c r="D860" s="4" t="s">
        <v>330</v>
      </c>
      <c r="E860" s="4" t="s">
        <v>326</v>
      </c>
      <c r="F860" s="13">
        <v>1</v>
      </c>
      <c r="G860" s="13">
        <v>2</v>
      </c>
      <c r="H860" s="4"/>
      <c r="I860" s="4"/>
      <c r="J860" s="4"/>
      <c r="K860" s="4" t="s">
        <v>1992</v>
      </c>
      <c r="L860" s="4" t="s">
        <v>683</v>
      </c>
    </row>
    <row r="861" spans="1:12">
      <c r="A861" s="4" t="s">
        <v>1993</v>
      </c>
      <c r="B861" s="4" t="s">
        <v>1994</v>
      </c>
      <c r="C861" s="4" t="s">
        <v>801</v>
      </c>
      <c r="D861" s="4" t="s">
        <v>330</v>
      </c>
      <c r="E861" s="4" t="s">
        <v>326</v>
      </c>
      <c r="F861" s="13">
        <v>1</v>
      </c>
      <c r="G861" s="13">
        <v>1</v>
      </c>
      <c r="H861" s="4"/>
      <c r="I861" s="4"/>
      <c r="J861" s="4"/>
      <c r="K861" s="4" t="s">
        <v>1992</v>
      </c>
      <c r="L861" s="4" t="s">
        <v>683</v>
      </c>
    </row>
    <row r="862" spans="1:12">
      <c r="A862" s="4" t="s">
        <v>1992</v>
      </c>
      <c r="B862" s="4" t="s">
        <v>1995</v>
      </c>
      <c r="C862" s="4" t="s">
        <v>801</v>
      </c>
      <c r="D862" s="4" t="s">
        <v>702</v>
      </c>
      <c r="E862" s="4" t="s">
        <v>326</v>
      </c>
      <c r="F862" s="13">
        <v>0</v>
      </c>
      <c r="G862" s="13">
        <v>1</v>
      </c>
      <c r="H862" s="4"/>
      <c r="I862" s="4"/>
      <c r="J862" s="4"/>
      <c r="K862" s="4" t="s">
        <v>304</v>
      </c>
      <c r="L862" s="4"/>
    </row>
    <row r="863" spans="1:12">
      <c r="A863" s="4" t="s">
        <v>1996</v>
      </c>
      <c r="B863" s="4" t="s">
        <v>1997</v>
      </c>
      <c r="C863" s="4" t="s">
        <v>801</v>
      </c>
      <c r="D863" s="4" t="s">
        <v>330</v>
      </c>
      <c r="E863" s="4" t="s">
        <v>326</v>
      </c>
      <c r="F863" s="13">
        <v>1</v>
      </c>
      <c r="G863" s="13">
        <v>2</v>
      </c>
      <c r="H863" s="4"/>
      <c r="I863" s="4"/>
      <c r="J863" s="4"/>
      <c r="K863" s="4" t="s">
        <v>1998</v>
      </c>
      <c r="L863" s="4" t="s">
        <v>683</v>
      </c>
    </row>
    <row r="864" spans="1:12">
      <c r="A864" s="4" t="s">
        <v>1999</v>
      </c>
      <c r="B864" s="4" t="s">
        <v>2000</v>
      </c>
      <c r="C864" s="4" t="s">
        <v>801</v>
      </c>
      <c r="D864" s="4" t="s">
        <v>330</v>
      </c>
      <c r="E864" s="4" t="s">
        <v>326</v>
      </c>
      <c r="F864" s="13">
        <v>1</v>
      </c>
      <c r="G864" s="13">
        <v>1</v>
      </c>
      <c r="H864" s="4"/>
      <c r="I864" s="4"/>
      <c r="J864" s="4"/>
      <c r="K864" s="4" t="s">
        <v>1998</v>
      </c>
      <c r="L864" s="4" t="s">
        <v>683</v>
      </c>
    </row>
    <row r="865" spans="1:12">
      <c r="A865" s="4" t="s">
        <v>1998</v>
      </c>
      <c r="B865" s="4" t="s">
        <v>2001</v>
      </c>
      <c r="C865" s="4" t="s">
        <v>801</v>
      </c>
      <c r="D865" s="4" t="s">
        <v>702</v>
      </c>
      <c r="E865" s="4" t="s">
        <v>326</v>
      </c>
      <c r="F865" s="13">
        <v>0</v>
      </c>
      <c r="G865" s="13">
        <v>1</v>
      </c>
      <c r="H865" s="4"/>
      <c r="I865" s="4"/>
      <c r="J865" s="4"/>
      <c r="K865" s="4" t="s">
        <v>304</v>
      </c>
      <c r="L865" s="4"/>
    </row>
    <row r="866" spans="1:12">
      <c r="A866" s="4" t="s">
        <v>2002</v>
      </c>
      <c r="B866" s="4" t="s">
        <v>2003</v>
      </c>
      <c r="C866" s="4" t="s">
        <v>801</v>
      </c>
      <c r="D866" s="4" t="s">
        <v>330</v>
      </c>
      <c r="E866" s="4" t="s">
        <v>326</v>
      </c>
      <c r="F866" s="13">
        <v>1</v>
      </c>
      <c r="G866" s="13">
        <v>2</v>
      </c>
      <c r="H866" s="4"/>
      <c r="I866" s="4"/>
      <c r="J866" s="4"/>
      <c r="K866" s="4" t="s">
        <v>2004</v>
      </c>
      <c r="L866" s="4" t="s">
        <v>683</v>
      </c>
    </row>
    <row r="867" spans="1:12">
      <c r="A867" s="4" t="s">
        <v>2005</v>
      </c>
      <c r="B867" s="4" t="s">
        <v>2006</v>
      </c>
      <c r="C867" s="4" t="s">
        <v>801</v>
      </c>
      <c r="D867" s="4" t="s">
        <v>330</v>
      </c>
      <c r="E867" s="4" t="s">
        <v>326</v>
      </c>
      <c r="F867" s="13">
        <v>1</v>
      </c>
      <c r="G867" s="13">
        <v>1</v>
      </c>
      <c r="H867" s="4"/>
      <c r="I867" s="4"/>
      <c r="J867" s="4"/>
      <c r="K867" s="4" t="s">
        <v>2004</v>
      </c>
      <c r="L867" s="4" t="s">
        <v>683</v>
      </c>
    </row>
    <row r="868" spans="1:12">
      <c r="A868" s="4" t="s">
        <v>2004</v>
      </c>
      <c r="B868" s="4" t="s">
        <v>2007</v>
      </c>
      <c r="C868" s="4" t="s">
        <v>801</v>
      </c>
      <c r="D868" s="4" t="s">
        <v>702</v>
      </c>
      <c r="E868" s="4" t="s">
        <v>326</v>
      </c>
      <c r="F868" s="13">
        <v>0</v>
      </c>
      <c r="G868" s="13">
        <v>1</v>
      </c>
      <c r="H868" s="4"/>
      <c r="I868" s="4"/>
      <c r="J868" s="4"/>
      <c r="K868" s="4" t="s">
        <v>304</v>
      </c>
      <c r="L868" s="4"/>
    </row>
    <row r="869" spans="1:12">
      <c r="A869" s="4" t="s">
        <v>2008</v>
      </c>
      <c r="B869" s="4" t="s">
        <v>2009</v>
      </c>
      <c r="C869" s="4" t="s">
        <v>801</v>
      </c>
      <c r="D869" s="4" t="s">
        <v>330</v>
      </c>
      <c r="E869" s="4" t="s">
        <v>326</v>
      </c>
      <c r="F869" s="13">
        <v>1</v>
      </c>
      <c r="G869" s="13">
        <v>2</v>
      </c>
      <c r="H869" s="4"/>
      <c r="I869" s="4"/>
      <c r="J869" s="4"/>
      <c r="K869" s="4" t="s">
        <v>2010</v>
      </c>
      <c r="L869" s="4" t="s">
        <v>683</v>
      </c>
    </row>
    <row r="870" spans="1:12">
      <c r="A870" s="4" t="s">
        <v>2011</v>
      </c>
      <c r="B870" s="4" t="s">
        <v>2012</v>
      </c>
      <c r="C870" s="4" t="s">
        <v>801</v>
      </c>
      <c r="D870" s="4" t="s">
        <v>330</v>
      </c>
      <c r="E870" s="4" t="s">
        <v>326</v>
      </c>
      <c r="F870" s="13">
        <v>1</v>
      </c>
      <c r="G870" s="13">
        <v>1</v>
      </c>
      <c r="H870" s="4"/>
      <c r="I870" s="4"/>
      <c r="J870" s="4"/>
      <c r="K870" s="4" t="s">
        <v>2010</v>
      </c>
      <c r="L870" s="4" t="s">
        <v>683</v>
      </c>
    </row>
    <row r="871" spans="1:12">
      <c r="A871" s="4" t="s">
        <v>2010</v>
      </c>
      <c r="B871" s="4" t="s">
        <v>2013</v>
      </c>
      <c r="C871" s="4" t="s">
        <v>801</v>
      </c>
      <c r="D871" s="4" t="s">
        <v>702</v>
      </c>
      <c r="E871" s="4" t="s">
        <v>326</v>
      </c>
      <c r="F871" s="13">
        <v>0</v>
      </c>
      <c r="G871" s="13">
        <v>1</v>
      </c>
      <c r="H871" s="4"/>
      <c r="I871" s="4"/>
      <c r="J871" s="4"/>
      <c r="K871" s="4" t="s">
        <v>304</v>
      </c>
      <c r="L871" s="4"/>
    </row>
    <row r="872" spans="1:12">
      <c r="A872" s="4" t="s">
        <v>2014</v>
      </c>
      <c r="B872" s="4" t="s">
        <v>2015</v>
      </c>
      <c r="C872" s="4" t="s">
        <v>801</v>
      </c>
      <c r="D872" s="4" t="s">
        <v>330</v>
      </c>
      <c r="E872" s="4" t="s">
        <v>326</v>
      </c>
      <c r="F872" s="13">
        <v>1</v>
      </c>
      <c r="G872" s="13">
        <v>2</v>
      </c>
      <c r="H872" s="4"/>
      <c r="I872" s="4"/>
      <c r="J872" s="4"/>
      <c r="K872" s="4" t="s">
        <v>2016</v>
      </c>
      <c r="L872" s="4" t="s">
        <v>683</v>
      </c>
    </row>
    <row r="873" spans="1:12">
      <c r="A873" s="4" t="s">
        <v>2017</v>
      </c>
      <c r="B873" s="4" t="s">
        <v>2018</v>
      </c>
      <c r="C873" s="4" t="s">
        <v>801</v>
      </c>
      <c r="D873" s="4" t="s">
        <v>330</v>
      </c>
      <c r="E873" s="4" t="s">
        <v>326</v>
      </c>
      <c r="F873" s="13">
        <v>1</v>
      </c>
      <c r="G873" s="13">
        <v>1</v>
      </c>
      <c r="H873" s="4"/>
      <c r="I873" s="4"/>
      <c r="J873" s="4"/>
      <c r="K873" s="4" t="s">
        <v>2016</v>
      </c>
      <c r="L873" s="4" t="s">
        <v>683</v>
      </c>
    </row>
    <row r="874" spans="1:12">
      <c r="A874" s="4" t="s">
        <v>2016</v>
      </c>
      <c r="B874" s="4" t="s">
        <v>2019</v>
      </c>
      <c r="C874" s="4" t="s">
        <v>801</v>
      </c>
      <c r="D874" s="4" t="s">
        <v>702</v>
      </c>
      <c r="E874" s="4" t="s">
        <v>326</v>
      </c>
      <c r="F874" s="13">
        <v>0</v>
      </c>
      <c r="G874" s="13">
        <v>1</v>
      </c>
      <c r="H874" s="4"/>
      <c r="I874" s="4"/>
      <c r="J874" s="4"/>
      <c r="K874" s="4" t="s">
        <v>304</v>
      </c>
      <c r="L874" s="4"/>
    </row>
    <row r="875" spans="1:12">
      <c r="A875" s="4" t="s">
        <v>2020</v>
      </c>
      <c r="B875" s="4" t="s">
        <v>2021</v>
      </c>
      <c r="C875" s="4" t="s">
        <v>801</v>
      </c>
      <c r="D875" s="4" t="s">
        <v>330</v>
      </c>
      <c r="E875" s="4" t="s">
        <v>326</v>
      </c>
      <c r="F875" s="13">
        <v>1</v>
      </c>
      <c r="G875" s="13">
        <v>2</v>
      </c>
      <c r="H875" s="4"/>
      <c r="I875" s="4"/>
      <c r="J875" s="4"/>
      <c r="K875" s="4" t="s">
        <v>2022</v>
      </c>
      <c r="L875" s="4" t="s">
        <v>683</v>
      </c>
    </row>
    <row r="876" spans="1:12">
      <c r="A876" s="4" t="s">
        <v>2023</v>
      </c>
      <c r="B876" s="4" t="s">
        <v>2024</v>
      </c>
      <c r="C876" s="4" t="s">
        <v>801</v>
      </c>
      <c r="D876" s="4" t="s">
        <v>330</v>
      </c>
      <c r="E876" s="4" t="s">
        <v>326</v>
      </c>
      <c r="F876" s="13">
        <v>1</v>
      </c>
      <c r="G876" s="13">
        <v>1</v>
      </c>
      <c r="H876" s="4"/>
      <c r="I876" s="4"/>
      <c r="J876" s="4"/>
      <c r="K876" s="4" t="s">
        <v>2022</v>
      </c>
      <c r="L876" s="4" t="s">
        <v>683</v>
      </c>
    </row>
    <row r="877" spans="1:12">
      <c r="A877" s="4" t="s">
        <v>2022</v>
      </c>
      <c r="B877" s="4" t="s">
        <v>2025</v>
      </c>
      <c r="C877" s="4" t="s">
        <v>801</v>
      </c>
      <c r="D877" s="4" t="s">
        <v>702</v>
      </c>
      <c r="E877" s="4" t="s">
        <v>326</v>
      </c>
      <c r="F877" s="13">
        <v>0</v>
      </c>
      <c r="G877" s="13">
        <v>1</v>
      </c>
      <c r="H877" s="4"/>
      <c r="I877" s="4"/>
      <c r="J877" s="4"/>
      <c r="K877" s="4" t="s">
        <v>304</v>
      </c>
      <c r="L877" s="4"/>
    </row>
    <row r="878" spans="1:12">
      <c r="A878" s="4" t="s">
        <v>2026</v>
      </c>
      <c r="B878" s="4" t="s">
        <v>2027</v>
      </c>
      <c r="C878" s="4" t="s">
        <v>801</v>
      </c>
      <c r="D878" s="4" t="s">
        <v>330</v>
      </c>
      <c r="E878" s="4" t="s">
        <v>326</v>
      </c>
      <c r="F878" s="13">
        <v>1</v>
      </c>
      <c r="G878" s="13">
        <v>2</v>
      </c>
      <c r="H878" s="4"/>
      <c r="I878" s="4"/>
      <c r="J878" s="4"/>
      <c r="K878" s="4" t="s">
        <v>2028</v>
      </c>
      <c r="L878" s="4" t="s">
        <v>683</v>
      </c>
    </row>
    <row r="879" spans="1:12">
      <c r="A879" s="4" t="s">
        <v>2029</v>
      </c>
      <c r="B879" s="4" t="s">
        <v>2030</v>
      </c>
      <c r="C879" s="4" t="s">
        <v>801</v>
      </c>
      <c r="D879" s="4" t="s">
        <v>330</v>
      </c>
      <c r="E879" s="4" t="s">
        <v>326</v>
      </c>
      <c r="F879" s="13">
        <v>1</v>
      </c>
      <c r="G879" s="13">
        <v>1</v>
      </c>
      <c r="H879" s="4"/>
      <c r="I879" s="4"/>
      <c r="J879" s="4"/>
      <c r="K879" s="4" t="s">
        <v>2028</v>
      </c>
      <c r="L879" s="4" t="s">
        <v>683</v>
      </c>
    </row>
    <row r="880" spans="1:12">
      <c r="A880" s="4" t="s">
        <v>2028</v>
      </c>
      <c r="B880" s="4" t="s">
        <v>2031</v>
      </c>
      <c r="C880" s="4" t="s">
        <v>801</v>
      </c>
      <c r="D880" s="4" t="s">
        <v>702</v>
      </c>
      <c r="E880" s="4" t="s">
        <v>326</v>
      </c>
      <c r="F880" s="13">
        <v>0</v>
      </c>
      <c r="G880" s="13">
        <v>1</v>
      </c>
      <c r="H880" s="4"/>
      <c r="I880" s="4"/>
      <c r="J880" s="4"/>
      <c r="K880" s="4" t="s">
        <v>304</v>
      </c>
      <c r="L880" s="4"/>
    </row>
    <row r="881" spans="1:12">
      <c r="A881" s="4" t="s">
        <v>2032</v>
      </c>
      <c r="B881" s="4" t="s">
        <v>2033</v>
      </c>
      <c r="C881" s="4" t="s">
        <v>801</v>
      </c>
      <c r="D881" s="4" t="s">
        <v>330</v>
      </c>
      <c r="E881" s="4" t="s">
        <v>326</v>
      </c>
      <c r="F881" s="13">
        <v>1</v>
      </c>
      <c r="G881" s="13">
        <v>2</v>
      </c>
      <c r="H881" s="4"/>
      <c r="I881" s="4"/>
      <c r="J881" s="4"/>
      <c r="K881" s="4" t="s">
        <v>2034</v>
      </c>
      <c r="L881" s="4" t="s">
        <v>683</v>
      </c>
    </row>
    <row r="882" spans="1:12">
      <c r="A882" s="4" t="s">
        <v>2035</v>
      </c>
      <c r="B882" s="4" t="s">
        <v>2036</v>
      </c>
      <c r="C882" s="4" t="s">
        <v>801</v>
      </c>
      <c r="D882" s="4" t="s">
        <v>330</v>
      </c>
      <c r="E882" s="4" t="s">
        <v>326</v>
      </c>
      <c r="F882" s="13">
        <v>1</v>
      </c>
      <c r="G882" s="13">
        <v>1</v>
      </c>
      <c r="H882" s="4"/>
      <c r="I882" s="4"/>
      <c r="J882" s="4"/>
      <c r="K882" s="4" t="s">
        <v>2034</v>
      </c>
      <c r="L882" s="4" t="s">
        <v>683</v>
      </c>
    </row>
    <row r="883" spans="1:12">
      <c r="A883" s="4" t="s">
        <v>2034</v>
      </c>
      <c r="B883" s="4" t="s">
        <v>2037</v>
      </c>
      <c r="C883" s="4" t="s">
        <v>801</v>
      </c>
      <c r="D883" s="4" t="s">
        <v>702</v>
      </c>
      <c r="E883" s="4" t="s">
        <v>326</v>
      </c>
      <c r="F883" s="13">
        <v>0</v>
      </c>
      <c r="G883" s="13">
        <v>1</v>
      </c>
      <c r="H883" s="4"/>
      <c r="I883" s="4"/>
      <c r="J883" s="4"/>
      <c r="K883" s="4" t="s">
        <v>304</v>
      </c>
      <c r="L883" s="4"/>
    </row>
    <row r="884" spans="1:12">
      <c r="A884" s="4" t="s">
        <v>2038</v>
      </c>
      <c r="B884" s="4" t="s">
        <v>2039</v>
      </c>
      <c r="C884" s="4" t="s">
        <v>801</v>
      </c>
      <c r="D884" s="4" t="s">
        <v>330</v>
      </c>
      <c r="E884" s="4" t="s">
        <v>326</v>
      </c>
      <c r="F884" s="13">
        <v>1</v>
      </c>
      <c r="G884" s="13">
        <v>2</v>
      </c>
      <c r="H884" s="4"/>
      <c r="I884" s="4"/>
      <c r="J884" s="4"/>
      <c r="K884" s="4" t="s">
        <v>2040</v>
      </c>
      <c r="L884" s="4" t="s">
        <v>683</v>
      </c>
    </row>
    <row r="885" spans="1:12">
      <c r="A885" s="4" t="s">
        <v>2041</v>
      </c>
      <c r="B885" s="4" t="s">
        <v>2042</v>
      </c>
      <c r="C885" s="4" t="s">
        <v>801</v>
      </c>
      <c r="D885" s="4" t="s">
        <v>330</v>
      </c>
      <c r="E885" s="4" t="s">
        <v>326</v>
      </c>
      <c r="F885" s="13">
        <v>1</v>
      </c>
      <c r="G885" s="13">
        <v>1</v>
      </c>
      <c r="H885" s="4"/>
      <c r="I885" s="4"/>
      <c r="J885" s="4"/>
      <c r="K885" s="4" t="s">
        <v>2040</v>
      </c>
      <c r="L885" s="4" t="s">
        <v>683</v>
      </c>
    </row>
    <row r="886" spans="1:12">
      <c r="A886" s="4" t="s">
        <v>2040</v>
      </c>
      <c r="B886" s="4" t="s">
        <v>2043</v>
      </c>
      <c r="C886" s="4" t="s">
        <v>801</v>
      </c>
      <c r="D886" s="4" t="s">
        <v>702</v>
      </c>
      <c r="E886" s="4" t="s">
        <v>326</v>
      </c>
      <c r="F886" s="13">
        <v>0</v>
      </c>
      <c r="G886" s="13">
        <v>1</v>
      </c>
      <c r="H886" s="4"/>
      <c r="I886" s="4"/>
      <c r="J886" s="4"/>
      <c r="K886" s="4" t="s">
        <v>304</v>
      </c>
      <c r="L886" s="4"/>
    </row>
    <row r="887" spans="1:12">
      <c r="A887" s="4" t="s">
        <v>2044</v>
      </c>
      <c r="B887" s="4" t="s">
        <v>2045</v>
      </c>
      <c r="C887" s="4" t="s">
        <v>801</v>
      </c>
      <c r="D887" s="4" t="s">
        <v>330</v>
      </c>
      <c r="E887" s="4" t="s">
        <v>326</v>
      </c>
      <c r="F887" s="13">
        <v>1</v>
      </c>
      <c r="G887" s="13">
        <v>2</v>
      </c>
      <c r="H887" s="4"/>
      <c r="I887" s="4"/>
      <c r="J887" s="4"/>
      <c r="K887" s="4" t="s">
        <v>2046</v>
      </c>
      <c r="L887" s="4" t="s">
        <v>683</v>
      </c>
    </row>
    <row r="888" spans="1:12">
      <c r="A888" s="4" t="s">
        <v>2047</v>
      </c>
      <c r="B888" s="4" t="s">
        <v>2048</v>
      </c>
      <c r="C888" s="4" t="s">
        <v>801</v>
      </c>
      <c r="D888" s="4" t="s">
        <v>330</v>
      </c>
      <c r="E888" s="4" t="s">
        <v>326</v>
      </c>
      <c r="F888" s="13">
        <v>1</v>
      </c>
      <c r="G888" s="13">
        <v>1</v>
      </c>
      <c r="H888" s="4"/>
      <c r="I888" s="4"/>
      <c r="J888" s="4"/>
      <c r="K888" s="4" t="s">
        <v>2046</v>
      </c>
      <c r="L888" s="4" t="s">
        <v>683</v>
      </c>
    </row>
    <row r="889" spans="1:12">
      <c r="A889" s="4" t="s">
        <v>2046</v>
      </c>
      <c r="B889" s="4" t="s">
        <v>2049</v>
      </c>
      <c r="C889" s="4" t="s">
        <v>801</v>
      </c>
      <c r="D889" s="4" t="s">
        <v>702</v>
      </c>
      <c r="E889" s="4" t="s">
        <v>326</v>
      </c>
      <c r="F889" s="13">
        <v>0</v>
      </c>
      <c r="G889" s="13">
        <v>1</v>
      </c>
      <c r="H889" s="4"/>
      <c r="I889" s="4"/>
      <c r="J889" s="4"/>
      <c r="K889" s="4" t="s">
        <v>304</v>
      </c>
      <c r="L889" s="4"/>
    </row>
    <row r="890" spans="1:12">
      <c r="A890" s="4" t="s">
        <v>2050</v>
      </c>
      <c r="B890" s="4" t="s">
        <v>2051</v>
      </c>
      <c r="C890" s="4" t="s">
        <v>801</v>
      </c>
      <c r="D890" s="4" t="s">
        <v>330</v>
      </c>
      <c r="E890" s="4" t="s">
        <v>326</v>
      </c>
      <c r="F890" s="13">
        <v>1</v>
      </c>
      <c r="G890" s="13">
        <v>2</v>
      </c>
      <c r="H890" s="4"/>
      <c r="I890" s="4"/>
      <c r="J890" s="4"/>
      <c r="K890" s="4" t="s">
        <v>2052</v>
      </c>
      <c r="L890" s="4" t="s">
        <v>683</v>
      </c>
    </row>
    <row r="891" spans="1:12">
      <c r="A891" s="4" t="s">
        <v>2053</v>
      </c>
      <c r="B891" s="4" t="s">
        <v>2054</v>
      </c>
      <c r="C891" s="4" t="s">
        <v>801</v>
      </c>
      <c r="D891" s="4" t="s">
        <v>330</v>
      </c>
      <c r="E891" s="4" t="s">
        <v>326</v>
      </c>
      <c r="F891" s="13">
        <v>1</v>
      </c>
      <c r="G891" s="13">
        <v>1</v>
      </c>
      <c r="H891" s="4"/>
      <c r="I891" s="4"/>
      <c r="J891" s="4"/>
      <c r="K891" s="4" t="s">
        <v>2052</v>
      </c>
      <c r="L891" s="4" t="s">
        <v>683</v>
      </c>
    </row>
    <row r="892" spans="1:12">
      <c r="A892" s="4" t="s">
        <v>2052</v>
      </c>
      <c r="B892" s="4" t="s">
        <v>2055</v>
      </c>
      <c r="C892" s="4" t="s">
        <v>801</v>
      </c>
      <c r="D892" s="4" t="s">
        <v>702</v>
      </c>
      <c r="E892" s="4" t="s">
        <v>326</v>
      </c>
      <c r="F892" s="13">
        <v>0</v>
      </c>
      <c r="G892" s="13">
        <v>1</v>
      </c>
      <c r="H892" s="4"/>
      <c r="I892" s="4"/>
      <c r="J892" s="4"/>
      <c r="K892" s="4" t="s">
        <v>304</v>
      </c>
      <c r="L892" s="4"/>
    </row>
    <row r="893" spans="1:12">
      <c r="A893" s="4" t="s">
        <v>2056</v>
      </c>
      <c r="B893" s="4" t="s">
        <v>2057</v>
      </c>
      <c r="C893" s="4" t="s">
        <v>801</v>
      </c>
      <c r="D893" s="4" t="s">
        <v>330</v>
      </c>
      <c r="E893" s="4" t="s">
        <v>326</v>
      </c>
      <c r="F893" s="13">
        <v>1</v>
      </c>
      <c r="G893" s="13">
        <v>2</v>
      </c>
      <c r="H893" s="4"/>
      <c r="I893" s="4"/>
      <c r="J893" s="4"/>
      <c r="K893" s="4" t="s">
        <v>2058</v>
      </c>
      <c r="L893" s="4" t="s">
        <v>683</v>
      </c>
    </row>
    <row r="894" spans="1:12">
      <c r="A894" s="4" t="s">
        <v>2059</v>
      </c>
      <c r="B894" s="4" t="s">
        <v>2060</v>
      </c>
      <c r="C894" s="4" t="s">
        <v>801</v>
      </c>
      <c r="D894" s="4" t="s">
        <v>330</v>
      </c>
      <c r="E894" s="4" t="s">
        <v>326</v>
      </c>
      <c r="F894" s="13">
        <v>1</v>
      </c>
      <c r="G894" s="13">
        <v>1</v>
      </c>
      <c r="H894" s="4"/>
      <c r="I894" s="4"/>
      <c r="J894" s="4"/>
      <c r="K894" s="4" t="s">
        <v>2058</v>
      </c>
      <c r="L894" s="4" t="s">
        <v>683</v>
      </c>
    </row>
    <row r="895" spans="1:12">
      <c r="A895" s="4" t="s">
        <v>2058</v>
      </c>
      <c r="B895" s="4" t="s">
        <v>2061</v>
      </c>
      <c r="C895" s="4" t="s">
        <v>801</v>
      </c>
      <c r="D895" s="4" t="s">
        <v>702</v>
      </c>
      <c r="E895" s="4" t="s">
        <v>326</v>
      </c>
      <c r="F895" s="13">
        <v>0</v>
      </c>
      <c r="G895" s="13">
        <v>1</v>
      </c>
      <c r="H895" s="4"/>
      <c r="I895" s="4"/>
      <c r="J895" s="4"/>
      <c r="K895" s="4" t="s">
        <v>304</v>
      </c>
      <c r="L895" s="4"/>
    </row>
    <row r="896" spans="1:12">
      <c r="A896" s="4" t="s">
        <v>2062</v>
      </c>
      <c r="B896" s="4" t="s">
        <v>2063</v>
      </c>
      <c r="C896" s="4" t="s">
        <v>801</v>
      </c>
      <c r="D896" s="4" t="s">
        <v>330</v>
      </c>
      <c r="E896" s="4" t="s">
        <v>326</v>
      </c>
      <c r="F896" s="13">
        <v>1</v>
      </c>
      <c r="G896" s="13">
        <v>2</v>
      </c>
      <c r="H896" s="4"/>
      <c r="I896" s="4"/>
      <c r="J896" s="4"/>
      <c r="K896" s="4" t="s">
        <v>2064</v>
      </c>
      <c r="L896" s="4" t="s">
        <v>683</v>
      </c>
    </row>
    <row r="897" spans="1:12">
      <c r="A897" s="4" t="s">
        <v>2065</v>
      </c>
      <c r="B897" s="4" t="s">
        <v>2066</v>
      </c>
      <c r="C897" s="4" t="s">
        <v>801</v>
      </c>
      <c r="D897" s="4" t="s">
        <v>330</v>
      </c>
      <c r="E897" s="4" t="s">
        <v>326</v>
      </c>
      <c r="F897" s="13">
        <v>1</v>
      </c>
      <c r="G897" s="13">
        <v>1</v>
      </c>
      <c r="H897" s="4"/>
      <c r="I897" s="4"/>
      <c r="J897" s="4"/>
      <c r="K897" s="4" t="s">
        <v>2064</v>
      </c>
      <c r="L897" s="4" t="s">
        <v>683</v>
      </c>
    </row>
    <row r="898" spans="1:12">
      <c r="A898" s="4" t="s">
        <v>2064</v>
      </c>
      <c r="B898" s="4" t="s">
        <v>2067</v>
      </c>
      <c r="C898" s="4" t="s">
        <v>801</v>
      </c>
      <c r="D898" s="4" t="s">
        <v>702</v>
      </c>
      <c r="E898" s="4" t="s">
        <v>326</v>
      </c>
      <c r="F898" s="13">
        <v>0</v>
      </c>
      <c r="G898" s="13">
        <v>1</v>
      </c>
      <c r="H898" s="4"/>
      <c r="I898" s="4"/>
      <c r="J898" s="4"/>
      <c r="K898" s="4" t="s">
        <v>304</v>
      </c>
      <c r="L898" s="4"/>
    </row>
    <row r="899" spans="1:12">
      <c r="A899" s="4" t="s">
        <v>2068</v>
      </c>
      <c r="B899" s="4" t="s">
        <v>2069</v>
      </c>
      <c r="C899" s="4" t="s">
        <v>801</v>
      </c>
      <c r="D899" s="4" t="s">
        <v>330</v>
      </c>
      <c r="E899" s="4" t="s">
        <v>326</v>
      </c>
      <c r="F899" s="13">
        <v>1</v>
      </c>
      <c r="G899" s="13">
        <v>2</v>
      </c>
      <c r="H899" s="4"/>
      <c r="I899" s="4"/>
      <c r="J899" s="4"/>
      <c r="K899" s="4" t="s">
        <v>2070</v>
      </c>
      <c r="L899" s="4" t="s">
        <v>683</v>
      </c>
    </row>
    <row r="900" spans="1:12">
      <c r="A900" s="4" t="s">
        <v>2071</v>
      </c>
      <c r="B900" s="4" t="s">
        <v>2072</v>
      </c>
      <c r="C900" s="4" t="s">
        <v>801</v>
      </c>
      <c r="D900" s="4" t="s">
        <v>330</v>
      </c>
      <c r="E900" s="4" t="s">
        <v>326</v>
      </c>
      <c r="F900" s="13">
        <v>1</v>
      </c>
      <c r="G900" s="13">
        <v>1</v>
      </c>
      <c r="H900" s="4"/>
      <c r="I900" s="4"/>
      <c r="J900" s="4"/>
      <c r="K900" s="4" t="s">
        <v>2070</v>
      </c>
      <c r="L900" s="4" t="s">
        <v>683</v>
      </c>
    </row>
    <row r="901" spans="1:12">
      <c r="A901" s="4" t="s">
        <v>2070</v>
      </c>
      <c r="B901" s="4" t="s">
        <v>2073</v>
      </c>
      <c r="C901" s="4" t="s">
        <v>801</v>
      </c>
      <c r="D901" s="4" t="s">
        <v>702</v>
      </c>
      <c r="E901" s="4" t="s">
        <v>326</v>
      </c>
      <c r="F901" s="13">
        <v>0</v>
      </c>
      <c r="G901" s="13">
        <v>1</v>
      </c>
      <c r="H901" s="4"/>
      <c r="I901" s="4"/>
      <c r="J901" s="4"/>
      <c r="K901" s="4" t="s">
        <v>304</v>
      </c>
      <c r="L901" s="4"/>
    </row>
    <row r="902" spans="1:12">
      <c r="A902" s="4" t="s">
        <v>2074</v>
      </c>
      <c r="B902" s="4" t="s">
        <v>2075</v>
      </c>
      <c r="C902" s="4" t="s">
        <v>801</v>
      </c>
      <c r="D902" s="4" t="s">
        <v>330</v>
      </c>
      <c r="E902" s="4" t="s">
        <v>326</v>
      </c>
      <c r="F902" s="13">
        <v>1</v>
      </c>
      <c r="G902" s="13">
        <v>2</v>
      </c>
      <c r="H902" s="4"/>
      <c r="I902" s="4"/>
      <c r="J902" s="4"/>
      <c r="K902" s="4" t="s">
        <v>2076</v>
      </c>
      <c r="L902" s="4" t="s">
        <v>683</v>
      </c>
    </row>
    <row r="903" spans="1:12">
      <c r="A903" s="4" t="s">
        <v>2077</v>
      </c>
      <c r="B903" s="4" t="s">
        <v>2078</v>
      </c>
      <c r="C903" s="4" t="s">
        <v>801</v>
      </c>
      <c r="D903" s="4" t="s">
        <v>330</v>
      </c>
      <c r="E903" s="4" t="s">
        <v>326</v>
      </c>
      <c r="F903" s="13">
        <v>1</v>
      </c>
      <c r="G903" s="13">
        <v>1</v>
      </c>
      <c r="H903" s="4"/>
      <c r="I903" s="4"/>
      <c r="J903" s="4"/>
      <c r="K903" s="4" t="s">
        <v>2076</v>
      </c>
      <c r="L903" s="4" t="s">
        <v>683</v>
      </c>
    </row>
    <row r="904" spans="1:12">
      <c r="A904" s="4" t="s">
        <v>2076</v>
      </c>
      <c r="B904" s="4" t="s">
        <v>2079</v>
      </c>
      <c r="C904" s="4" t="s">
        <v>801</v>
      </c>
      <c r="D904" s="4" t="s">
        <v>702</v>
      </c>
      <c r="E904" s="4" t="s">
        <v>326</v>
      </c>
      <c r="F904" s="13">
        <v>0</v>
      </c>
      <c r="G904" s="13">
        <v>1</v>
      </c>
      <c r="H904" s="4"/>
      <c r="I904" s="4"/>
      <c r="J904" s="4"/>
      <c r="K904" s="4" t="s">
        <v>304</v>
      </c>
      <c r="L904" s="4"/>
    </row>
    <row r="905" spans="1:12">
      <c r="A905" s="4" t="s">
        <v>2080</v>
      </c>
      <c r="B905" s="4" t="s">
        <v>2081</v>
      </c>
      <c r="C905" s="4" t="s">
        <v>801</v>
      </c>
      <c r="D905" s="4" t="s">
        <v>330</v>
      </c>
      <c r="E905" s="4" t="s">
        <v>326</v>
      </c>
      <c r="F905" s="13">
        <v>1</v>
      </c>
      <c r="G905" s="13">
        <v>2</v>
      </c>
      <c r="H905" s="4"/>
      <c r="I905" s="4"/>
      <c r="J905" s="4"/>
      <c r="K905" s="4" t="s">
        <v>2082</v>
      </c>
      <c r="L905" s="4" t="s">
        <v>683</v>
      </c>
    </row>
    <row r="906" spans="1:12">
      <c r="A906" s="4" t="s">
        <v>2083</v>
      </c>
      <c r="B906" s="4" t="s">
        <v>2084</v>
      </c>
      <c r="C906" s="4" t="s">
        <v>801</v>
      </c>
      <c r="D906" s="4" t="s">
        <v>330</v>
      </c>
      <c r="E906" s="4" t="s">
        <v>326</v>
      </c>
      <c r="F906" s="13">
        <v>1</v>
      </c>
      <c r="G906" s="13">
        <v>1</v>
      </c>
      <c r="H906" s="4"/>
      <c r="I906" s="4"/>
      <c r="J906" s="4"/>
      <c r="K906" s="4" t="s">
        <v>2082</v>
      </c>
      <c r="L906" s="4" t="s">
        <v>683</v>
      </c>
    </row>
    <row r="907" spans="1:12">
      <c r="A907" s="4" t="s">
        <v>2082</v>
      </c>
      <c r="B907" s="4" t="s">
        <v>2085</v>
      </c>
      <c r="C907" s="4" t="s">
        <v>801</v>
      </c>
      <c r="D907" s="4" t="s">
        <v>702</v>
      </c>
      <c r="E907" s="4" t="s">
        <v>326</v>
      </c>
      <c r="F907" s="13">
        <v>0</v>
      </c>
      <c r="G907" s="13">
        <v>1</v>
      </c>
      <c r="H907" s="4"/>
      <c r="I907" s="4"/>
      <c r="J907" s="4"/>
      <c r="K907" s="4" t="s">
        <v>304</v>
      </c>
      <c r="L907" s="4"/>
    </row>
    <row r="908" spans="1:12">
      <c r="A908" s="4" t="s">
        <v>2086</v>
      </c>
      <c r="B908" s="4" t="s">
        <v>2087</v>
      </c>
      <c r="C908" s="4" t="s">
        <v>801</v>
      </c>
      <c r="D908" s="4" t="s">
        <v>330</v>
      </c>
      <c r="E908" s="4" t="s">
        <v>326</v>
      </c>
      <c r="F908" s="13">
        <v>1</v>
      </c>
      <c r="G908" s="13">
        <v>2</v>
      </c>
      <c r="H908" s="4"/>
      <c r="I908" s="4"/>
      <c r="J908" s="4"/>
      <c r="K908" s="4" t="s">
        <v>2088</v>
      </c>
      <c r="L908" s="4" t="s">
        <v>683</v>
      </c>
    </row>
    <row r="909" spans="1:12">
      <c r="A909" s="4" t="s">
        <v>2089</v>
      </c>
      <c r="B909" s="4" t="s">
        <v>2090</v>
      </c>
      <c r="C909" s="4" t="s">
        <v>801</v>
      </c>
      <c r="D909" s="4" t="s">
        <v>330</v>
      </c>
      <c r="E909" s="4" t="s">
        <v>326</v>
      </c>
      <c r="F909" s="13">
        <v>1</v>
      </c>
      <c r="G909" s="13">
        <v>1</v>
      </c>
      <c r="H909" s="4"/>
      <c r="I909" s="4"/>
      <c r="J909" s="4"/>
      <c r="K909" s="4" t="s">
        <v>2088</v>
      </c>
      <c r="L909" s="4" t="s">
        <v>683</v>
      </c>
    </row>
    <row r="910" spans="1:12">
      <c r="A910" s="4" t="s">
        <v>2088</v>
      </c>
      <c r="B910" s="4" t="s">
        <v>2091</v>
      </c>
      <c r="C910" s="4" t="s">
        <v>801</v>
      </c>
      <c r="D910" s="4" t="s">
        <v>702</v>
      </c>
      <c r="E910" s="4" t="s">
        <v>326</v>
      </c>
      <c r="F910" s="13">
        <v>0</v>
      </c>
      <c r="G910" s="13">
        <v>1</v>
      </c>
      <c r="H910" s="4"/>
      <c r="I910" s="4"/>
      <c r="J910" s="4"/>
      <c r="K910" s="4" t="s">
        <v>304</v>
      </c>
      <c r="L910" s="4"/>
    </row>
    <row r="911" spans="1:12">
      <c r="A911" s="4" t="s">
        <v>2092</v>
      </c>
      <c r="B911" s="4" t="s">
        <v>2093</v>
      </c>
      <c r="C911" s="4" t="s">
        <v>801</v>
      </c>
      <c r="D911" s="4" t="s">
        <v>330</v>
      </c>
      <c r="E911" s="4" t="s">
        <v>326</v>
      </c>
      <c r="F911" s="13">
        <v>1</v>
      </c>
      <c r="G911" s="13">
        <v>2</v>
      </c>
      <c r="H911" s="4"/>
      <c r="I911" s="4"/>
      <c r="J911" s="4"/>
      <c r="K911" s="4" t="s">
        <v>2094</v>
      </c>
      <c r="L911" s="4" t="s">
        <v>683</v>
      </c>
    </row>
    <row r="912" spans="1:12">
      <c r="A912" s="4" t="s">
        <v>2095</v>
      </c>
      <c r="B912" s="4" t="s">
        <v>2096</v>
      </c>
      <c r="C912" s="4" t="s">
        <v>801</v>
      </c>
      <c r="D912" s="4" t="s">
        <v>330</v>
      </c>
      <c r="E912" s="4" t="s">
        <v>326</v>
      </c>
      <c r="F912" s="13">
        <v>1</v>
      </c>
      <c r="G912" s="13">
        <v>1</v>
      </c>
      <c r="H912" s="4"/>
      <c r="I912" s="4"/>
      <c r="J912" s="4"/>
      <c r="K912" s="4" t="s">
        <v>2094</v>
      </c>
      <c r="L912" s="4" t="s">
        <v>683</v>
      </c>
    </row>
    <row r="913" spans="1:12">
      <c r="A913" s="4" t="s">
        <v>2094</v>
      </c>
      <c r="B913" s="4" t="s">
        <v>2097</v>
      </c>
      <c r="C913" s="4" t="s">
        <v>801</v>
      </c>
      <c r="D913" s="4" t="s">
        <v>702</v>
      </c>
      <c r="E913" s="4" t="s">
        <v>326</v>
      </c>
      <c r="F913" s="13">
        <v>0</v>
      </c>
      <c r="G913" s="13">
        <v>1</v>
      </c>
      <c r="H913" s="4"/>
      <c r="I913" s="4"/>
      <c r="J913" s="4"/>
      <c r="K913" s="4" t="s">
        <v>304</v>
      </c>
      <c r="L913" s="4"/>
    </row>
    <row r="914" spans="1:12">
      <c r="A914" s="4" t="s">
        <v>2098</v>
      </c>
      <c r="B914" s="4" t="s">
        <v>2099</v>
      </c>
      <c r="C914" s="4" t="s">
        <v>801</v>
      </c>
      <c r="D914" s="4" t="s">
        <v>330</v>
      </c>
      <c r="E914" s="4" t="s">
        <v>326</v>
      </c>
      <c r="F914" s="13">
        <v>1</v>
      </c>
      <c r="G914" s="13">
        <v>2</v>
      </c>
      <c r="H914" s="4"/>
      <c r="I914" s="4"/>
      <c r="J914" s="4"/>
      <c r="K914" s="4" t="s">
        <v>2100</v>
      </c>
      <c r="L914" s="4" t="s">
        <v>683</v>
      </c>
    </row>
    <row r="915" spans="1:12">
      <c r="A915" s="4" t="s">
        <v>2101</v>
      </c>
      <c r="B915" s="4" t="s">
        <v>2102</v>
      </c>
      <c r="C915" s="4" t="s">
        <v>801</v>
      </c>
      <c r="D915" s="4" t="s">
        <v>330</v>
      </c>
      <c r="E915" s="4" t="s">
        <v>326</v>
      </c>
      <c r="F915" s="13">
        <v>1</v>
      </c>
      <c r="G915" s="13">
        <v>1</v>
      </c>
      <c r="H915" s="4"/>
      <c r="I915" s="4"/>
      <c r="J915" s="4"/>
      <c r="K915" s="4" t="s">
        <v>2100</v>
      </c>
      <c r="L915" s="4" t="s">
        <v>683</v>
      </c>
    </row>
    <row r="916" spans="1:12">
      <c r="A916" s="4" t="s">
        <v>2100</v>
      </c>
      <c r="B916" s="4" t="s">
        <v>2103</v>
      </c>
      <c r="C916" s="4" t="s">
        <v>801</v>
      </c>
      <c r="D916" s="4" t="s">
        <v>702</v>
      </c>
      <c r="E916" s="4" t="s">
        <v>326</v>
      </c>
      <c r="F916" s="13">
        <v>0</v>
      </c>
      <c r="G916" s="13">
        <v>1</v>
      </c>
      <c r="H916" s="4"/>
      <c r="I916" s="4"/>
      <c r="J916" s="4"/>
      <c r="K916" s="4" t="s">
        <v>304</v>
      </c>
      <c r="L916" s="4"/>
    </row>
    <row r="917" spans="1:12">
      <c r="A917" s="4" t="s">
        <v>2104</v>
      </c>
      <c r="B917" s="4" t="s">
        <v>2105</v>
      </c>
      <c r="C917" s="4" t="s">
        <v>801</v>
      </c>
      <c r="D917" s="4" t="s">
        <v>330</v>
      </c>
      <c r="E917" s="4" t="s">
        <v>326</v>
      </c>
      <c r="F917" s="13">
        <v>1</v>
      </c>
      <c r="G917" s="13">
        <v>2</v>
      </c>
      <c r="H917" s="4"/>
      <c r="I917" s="4"/>
      <c r="J917" s="4"/>
      <c r="K917" s="4" t="s">
        <v>2106</v>
      </c>
      <c r="L917" s="4" t="s">
        <v>683</v>
      </c>
    </row>
    <row r="918" spans="1:12">
      <c r="A918" s="4" t="s">
        <v>2107</v>
      </c>
      <c r="B918" s="4" t="s">
        <v>2108</v>
      </c>
      <c r="C918" s="4" t="s">
        <v>801</v>
      </c>
      <c r="D918" s="4" t="s">
        <v>330</v>
      </c>
      <c r="E918" s="4" t="s">
        <v>326</v>
      </c>
      <c r="F918" s="13">
        <v>1</v>
      </c>
      <c r="G918" s="13">
        <v>1</v>
      </c>
      <c r="H918" s="4"/>
      <c r="I918" s="4"/>
      <c r="J918" s="4"/>
      <c r="K918" s="4" t="s">
        <v>2106</v>
      </c>
      <c r="L918" s="4" t="s">
        <v>683</v>
      </c>
    </row>
    <row r="919" spans="1:12">
      <c r="A919" s="4" t="s">
        <v>2106</v>
      </c>
      <c r="B919" s="4" t="s">
        <v>2109</v>
      </c>
      <c r="C919" s="4" t="s">
        <v>801</v>
      </c>
      <c r="D919" s="4" t="s">
        <v>702</v>
      </c>
      <c r="E919" s="4" t="s">
        <v>326</v>
      </c>
      <c r="F919" s="13">
        <v>0</v>
      </c>
      <c r="G919" s="13">
        <v>1</v>
      </c>
      <c r="H919" s="4"/>
      <c r="I919" s="4"/>
      <c r="J919" s="4"/>
      <c r="K919" s="4" t="s">
        <v>304</v>
      </c>
      <c r="L919" s="4"/>
    </row>
    <row r="920" spans="1:12">
      <c r="A920" s="4" t="s">
        <v>2110</v>
      </c>
      <c r="B920" s="4" t="s">
        <v>2111</v>
      </c>
      <c r="C920" s="4" t="s">
        <v>801</v>
      </c>
      <c r="D920" s="4" t="s">
        <v>330</v>
      </c>
      <c r="E920" s="4" t="s">
        <v>326</v>
      </c>
      <c r="F920" s="13">
        <v>1</v>
      </c>
      <c r="G920" s="13">
        <v>2</v>
      </c>
      <c r="H920" s="4"/>
      <c r="I920" s="4"/>
      <c r="J920" s="4"/>
      <c r="K920" s="4" t="s">
        <v>2112</v>
      </c>
      <c r="L920" s="4" t="s">
        <v>683</v>
      </c>
    </row>
    <row r="921" spans="1:12">
      <c r="A921" s="4" t="s">
        <v>2113</v>
      </c>
      <c r="B921" s="4" t="s">
        <v>2114</v>
      </c>
      <c r="C921" s="4" t="s">
        <v>801</v>
      </c>
      <c r="D921" s="4" t="s">
        <v>330</v>
      </c>
      <c r="E921" s="4" t="s">
        <v>326</v>
      </c>
      <c r="F921" s="13">
        <v>1</v>
      </c>
      <c r="G921" s="13">
        <v>1</v>
      </c>
      <c r="H921" s="4"/>
      <c r="I921" s="4"/>
      <c r="J921" s="4"/>
      <c r="K921" s="4" t="s">
        <v>2112</v>
      </c>
      <c r="L921" s="4" t="s">
        <v>683</v>
      </c>
    </row>
    <row r="922" spans="1:12">
      <c r="A922" s="4" t="s">
        <v>2112</v>
      </c>
      <c r="B922" s="4" t="s">
        <v>2115</v>
      </c>
      <c r="C922" s="4" t="s">
        <v>801</v>
      </c>
      <c r="D922" s="4" t="s">
        <v>702</v>
      </c>
      <c r="E922" s="4" t="s">
        <v>326</v>
      </c>
      <c r="F922" s="13">
        <v>0</v>
      </c>
      <c r="G922" s="13">
        <v>1</v>
      </c>
      <c r="H922" s="4"/>
      <c r="I922" s="4"/>
      <c r="J922" s="4"/>
      <c r="K922" s="4" t="s">
        <v>304</v>
      </c>
      <c r="L922" s="4"/>
    </row>
    <row r="923" spans="1:12">
      <c r="A923" s="4" t="s">
        <v>2116</v>
      </c>
      <c r="B923" s="4" t="s">
        <v>2117</v>
      </c>
      <c r="C923" s="4" t="s">
        <v>801</v>
      </c>
      <c r="D923" s="4" t="s">
        <v>330</v>
      </c>
      <c r="E923" s="4" t="s">
        <v>326</v>
      </c>
      <c r="F923" s="13">
        <v>1</v>
      </c>
      <c r="G923" s="13">
        <v>2</v>
      </c>
      <c r="H923" s="4"/>
      <c r="I923" s="4"/>
      <c r="J923" s="4"/>
      <c r="K923" s="4" t="s">
        <v>2118</v>
      </c>
      <c r="L923" s="4" t="s">
        <v>683</v>
      </c>
    </row>
    <row r="924" spans="1:12">
      <c r="A924" s="4" t="s">
        <v>2119</v>
      </c>
      <c r="B924" s="4" t="s">
        <v>2120</v>
      </c>
      <c r="C924" s="4" t="s">
        <v>801</v>
      </c>
      <c r="D924" s="4" t="s">
        <v>330</v>
      </c>
      <c r="E924" s="4" t="s">
        <v>326</v>
      </c>
      <c r="F924" s="13">
        <v>1</v>
      </c>
      <c r="G924" s="13">
        <v>1</v>
      </c>
      <c r="H924" s="4"/>
      <c r="I924" s="4"/>
      <c r="J924" s="4"/>
      <c r="K924" s="4" t="s">
        <v>2118</v>
      </c>
      <c r="L924" s="4" t="s">
        <v>683</v>
      </c>
    </row>
    <row r="925" spans="1:12">
      <c r="A925" s="4" t="s">
        <v>2118</v>
      </c>
      <c r="B925" s="4" t="s">
        <v>2121</v>
      </c>
      <c r="C925" s="4" t="s">
        <v>801</v>
      </c>
      <c r="D925" s="4" t="s">
        <v>702</v>
      </c>
      <c r="E925" s="4" t="s">
        <v>326</v>
      </c>
      <c r="F925" s="13">
        <v>0</v>
      </c>
      <c r="G925" s="13">
        <v>1</v>
      </c>
      <c r="H925" s="4"/>
      <c r="I925" s="4"/>
      <c r="J925" s="4"/>
      <c r="K925" s="4" t="s">
        <v>304</v>
      </c>
      <c r="L925" s="4"/>
    </row>
    <row r="926" spans="1:12">
      <c r="A926" s="4" t="s">
        <v>296</v>
      </c>
      <c r="B926" s="4" t="s">
        <v>2122</v>
      </c>
      <c r="C926" s="4" t="s">
        <v>801</v>
      </c>
      <c r="D926" s="4" t="s">
        <v>330</v>
      </c>
      <c r="E926" s="4" t="s">
        <v>326</v>
      </c>
      <c r="F926" s="13">
        <v>1</v>
      </c>
      <c r="G926" s="13">
        <v>2</v>
      </c>
      <c r="H926" s="4"/>
      <c r="I926" s="4"/>
      <c r="J926" s="4"/>
      <c r="K926" s="4" t="s">
        <v>300</v>
      </c>
      <c r="L926" s="4" t="s">
        <v>683</v>
      </c>
    </row>
    <row r="927" spans="1:12">
      <c r="A927" s="4" t="s">
        <v>298</v>
      </c>
      <c r="B927" s="4" t="s">
        <v>2123</v>
      </c>
      <c r="C927" s="4" t="s">
        <v>801</v>
      </c>
      <c r="D927" s="4" t="s">
        <v>330</v>
      </c>
      <c r="E927" s="4" t="s">
        <v>326</v>
      </c>
      <c r="F927" s="13">
        <v>1</v>
      </c>
      <c r="G927" s="13">
        <v>1</v>
      </c>
      <c r="H927" s="4"/>
      <c r="I927" s="4"/>
      <c r="J927" s="4"/>
      <c r="K927" s="4" t="s">
        <v>300</v>
      </c>
      <c r="L927" s="4" t="s">
        <v>683</v>
      </c>
    </row>
    <row r="928" spans="1:12">
      <c r="A928" s="4" t="s">
        <v>300</v>
      </c>
      <c r="B928" s="4" t="s">
        <v>301</v>
      </c>
      <c r="C928" s="4" t="s">
        <v>801</v>
      </c>
      <c r="D928" s="4" t="s">
        <v>702</v>
      </c>
      <c r="E928" s="4" t="s">
        <v>326</v>
      </c>
      <c r="F928" s="13">
        <v>0</v>
      </c>
      <c r="G928" s="13">
        <v>1</v>
      </c>
      <c r="H928" s="4"/>
      <c r="I928" s="4"/>
      <c r="J928" s="4"/>
      <c r="K928" s="4" t="s">
        <v>304</v>
      </c>
      <c r="L928" s="4"/>
    </row>
    <row r="929" spans="1:12">
      <c r="A929" s="4" t="s">
        <v>2124</v>
      </c>
      <c r="B929" s="4" t="s">
        <v>2125</v>
      </c>
      <c r="C929" s="4" t="s">
        <v>801</v>
      </c>
      <c r="D929" s="4" t="s">
        <v>330</v>
      </c>
      <c r="E929" s="4" t="s">
        <v>326</v>
      </c>
      <c r="F929" s="13">
        <v>1</v>
      </c>
      <c r="G929" s="13">
        <v>2</v>
      </c>
      <c r="H929" s="4"/>
      <c r="I929" s="4"/>
      <c r="J929" s="4"/>
      <c r="K929" s="4" t="s">
        <v>2126</v>
      </c>
      <c r="L929" s="4" t="s">
        <v>683</v>
      </c>
    </row>
    <row r="930" spans="1:12">
      <c r="A930" s="4" t="s">
        <v>2127</v>
      </c>
      <c r="B930" s="4" t="s">
        <v>2128</v>
      </c>
      <c r="C930" s="4" t="s">
        <v>801</v>
      </c>
      <c r="D930" s="4" t="s">
        <v>330</v>
      </c>
      <c r="E930" s="4" t="s">
        <v>326</v>
      </c>
      <c r="F930" s="13">
        <v>1</v>
      </c>
      <c r="G930" s="13">
        <v>1</v>
      </c>
      <c r="H930" s="4"/>
      <c r="I930" s="4"/>
      <c r="J930" s="4"/>
      <c r="K930" s="4" t="s">
        <v>2126</v>
      </c>
      <c r="L930" s="4" t="s">
        <v>683</v>
      </c>
    </row>
    <row r="931" spans="1:12">
      <c r="A931" s="4" t="s">
        <v>2126</v>
      </c>
      <c r="B931" s="4" t="s">
        <v>2129</v>
      </c>
      <c r="C931" s="4" t="s">
        <v>801</v>
      </c>
      <c r="D931" s="4" t="s">
        <v>702</v>
      </c>
      <c r="E931" s="4" t="s">
        <v>326</v>
      </c>
      <c r="F931" s="13">
        <v>0</v>
      </c>
      <c r="G931" s="13">
        <v>1</v>
      </c>
      <c r="H931" s="4"/>
      <c r="I931" s="4"/>
      <c r="J931" s="4"/>
      <c r="K931" s="4" t="s">
        <v>304</v>
      </c>
      <c r="L931" s="4"/>
    </row>
    <row r="932" spans="1:12">
      <c r="A932" s="4" t="s">
        <v>2130</v>
      </c>
      <c r="B932" s="4" t="s">
        <v>2131</v>
      </c>
      <c r="C932" s="4" t="s">
        <v>801</v>
      </c>
      <c r="D932" s="4" t="s">
        <v>330</v>
      </c>
      <c r="E932" s="4" t="s">
        <v>326</v>
      </c>
      <c r="F932" s="13">
        <v>1</v>
      </c>
      <c r="G932" s="13">
        <v>2</v>
      </c>
      <c r="H932" s="4"/>
      <c r="I932" s="4"/>
      <c r="J932" s="4"/>
      <c r="K932" s="4" t="s">
        <v>2132</v>
      </c>
      <c r="L932" s="4" t="s">
        <v>683</v>
      </c>
    </row>
    <row r="933" spans="1:12">
      <c r="A933" s="4" t="s">
        <v>2133</v>
      </c>
      <c r="B933" s="4" t="s">
        <v>2134</v>
      </c>
      <c r="C933" s="4" t="s">
        <v>801</v>
      </c>
      <c r="D933" s="4" t="s">
        <v>330</v>
      </c>
      <c r="E933" s="4" t="s">
        <v>326</v>
      </c>
      <c r="F933" s="13">
        <v>1</v>
      </c>
      <c r="G933" s="13">
        <v>1</v>
      </c>
      <c r="H933" s="4"/>
      <c r="I933" s="4"/>
      <c r="J933" s="4"/>
      <c r="K933" s="4" t="s">
        <v>2132</v>
      </c>
      <c r="L933" s="4" t="s">
        <v>683</v>
      </c>
    </row>
    <row r="934" spans="1:12">
      <c r="A934" s="4" t="s">
        <v>2132</v>
      </c>
      <c r="B934" s="4" t="s">
        <v>2135</v>
      </c>
      <c r="C934" s="4" t="s">
        <v>801</v>
      </c>
      <c r="D934" s="4" t="s">
        <v>702</v>
      </c>
      <c r="E934" s="4" t="s">
        <v>326</v>
      </c>
      <c r="F934" s="13">
        <v>0</v>
      </c>
      <c r="G934" s="13">
        <v>1</v>
      </c>
      <c r="H934" s="4"/>
      <c r="I934" s="4"/>
      <c r="J934" s="4"/>
      <c r="K934" s="4" t="s">
        <v>304</v>
      </c>
      <c r="L934" s="4"/>
    </row>
    <row r="935" spans="1:12">
      <c r="A935" s="4" t="s">
        <v>2136</v>
      </c>
      <c r="B935" s="4" t="s">
        <v>2137</v>
      </c>
      <c r="C935" s="4" t="s">
        <v>801</v>
      </c>
      <c r="D935" s="4" t="s">
        <v>330</v>
      </c>
      <c r="E935" s="4" t="s">
        <v>326</v>
      </c>
      <c r="F935" s="13">
        <v>1</v>
      </c>
      <c r="G935" s="13">
        <v>2</v>
      </c>
      <c r="H935" s="4"/>
      <c r="I935" s="4"/>
      <c r="J935" s="4"/>
      <c r="K935" s="4" t="s">
        <v>2138</v>
      </c>
      <c r="L935" s="4" t="s">
        <v>683</v>
      </c>
    </row>
    <row r="936" spans="1:12">
      <c r="A936" s="4" t="s">
        <v>2139</v>
      </c>
      <c r="B936" s="4" t="s">
        <v>2140</v>
      </c>
      <c r="C936" s="4" t="s">
        <v>801</v>
      </c>
      <c r="D936" s="4" t="s">
        <v>330</v>
      </c>
      <c r="E936" s="4" t="s">
        <v>326</v>
      </c>
      <c r="F936" s="13">
        <v>1</v>
      </c>
      <c r="G936" s="13">
        <v>1</v>
      </c>
      <c r="H936" s="4"/>
      <c r="I936" s="4"/>
      <c r="J936" s="4"/>
      <c r="K936" s="4" t="s">
        <v>2138</v>
      </c>
      <c r="L936" s="4" t="s">
        <v>683</v>
      </c>
    </row>
    <row r="937" spans="1:12">
      <c r="A937" s="4" t="s">
        <v>2138</v>
      </c>
      <c r="B937" s="4" t="s">
        <v>2141</v>
      </c>
      <c r="C937" s="4" t="s">
        <v>801</v>
      </c>
      <c r="D937" s="4" t="s">
        <v>702</v>
      </c>
      <c r="E937" s="4" t="s">
        <v>326</v>
      </c>
      <c r="F937" s="13">
        <v>0</v>
      </c>
      <c r="G937" s="13">
        <v>1</v>
      </c>
      <c r="H937" s="4"/>
      <c r="I937" s="4"/>
      <c r="J937" s="4"/>
      <c r="K937" s="4" t="s">
        <v>304</v>
      </c>
      <c r="L937" s="4"/>
    </row>
    <row r="938" spans="1:12">
      <c r="A938" s="4" t="s">
        <v>2142</v>
      </c>
      <c r="B938" s="4" t="s">
        <v>2143</v>
      </c>
      <c r="C938" s="4" t="s">
        <v>801</v>
      </c>
      <c r="D938" s="4" t="s">
        <v>330</v>
      </c>
      <c r="E938" s="4" t="s">
        <v>326</v>
      </c>
      <c r="F938" s="13">
        <v>1</v>
      </c>
      <c r="G938" s="13">
        <v>2</v>
      </c>
      <c r="H938" s="4"/>
      <c r="I938" s="4"/>
      <c r="J938" s="4"/>
      <c r="K938" s="4" t="s">
        <v>2144</v>
      </c>
      <c r="L938" s="4" t="s">
        <v>683</v>
      </c>
    </row>
    <row r="939" spans="1:12">
      <c r="A939" s="4" t="s">
        <v>2145</v>
      </c>
      <c r="B939" s="4" t="s">
        <v>2146</v>
      </c>
      <c r="C939" s="4" t="s">
        <v>801</v>
      </c>
      <c r="D939" s="4" t="s">
        <v>330</v>
      </c>
      <c r="E939" s="4" t="s">
        <v>326</v>
      </c>
      <c r="F939" s="13">
        <v>1</v>
      </c>
      <c r="G939" s="13">
        <v>1</v>
      </c>
      <c r="H939" s="4"/>
      <c r="I939" s="4"/>
      <c r="J939" s="4"/>
      <c r="K939" s="4" t="s">
        <v>2144</v>
      </c>
      <c r="L939" s="4" t="s">
        <v>683</v>
      </c>
    </row>
    <row r="940" spans="1:12">
      <c r="A940" s="4" t="s">
        <v>2144</v>
      </c>
      <c r="B940" s="4" t="s">
        <v>2147</v>
      </c>
      <c r="C940" s="4" t="s">
        <v>801</v>
      </c>
      <c r="D940" s="4" t="s">
        <v>702</v>
      </c>
      <c r="E940" s="4" t="s">
        <v>326</v>
      </c>
      <c r="F940" s="13">
        <v>0</v>
      </c>
      <c r="G940" s="13">
        <v>1</v>
      </c>
      <c r="H940" s="4"/>
      <c r="I940" s="4"/>
      <c r="J940" s="4"/>
      <c r="K940" s="4" t="s">
        <v>304</v>
      </c>
      <c r="L940" s="4"/>
    </row>
    <row r="941" spans="1:12">
      <c r="A941" s="4" t="s">
        <v>2148</v>
      </c>
      <c r="B941" s="4" t="s">
        <v>2149</v>
      </c>
      <c r="C941" s="4" t="s">
        <v>801</v>
      </c>
      <c r="D941" s="4" t="s">
        <v>330</v>
      </c>
      <c r="E941" s="4" t="s">
        <v>326</v>
      </c>
      <c r="F941" s="13">
        <v>1</v>
      </c>
      <c r="G941" s="13">
        <v>2</v>
      </c>
      <c r="H941" s="4"/>
      <c r="I941" s="4"/>
      <c r="J941" s="4"/>
      <c r="K941" s="4" t="s">
        <v>2150</v>
      </c>
      <c r="L941" s="4" t="s">
        <v>683</v>
      </c>
    </row>
    <row r="942" spans="1:12">
      <c r="A942" s="4" t="s">
        <v>2151</v>
      </c>
      <c r="B942" s="4" t="s">
        <v>2152</v>
      </c>
      <c r="C942" s="4" t="s">
        <v>801</v>
      </c>
      <c r="D942" s="4" t="s">
        <v>330</v>
      </c>
      <c r="E942" s="4" t="s">
        <v>326</v>
      </c>
      <c r="F942" s="13">
        <v>1</v>
      </c>
      <c r="G942" s="13">
        <v>1</v>
      </c>
      <c r="H942" s="4"/>
      <c r="I942" s="4"/>
      <c r="J942" s="4"/>
      <c r="K942" s="4" t="s">
        <v>2150</v>
      </c>
      <c r="L942" s="4" t="s">
        <v>683</v>
      </c>
    </row>
    <row r="943" spans="1:12">
      <c r="A943" s="4" t="s">
        <v>2150</v>
      </c>
      <c r="B943" s="4" t="s">
        <v>2153</v>
      </c>
      <c r="C943" s="4" t="s">
        <v>801</v>
      </c>
      <c r="D943" s="4" t="s">
        <v>702</v>
      </c>
      <c r="E943" s="4" t="s">
        <v>326</v>
      </c>
      <c r="F943" s="13">
        <v>0</v>
      </c>
      <c r="G943" s="13">
        <v>1</v>
      </c>
      <c r="H943" s="4"/>
      <c r="I943" s="4"/>
      <c r="J943" s="4"/>
      <c r="K943" s="4" t="s">
        <v>304</v>
      </c>
      <c r="L943" s="4"/>
    </row>
    <row r="944" spans="1:12">
      <c r="A944" s="4" t="s">
        <v>2154</v>
      </c>
      <c r="B944" s="4" t="s">
        <v>2155</v>
      </c>
      <c r="C944" s="4" t="s">
        <v>801</v>
      </c>
      <c r="D944" s="4" t="s">
        <v>330</v>
      </c>
      <c r="E944" s="4" t="s">
        <v>326</v>
      </c>
      <c r="F944" s="13">
        <v>1</v>
      </c>
      <c r="G944" s="13">
        <v>2</v>
      </c>
      <c r="H944" s="4"/>
      <c r="I944" s="4"/>
      <c r="J944" s="4"/>
      <c r="K944" s="4" t="s">
        <v>2156</v>
      </c>
      <c r="L944" s="4" t="s">
        <v>683</v>
      </c>
    </row>
    <row r="945" spans="1:12">
      <c r="A945" s="4" t="s">
        <v>2157</v>
      </c>
      <c r="B945" s="4" t="s">
        <v>2158</v>
      </c>
      <c r="C945" s="4" t="s">
        <v>801</v>
      </c>
      <c r="D945" s="4" t="s">
        <v>330</v>
      </c>
      <c r="E945" s="4" t="s">
        <v>326</v>
      </c>
      <c r="F945" s="13">
        <v>1</v>
      </c>
      <c r="G945" s="13">
        <v>1</v>
      </c>
      <c r="H945" s="4"/>
      <c r="I945" s="4"/>
      <c r="J945" s="4"/>
      <c r="K945" s="4" t="s">
        <v>2156</v>
      </c>
      <c r="L945" s="4" t="s">
        <v>683</v>
      </c>
    </row>
    <row r="946" spans="1:12">
      <c r="A946" s="4" t="s">
        <v>2156</v>
      </c>
      <c r="B946" s="4" t="s">
        <v>2159</v>
      </c>
      <c r="C946" s="4" t="s">
        <v>801</v>
      </c>
      <c r="D946" s="4" t="s">
        <v>702</v>
      </c>
      <c r="E946" s="4" t="s">
        <v>326</v>
      </c>
      <c r="F946" s="13">
        <v>0</v>
      </c>
      <c r="G946" s="13">
        <v>1</v>
      </c>
      <c r="H946" s="4"/>
      <c r="I946" s="4"/>
      <c r="J946" s="4"/>
      <c r="K946" s="4" t="s">
        <v>304</v>
      </c>
      <c r="L946" s="4"/>
    </row>
    <row r="947" spans="1:12">
      <c r="A947" s="4" t="s">
        <v>2160</v>
      </c>
      <c r="B947" s="4" t="s">
        <v>2161</v>
      </c>
      <c r="C947" s="4" t="s">
        <v>801</v>
      </c>
      <c r="D947" s="4" t="s">
        <v>330</v>
      </c>
      <c r="E947" s="4" t="s">
        <v>326</v>
      </c>
      <c r="F947" s="13">
        <v>1</v>
      </c>
      <c r="G947" s="13">
        <v>2</v>
      </c>
      <c r="H947" s="4"/>
      <c r="I947" s="4"/>
      <c r="J947" s="4"/>
      <c r="K947" s="4" t="s">
        <v>2162</v>
      </c>
      <c r="L947" s="4" t="s">
        <v>683</v>
      </c>
    </row>
    <row r="948" spans="1:12">
      <c r="A948" s="4" t="s">
        <v>2163</v>
      </c>
      <c r="B948" s="4" t="s">
        <v>2164</v>
      </c>
      <c r="C948" s="4" t="s">
        <v>801</v>
      </c>
      <c r="D948" s="4" t="s">
        <v>330</v>
      </c>
      <c r="E948" s="4" t="s">
        <v>326</v>
      </c>
      <c r="F948" s="13">
        <v>1</v>
      </c>
      <c r="G948" s="13">
        <v>1</v>
      </c>
      <c r="H948" s="4"/>
      <c r="I948" s="4"/>
      <c r="J948" s="4"/>
      <c r="K948" s="4" t="s">
        <v>2162</v>
      </c>
      <c r="L948" s="4" t="s">
        <v>683</v>
      </c>
    </row>
    <row r="949" spans="1:12">
      <c r="A949" s="4" t="s">
        <v>2162</v>
      </c>
      <c r="B949" s="4" t="s">
        <v>2165</v>
      </c>
      <c r="C949" s="4" t="s">
        <v>801</v>
      </c>
      <c r="D949" s="4" t="s">
        <v>702</v>
      </c>
      <c r="E949" s="4" t="s">
        <v>326</v>
      </c>
      <c r="F949" s="13">
        <v>0</v>
      </c>
      <c r="G949" s="13">
        <v>1</v>
      </c>
      <c r="H949" s="4"/>
      <c r="I949" s="4"/>
      <c r="J949" s="4"/>
      <c r="K949" s="4" t="s">
        <v>304</v>
      </c>
      <c r="L949" s="4"/>
    </row>
    <row r="950" spans="1:12">
      <c r="A950" s="4" t="s">
        <v>2166</v>
      </c>
      <c r="B950" s="4" t="s">
        <v>2167</v>
      </c>
      <c r="C950" s="4" t="s">
        <v>801</v>
      </c>
      <c r="D950" s="4" t="s">
        <v>330</v>
      </c>
      <c r="E950" s="4" t="s">
        <v>326</v>
      </c>
      <c r="F950" s="13">
        <v>1</v>
      </c>
      <c r="G950" s="13">
        <v>2</v>
      </c>
      <c r="H950" s="4"/>
      <c r="I950" s="4"/>
      <c r="J950" s="4"/>
      <c r="K950" s="4" t="s">
        <v>2168</v>
      </c>
      <c r="L950" s="4" t="s">
        <v>683</v>
      </c>
    </row>
    <row r="951" spans="1:12">
      <c r="A951" s="4" t="s">
        <v>2169</v>
      </c>
      <c r="B951" s="4" t="s">
        <v>2170</v>
      </c>
      <c r="C951" s="4" t="s">
        <v>801</v>
      </c>
      <c r="D951" s="4" t="s">
        <v>330</v>
      </c>
      <c r="E951" s="4" t="s">
        <v>326</v>
      </c>
      <c r="F951" s="13">
        <v>1</v>
      </c>
      <c r="G951" s="13">
        <v>1</v>
      </c>
      <c r="H951" s="4"/>
      <c r="I951" s="4"/>
      <c r="J951" s="4"/>
      <c r="K951" s="4" t="s">
        <v>2168</v>
      </c>
      <c r="L951" s="4" t="s">
        <v>683</v>
      </c>
    </row>
    <row r="952" spans="1:12">
      <c r="A952" s="4" t="s">
        <v>2168</v>
      </c>
      <c r="B952" s="4" t="s">
        <v>2171</v>
      </c>
      <c r="C952" s="4" t="s">
        <v>801</v>
      </c>
      <c r="D952" s="4" t="s">
        <v>702</v>
      </c>
      <c r="E952" s="4" t="s">
        <v>326</v>
      </c>
      <c r="F952" s="13">
        <v>0</v>
      </c>
      <c r="G952" s="13">
        <v>1</v>
      </c>
      <c r="H952" s="4"/>
      <c r="I952" s="4"/>
      <c r="J952" s="4"/>
      <c r="K952" s="4" t="s">
        <v>304</v>
      </c>
      <c r="L952" s="4"/>
    </row>
    <row r="953" spans="1:12">
      <c r="A953" s="4" t="s">
        <v>2172</v>
      </c>
      <c r="B953" s="4" t="s">
        <v>2173</v>
      </c>
      <c r="C953" s="4" t="s">
        <v>801</v>
      </c>
      <c r="D953" s="4" t="s">
        <v>330</v>
      </c>
      <c r="E953" s="4" t="s">
        <v>326</v>
      </c>
      <c r="F953" s="13">
        <v>1</v>
      </c>
      <c r="G953" s="13">
        <v>2</v>
      </c>
      <c r="H953" s="4"/>
      <c r="I953" s="4"/>
      <c r="J953" s="4"/>
      <c r="K953" s="4" t="s">
        <v>2174</v>
      </c>
      <c r="L953" s="4" t="s">
        <v>683</v>
      </c>
    </row>
    <row r="954" spans="1:12">
      <c r="A954" s="4" t="s">
        <v>2175</v>
      </c>
      <c r="B954" s="4" t="s">
        <v>2176</v>
      </c>
      <c r="C954" s="4" t="s">
        <v>801</v>
      </c>
      <c r="D954" s="4" t="s">
        <v>330</v>
      </c>
      <c r="E954" s="4" t="s">
        <v>326</v>
      </c>
      <c r="F954" s="13">
        <v>1</v>
      </c>
      <c r="G954" s="13">
        <v>1</v>
      </c>
      <c r="H954" s="4"/>
      <c r="I954" s="4"/>
      <c r="J954" s="4"/>
      <c r="K954" s="4" t="s">
        <v>2174</v>
      </c>
      <c r="L954" s="4" t="s">
        <v>683</v>
      </c>
    </row>
    <row r="955" spans="1:12">
      <c r="A955" s="4" t="s">
        <v>2174</v>
      </c>
      <c r="B955" s="4" t="s">
        <v>2177</v>
      </c>
      <c r="C955" s="4" t="s">
        <v>801</v>
      </c>
      <c r="D955" s="4" t="s">
        <v>702</v>
      </c>
      <c r="E955" s="4" t="s">
        <v>326</v>
      </c>
      <c r="F955" s="13">
        <v>0</v>
      </c>
      <c r="G955" s="13">
        <v>1</v>
      </c>
      <c r="H955" s="4"/>
      <c r="I955" s="4"/>
      <c r="J955" s="4"/>
      <c r="K955" s="4" t="s">
        <v>304</v>
      </c>
      <c r="L955" s="4"/>
    </row>
    <row r="956" spans="1:12">
      <c r="A956" s="4" t="s">
        <v>2178</v>
      </c>
      <c r="B956" s="4" t="s">
        <v>2179</v>
      </c>
      <c r="C956" s="4" t="s">
        <v>801</v>
      </c>
      <c r="D956" s="4" t="s">
        <v>330</v>
      </c>
      <c r="E956" s="4" t="s">
        <v>326</v>
      </c>
      <c r="F956" s="13">
        <v>1</v>
      </c>
      <c r="G956" s="13">
        <v>2</v>
      </c>
      <c r="H956" s="4"/>
      <c r="I956" s="4"/>
      <c r="J956" s="4"/>
      <c r="K956" s="4" t="s">
        <v>2180</v>
      </c>
      <c r="L956" s="4" t="s">
        <v>683</v>
      </c>
    </row>
    <row r="957" spans="1:12">
      <c r="A957" s="4" t="s">
        <v>2181</v>
      </c>
      <c r="B957" s="4" t="s">
        <v>2182</v>
      </c>
      <c r="C957" s="4" t="s">
        <v>801</v>
      </c>
      <c r="D957" s="4" t="s">
        <v>330</v>
      </c>
      <c r="E957" s="4" t="s">
        <v>326</v>
      </c>
      <c r="F957" s="13">
        <v>1</v>
      </c>
      <c r="G957" s="13">
        <v>1</v>
      </c>
      <c r="H957" s="4"/>
      <c r="I957" s="4"/>
      <c r="J957" s="4"/>
      <c r="K957" s="4" t="s">
        <v>2180</v>
      </c>
      <c r="L957" s="4" t="s">
        <v>683</v>
      </c>
    </row>
    <row r="958" spans="1:12">
      <c r="A958" s="4" t="s">
        <v>2180</v>
      </c>
      <c r="B958" s="4" t="s">
        <v>2183</v>
      </c>
      <c r="C958" s="4" t="s">
        <v>801</v>
      </c>
      <c r="D958" s="4" t="s">
        <v>702</v>
      </c>
      <c r="E958" s="4" t="s">
        <v>326</v>
      </c>
      <c r="F958" s="13">
        <v>0</v>
      </c>
      <c r="G958" s="13">
        <v>1</v>
      </c>
      <c r="H958" s="4"/>
      <c r="I958" s="4"/>
      <c r="J958" s="4"/>
      <c r="K958" s="4" t="s">
        <v>304</v>
      </c>
      <c r="L958" s="4"/>
    </row>
    <row r="959" spans="1:12">
      <c r="A959" s="4" t="s">
        <v>2184</v>
      </c>
      <c r="B959" s="4" t="s">
        <v>2185</v>
      </c>
      <c r="C959" s="4" t="s">
        <v>801</v>
      </c>
      <c r="D959" s="4" t="s">
        <v>330</v>
      </c>
      <c r="E959" s="4" t="s">
        <v>326</v>
      </c>
      <c r="F959" s="13">
        <v>1</v>
      </c>
      <c r="G959" s="13">
        <v>2</v>
      </c>
      <c r="H959" s="4"/>
      <c r="I959" s="4"/>
      <c r="J959" s="4"/>
      <c r="K959" s="4" t="s">
        <v>2186</v>
      </c>
      <c r="L959" s="4" t="s">
        <v>683</v>
      </c>
    </row>
    <row r="960" spans="1:12">
      <c r="A960" s="4" t="s">
        <v>2187</v>
      </c>
      <c r="B960" s="4" t="s">
        <v>2188</v>
      </c>
      <c r="C960" s="4" t="s">
        <v>801</v>
      </c>
      <c r="D960" s="4" t="s">
        <v>330</v>
      </c>
      <c r="E960" s="4" t="s">
        <v>326</v>
      </c>
      <c r="F960" s="13">
        <v>1</v>
      </c>
      <c r="G960" s="13">
        <v>1</v>
      </c>
      <c r="H960" s="4"/>
      <c r="I960" s="4"/>
      <c r="J960" s="4"/>
      <c r="K960" s="4" t="s">
        <v>2186</v>
      </c>
      <c r="L960" s="4" t="s">
        <v>683</v>
      </c>
    </row>
    <row r="961" spans="1:12">
      <c r="A961" s="4" t="s">
        <v>2186</v>
      </c>
      <c r="B961" s="4" t="s">
        <v>2189</v>
      </c>
      <c r="C961" s="4" t="s">
        <v>801</v>
      </c>
      <c r="D961" s="4" t="s">
        <v>702</v>
      </c>
      <c r="E961" s="4" t="s">
        <v>326</v>
      </c>
      <c r="F961" s="13">
        <v>0</v>
      </c>
      <c r="G961" s="13">
        <v>1</v>
      </c>
      <c r="H961" s="4"/>
      <c r="I961" s="4"/>
      <c r="J961" s="4"/>
      <c r="K961" s="4" t="s">
        <v>304</v>
      </c>
      <c r="L961" s="4"/>
    </row>
    <row r="962" spans="1:12">
      <c r="A962" s="4" t="s">
        <v>2190</v>
      </c>
      <c r="B962" s="4" t="s">
        <v>2191</v>
      </c>
      <c r="C962" s="4" t="s">
        <v>801</v>
      </c>
      <c r="D962" s="4" t="s">
        <v>330</v>
      </c>
      <c r="E962" s="4" t="s">
        <v>326</v>
      </c>
      <c r="F962" s="13">
        <v>1</v>
      </c>
      <c r="G962" s="13">
        <v>2</v>
      </c>
      <c r="H962" s="4"/>
      <c r="I962" s="4"/>
      <c r="J962" s="4"/>
      <c r="K962" s="4" t="s">
        <v>2192</v>
      </c>
      <c r="L962" s="4" t="s">
        <v>683</v>
      </c>
    </row>
    <row r="963" spans="1:12">
      <c r="A963" s="4" t="s">
        <v>2193</v>
      </c>
      <c r="B963" s="4" t="s">
        <v>2194</v>
      </c>
      <c r="C963" s="4" t="s">
        <v>801</v>
      </c>
      <c r="D963" s="4" t="s">
        <v>330</v>
      </c>
      <c r="E963" s="4" t="s">
        <v>326</v>
      </c>
      <c r="F963" s="13">
        <v>1</v>
      </c>
      <c r="G963" s="13">
        <v>1</v>
      </c>
      <c r="H963" s="4"/>
      <c r="I963" s="4"/>
      <c r="J963" s="4"/>
      <c r="K963" s="4" t="s">
        <v>2192</v>
      </c>
      <c r="L963" s="4" t="s">
        <v>683</v>
      </c>
    </row>
    <row r="964" spans="1:12">
      <c r="A964" s="4" t="s">
        <v>2192</v>
      </c>
      <c r="B964" s="4" t="s">
        <v>2195</v>
      </c>
      <c r="C964" s="4" t="s">
        <v>801</v>
      </c>
      <c r="D964" s="4" t="s">
        <v>702</v>
      </c>
      <c r="E964" s="4" t="s">
        <v>326</v>
      </c>
      <c r="F964" s="13">
        <v>0</v>
      </c>
      <c r="G964" s="13">
        <v>1</v>
      </c>
      <c r="H964" s="4"/>
      <c r="I964" s="4"/>
      <c r="J964" s="4"/>
      <c r="K964" s="4" t="s">
        <v>304</v>
      </c>
      <c r="L964" s="4"/>
    </row>
    <row r="965" spans="1:12">
      <c r="A965" s="4" t="s">
        <v>2196</v>
      </c>
      <c r="B965" s="4" t="s">
        <v>2197</v>
      </c>
      <c r="C965" s="4" t="s">
        <v>801</v>
      </c>
      <c r="D965" s="4" t="s">
        <v>330</v>
      </c>
      <c r="E965" s="4" t="s">
        <v>326</v>
      </c>
      <c r="F965" s="13">
        <v>1</v>
      </c>
      <c r="G965" s="13">
        <v>2</v>
      </c>
      <c r="H965" s="4"/>
      <c r="I965" s="4"/>
      <c r="J965" s="4"/>
      <c r="K965" s="4" t="s">
        <v>2198</v>
      </c>
      <c r="L965" s="4" t="s">
        <v>683</v>
      </c>
    </row>
    <row r="966" spans="1:12">
      <c r="A966" s="4" t="s">
        <v>2199</v>
      </c>
      <c r="B966" s="4" t="s">
        <v>2200</v>
      </c>
      <c r="C966" s="4" t="s">
        <v>801</v>
      </c>
      <c r="D966" s="4" t="s">
        <v>330</v>
      </c>
      <c r="E966" s="4" t="s">
        <v>326</v>
      </c>
      <c r="F966" s="13">
        <v>1</v>
      </c>
      <c r="G966" s="13">
        <v>1</v>
      </c>
      <c r="H966" s="4"/>
      <c r="I966" s="4"/>
      <c r="J966" s="4"/>
      <c r="K966" s="4" t="s">
        <v>2198</v>
      </c>
      <c r="L966" s="4" t="s">
        <v>683</v>
      </c>
    </row>
    <row r="967" spans="1:12">
      <c r="A967" s="4" t="s">
        <v>2198</v>
      </c>
      <c r="B967" s="4" t="s">
        <v>2201</v>
      </c>
      <c r="C967" s="4" t="s">
        <v>801</v>
      </c>
      <c r="D967" s="4" t="s">
        <v>702</v>
      </c>
      <c r="E967" s="4" t="s">
        <v>326</v>
      </c>
      <c r="F967" s="13">
        <v>0</v>
      </c>
      <c r="G967" s="13">
        <v>1</v>
      </c>
      <c r="H967" s="4"/>
      <c r="I967" s="4"/>
      <c r="J967" s="4"/>
      <c r="K967" s="4" t="s">
        <v>304</v>
      </c>
      <c r="L967" s="4"/>
    </row>
    <row r="968" spans="1:12">
      <c r="A968" s="4" t="s">
        <v>2202</v>
      </c>
      <c r="B968" s="4" t="s">
        <v>2203</v>
      </c>
      <c r="C968" s="4" t="s">
        <v>801</v>
      </c>
      <c r="D968" s="4" t="s">
        <v>330</v>
      </c>
      <c r="E968" s="4" t="s">
        <v>326</v>
      </c>
      <c r="F968" s="13">
        <v>1</v>
      </c>
      <c r="G968" s="13">
        <v>2</v>
      </c>
      <c r="H968" s="4"/>
      <c r="I968" s="4"/>
      <c r="J968" s="4"/>
      <c r="K968" s="4" t="s">
        <v>2204</v>
      </c>
      <c r="L968" s="4" t="s">
        <v>683</v>
      </c>
    </row>
    <row r="969" spans="1:12">
      <c r="A969" s="4" t="s">
        <v>2205</v>
      </c>
      <c r="B969" s="4" t="s">
        <v>2206</v>
      </c>
      <c r="C969" s="4" t="s">
        <v>801</v>
      </c>
      <c r="D969" s="4" t="s">
        <v>330</v>
      </c>
      <c r="E969" s="4" t="s">
        <v>326</v>
      </c>
      <c r="F969" s="13">
        <v>1</v>
      </c>
      <c r="G969" s="13">
        <v>1</v>
      </c>
      <c r="H969" s="4"/>
      <c r="I969" s="4"/>
      <c r="J969" s="4"/>
      <c r="K969" s="4" t="s">
        <v>2204</v>
      </c>
      <c r="L969" s="4" t="s">
        <v>683</v>
      </c>
    </row>
    <row r="970" spans="1:12">
      <c r="A970" s="4" t="s">
        <v>2207</v>
      </c>
      <c r="B970" s="4" t="s">
        <v>2208</v>
      </c>
      <c r="C970" s="4" t="s">
        <v>324</v>
      </c>
      <c r="D970" s="4" t="s">
        <v>330</v>
      </c>
      <c r="E970" s="4" t="s">
        <v>587</v>
      </c>
      <c r="F970" s="13">
        <v>0</v>
      </c>
      <c r="G970" s="13">
        <v>1</v>
      </c>
      <c r="H970" s="4"/>
      <c r="I970" s="4"/>
      <c r="J970" s="4"/>
      <c r="K970" s="4"/>
      <c r="L970" s="4" t="s">
        <v>881</v>
      </c>
    </row>
    <row r="971" spans="1:12">
      <c r="A971" s="4" t="s">
        <v>2204</v>
      </c>
      <c r="B971" s="4" t="s">
        <v>2209</v>
      </c>
      <c r="C971" s="4" t="s">
        <v>801</v>
      </c>
      <c r="D971" s="4" t="s">
        <v>702</v>
      </c>
      <c r="E971" s="4" t="s">
        <v>326</v>
      </c>
      <c r="F971" s="13">
        <v>0</v>
      </c>
      <c r="G971" s="13">
        <v>1</v>
      </c>
      <c r="H971" s="4"/>
      <c r="I971" s="4"/>
      <c r="J971" s="4"/>
      <c r="K971" s="4" t="s">
        <v>304</v>
      </c>
      <c r="L971" s="4"/>
    </row>
    <row r="972" spans="1:12">
      <c r="A972" s="4" t="s">
        <v>2210</v>
      </c>
      <c r="B972" s="4" t="s">
        <v>2211</v>
      </c>
      <c r="C972" s="4" t="s">
        <v>801</v>
      </c>
      <c r="D972" s="4" t="s">
        <v>330</v>
      </c>
      <c r="E972" s="4" t="s">
        <v>326</v>
      </c>
      <c r="F972" s="13">
        <v>1</v>
      </c>
      <c r="G972" s="13">
        <v>2</v>
      </c>
      <c r="H972" s="4"/>
      <c r="I972" s="4"/>
      <c r="J972" s="4"/>
      <c r="K972" s="4" t="s">
        <v>2212</v>
      </c>
      <c r="L972" s="4" t="s">
        <v>683</v>
      </c>
    </row>
    <row r="973" spans="1:12">
      <c r="A973" s="4" t="s">
        <v>2213</v>
      </c>
      <c r="B973" s="4" t="s">
        <v>2214</v>
      </c>
      <c r="C973" s="4" t="s">
        <v>801</v>
      </c>
      <c r="D973" s="4" t="s">
        <v>330</v>
      </c>
      <c r="E973" s="4" t="s">
        <v>326</v>
      </c>
      <c r="F973" s="13">
        <v>1</v>
      </c>
      <c r="G973" s="13">
        <v>1</v>
      </c>
      <c r="H973" s="4"/>
      <c r="I973" s="4"/>
      <c r="J973" s="4"/>
      <c r="K973" s="4" t="s">
        <v>2212</v>
      </c>
      <c r="L973" s="4" t="s">
        <v>683</v>
      </c>
    </row>
    <row r="974" spans="1:12">
      <c r="A974" s="4" t="s">
        <v>2212</v>
      </c>
      <c r="B974" s="4" t="s">
        <v>2215</v>
      </c>
      <c r="C974" s="4" t="s">
        <v>801</v>
      </c>
      <c r="D974" s="4" t="s">
        <v>702</v>
      </c>
      <c r="E974" s="4" t="s">
        <v>326</v>
      </c>
      <c r="F974" s="13">
        <v>0</v>
      </c>
      <c r="G974" s="13">
        <v>1</v>
      </c>
      <c r="H974" s="4"/>
      <c r="I974" s="4"/>
      <c r="J974" s="4"/>
      <c r="K974" s="4" t="s">
        <v>304</v>
      </c>
      <c r="L974" s="4"/>
    </row>
    <row r="975" spans="1:12">
      <c r="A975" s="4" t="s">
        <v>2216</v>
      </c>
      <c r="B975" s="4" t="s">
        <v>2217</v>
      </c>
      <c r="C975" s="4" t="s">
        <v>801</v>
      </c>
      <c r="D975" s="4" t="s">
        <v>330</v>
      </c>
      <c r="E975" s="4" t="s">
        <v>326</v>
      </c>
      <c r="F975" s="13">
        <v>1</v>
      </c>
      <c r="G975" s="13">
        <v>2</v>
      </c>
      <c r="H975" s="4"/>
      <c r="I975" s="4"/>
      <c r="J975" s="4"/>
      <c r="K975" s="4" t="s">
        <v>2218</v>
      </c>
      <c r="L975" s="4" t="s">
        <v>683</v>
      </c>
    </row>
    <row r="976" spans="1:12">
      <c r="A976" s="4" t="s">
        <v>2219</v>
      </c>
      <c r="B976" s="4" t="s">
        <v>2220</v>
      </c>
      <c r="C976" s="4" t="s">
        <v>801</v>
      </c>
      <c r="D976" s="4" t="s">
        <v>330</v>
      </c>
      <c r="E976" s="4" t="s">
        <v>326</v>
      </c>
      <c r="F976" s="13">
        <v>1</v>
      </c>
      <c r="G976" s="13">
        <v>1</v>
      </c>
      <c r="H976" s="4"/>
      <c r="I976" s="4"/>
      <c r="J976" s="4"/>
      <c r="K976" s="4" t="s">
        <v>2218</v>
      </c>
      <c r="L976" s="4" t="s">
        <v>683</v>
      </c>
    </row>
    <row r="977" spans="1:12">
      <c r="A977" s="4" t="s">
        <v>2218</v>
      </c>
      <c r="B977" s="4" t="s">
        <v>2221</v>
      </c>
      <c r="C977" s="4" t="s">
        <v>801</v>
      </c>
      <c r="D977" s="4" t="s">
        <v>702</v>
      </c>
      <c r="E977" s="4" t="s">
        <v>326</v>
      </c>
      <c r="F977" s="13">
        <v>0</v>
      </c>
      <c r="G977" s="13">
        <v>1</v>
      </c>
      <c r="H977" s="4"/>
      <c r="I977" s="4"/>
      <c r="J977" s="4"/>
      <c r="K977" s="4" t="s">
        <v>304</v>
      </c>
      <c r="L977" s="4"/>
    </row>
    <row r="978" spans="1:12">
      <c r="A978" s="4" t="s">
        <v>2222</v>
      </c>
      <c r="B978" s="4" t="s">
        <v>2223</v>
      </c>
      <c r="C978" s="4" t="s">
        <v>801</v>
      </c>
      <c r="D978" s="4" t="s">
        <v>330</v>
      </c>
      <c r="E978" s="4" t="s">
        <v>326</v>
      </c>
      <c r="F978" s="13">
        <v>1</v>
      </c>
      <c r="G978" s="13">
        <v>2</v>
      </c>
      <c r="H978" s="4"/>
      <c r="I978" s="4"/>
      <c r="J978" s="4"/>
      <c r="K978" s="4" t="s">
        <v>2224</v>
      </c>
      <c r="L978" s="4" t="s">
        <v>683</v>
      </c>
    </row>
    <row r="979" spans="1:12">
      <c r="A979" s="4" t="s">
        <v>2225</v>
      </c>
      <c r="B979" s="4" t="s">
        <v>2226</v>
      </c>
      <c r="C979" s="4" t="s">
        <v>801</v>
      </c>
      <c r="D979" s="4" t="s">
        <v>330</v>
      </c>
      <c r="E979" s="4" t="s">
        <v>326</v>
      </c>
      <c r="F979" s="13">
        <v>1</v>
      </c>
      <c r="G979" s="13">
        <v>1</v>
      </c>
      <c r="H979" s="4"/>
      <c r="I979" s="4"/>
      <c r="J979" s="4"/>
      <c r="K979" s="4" t="s">
        <v>2224</v>
      </c>
      <c r="L979" s="4" t="s">
        <v>683</v>
      </c>
    </row>
    <row r="980" spans="1:12">
      <c r="A980" s="4" t="s">
        <v>2224</v>
      </c>
      <c r="B980" s="4" t="s">
        <v>2227</v>
      </c>
      <c r="C980" s="4" t="s">
        <v>801</v>
      </c>
      <c r="D980" s="4" t="s">
        <v>702</v>
      </c>
      <c r="E980" s="4" t="s">
        <v>326</v>
      </c>
      <c r="F980" s="13">
        <v>0</v>
      </c>
      <c r="G980" s="13">
        <v>1</v>
      </c>
      <c r="H980" s="4"/>
      <c r="I980" s="4"/>
      <c r="J980" s="4"/>
      <c r="K980" s="4" t="s">
        <v>304</v>
      </c>
      <c r="L980" s="4"/>
    </row>
    <row r="981" spans="1:12">
      <c r="A981" s="4" t="s">
        <v>2228</v>
      </c>
      <c r="B981" s="4" t="s">
        <v>2229</v>
      </c>
      <c r="C981" s="4" t="s">
        <v>801</v>
      </c>
      <c r="D981" s="4" t="s">
        <v>330</v>
      </c>
      <c r="E981" s="4" t="s">
        <v>326</v>
      </c>
      <c r="F981" s="13">
        <v>1</v>
      </c>
      <c r="G981" s="13">
        <v>2</v>
      </c>
      <c r="H981" s="4"/>
      <c r="I981" s="4"/>
      <c r="J981" s="4"/>
      <c r="K981" s="4" t="s">
        <v>2230</v>
      </c>
      <c r="L981" s="4" t="s">
        <v>683</v>
      </c>
    </row>
    <row r="982" spans="1:12">
      <c r="A982" s="4" t="s">
        <v>2231</v>
      </c>
      <c r="B982" s="4" t="s">
        <v>2232</v>
      </c>
      <c r="C982" s="4" t="s">
        <v>801</v>
      </c>
      <c r="D982" s="4" t="s">
        <v>330</v>
      </c>
      <c r="E982" s="4" t="s">
        <v>326</v>
      </c>
      <c r="F982" s="13">
        <v>1</v>
      </c>
      <c r="G982" s="13">
        <v>1</v>
      </c>
      <c r="H982" s="4"/>
      <c r="I982" s="4"/>
      <c r="J982" s="4"/>
      <c r="K982" s="4" t="s">
        <v>2230</v>
      </c>
      <c r="L982" s="4" t="s">
        <v>683</v>
      </c>
    </row>
    <row r="983" spans="1:12">
      <c r="A983" s="4" t="s">
        <v>2230</v>
      </c>
      <c r="B983" s="4" t="s">
        <v>2233</v>
      </c>
      <c r="C983" s="4" t="s">
        <v>801</v>
      </c>
      <c r="D983" s="4" t="s">
        <v>702</v>
      </c>
      <c r="E983" s="4" t="s">
        <v>326</v>
      </c>
      <c r="F983" s="13">
        <v>0</v>
      </c>
      <c r="G983" s="13">
        <v>1</v>
      </c>
      <c r="H983" s="4"/>
      <c r="I983" s="4"/>
      <c r="J983" s="4"/>
      <c r="K983" s="4" t="s">
        <v>304</v>
      </c>
      <c r="L983" s="4"/>
    </row>
    <row r="984" spans="1:12">
      <c r="A984" s="4" t="s">
        <v>2234</v>
      </c>
      <c r="B984" s="4" t="s">
        <v>2235</v>
      </c>
      <c r="C984" s="4" t="s">
        <v>801</v>
      </c>
      <c r="D984" s="4" t="s">
        <v>330</v>
      </c>
      <c r="E984" s="4" t="s">
        <v>326</v>
      </c>
      <c r="F984" s="13">
        <v>1</v>
      </c>
      <c r="G984" s="13">
        <v>2</v>
      </c>
      <c r="H984" s="4"/>
      <c r="I984" s="4"/>
      <c r="J984" s="4"/>
      <c r="K984" s="4" t="s">
        <v>2236</v>
      </c>
      <c r="L984" s="4" t="s">
        <v>683</v>
      </c>
    </row>
    <row r="985" spans="1:12">
      <c r="A985" s="4" t="s">
        <v>2237</v>
      </c>
      <c r="B985" s="4" t="s">
        <v>2238</v>
      </c>
      <c r="C985" s="4" t="s">
        <v>801</v>
      </c>
      <c r="D985" s="4" t="s">
        <v>330</v>
      </c>
      <c r="E985" s="4" t="s">
        <v>326</v>
      </c>
      <c r="F985" s="13">
        <v>1</v>
      </c>
      <c r="G985" s="13">
        <v>1</v>
      </c>
      <c r="H985" s="4"/>
      <c r="I985" s="4"/>
      <c r="J985" s="4"/>
      <c r="K985" s="4" t="s">
        <v>2236</v>
      </c>
      <c r="L985" s="4" t="s">
        <v>683</v>
      </c>
    </row>
    <row r="986" spans="1:12">
      <c r="A986" s="4" t="s">
        <v>2236</v>
      </c>
      <c r="B986" s="4" t="s">
        <v>2239</v>
      </c>
      <c r="C986" s="4" t="s">
        <v>801</v>
      </c>
      <c r="D986" s="4" t="s">
        <v>702</v>
      </c>
      <c r="E986" s="4" t="s">
        <v>326</v>
      </c>
      <c r="F986" s="13">
        <v>0</v>
      </c>
      <c r="G986" s="13">
        <v>1</v>
      </c>
      <c r="H986" s="4"/>
      <c r="I986" s="4"/>
      <c r="J986" s="4"/>
      <c r="K986" s="4" t="s">
        <v>304</v>
      </c>
      <c r="L986" s="4"/>
    </row>
    <row r="987" spans="1:12">
      <c r="A987" s="4" t="s">
        <v>2240</v>
      </c>
      <c r="B987" s="4" t="s">
        <v>2241</v>
      </c>
      <c r="C987" s="4" t="s">
        <v>801</v>
      </c>
      <c r="D987" s="4" t="s">
        <v>330</v>
      </c>
      <c r="E987" s="4" t="s">
        <v>326</v>
      </c>
      <c r="F987" s="13">
        <v>1</v>
      </c>
      <c r="G987" s="13">
        <v>2</v>
      </c>
      <c r="H987" s="4"/>
      <c r="I987" s="4"/>
      <c r="J987" s="4"/>
      <c r="K987" s="4" t="s">
        <v>2242</v>
      </c>
      <c r="L987" s="4" t="s">
        <v>683</v>
      </c>
    </row>
    <row r="988" spans="1:12">
      <c r="A988" s="4" t="s">
        <v>2243</v>
      </c>
      <c r="B988" s="4" t="s">
        <v>2244</v>
      </c>
      <c r="C988" s="4" t="s">
        <v>801</v>
      </c>
      <c r="D988" s="4" t="s">
        <v>330</v>
      </c>
      <c r="E988" s="4" t="s">
        <v>326</v>
      </c>
      <c r="F988" s="13">
        <v>1</v>
      </c>
      <c r="G988" s="13">
        <v>1</v>
      </c>
      <c r="H988" s="4"/>
      <c r="I988" s="4"/>
      <c r="J988" s="4"/>
      <c r="K988" s="4" t="s">
        <v>2242</v>
      </c>
      <c r="L988" s="4" t="s">
        <v>683</v>
      </c>
    </row>
    <row r="989" spans="1:12">
      <c r="A989" s="4" t="s">
        <v>2242</v>
      </c>
      <c r="B989" s="4" t="s">
        <v>2245</v>
      </c>
      <c r="C989" s="4" t="s">
        <v>801</v>
      </c>
      <c r="D989" s="4" t="s">
        <v>702</v>
      </c>
      <c r="E989" s="4" t="s">
        <v>326</v>
      </c>
      <c r="F989" s="13">
        <v>0</v>
      </c>
      <c r="G989" s="13">
        <v>1</v>
      </c>
      <c r="H989" s="4"/>
      <c r="I989" s="4"/>
      <c r="J989" s="4"/>
      <c r="K989" s="4" t="s">
        <v>304</v>
      </c>
      <c r="L989" s="4"/>
    </row>
    <row r="990" spans="1:12">
      <c r="A990" s="4" t="s">
        <v>2246</v>
      </c>
      <c r="B990" s="4" t="s">
        <v>2247</v>
      </c>
      <c r="C990" s="4" t="s">
        <v>801</v>
      </c>
      <c r="D990" s="4" t="s">
        <v>330</v>
      </c>
      <c r="E990" s="4" t="s">
        <v>326</v>
      </c>
      <c r="F990" s="13">
        <v>1</v>
      </c>
      <c r="G990" s="13">
        <v>2</v>
      </c>
      <c r="H990" s="4"/>
      <c r="I990" s="4"/>
      <c r="J990" s="4"/>
      <c r="K990" s="4" t="s">
        <v>2248</v>
      </c>
      <c r="L990" s="4" t="s">
        <v>683</v>
      </c>
    </row>
    <row r="991" spans="1:12">
      <c r="A991" s="4" t="s">
        <v>2249</v>
      </c>
      <c r="B991" s="4" t="s">
        <v>2250</v>
      </c>
      <c r="C991" s="4" t="s">
        <v>801</v>
      </c>
      <c r="D991" s="4" t="s">
        <v>330</v>
      </c>
      <c r="E991" s="4" t="s">
        <v>326</v>
      </c>
      <c r="F991" s="13">
        <v>1</v>
      </c>
      <c r="G991" s="13">
        <v>1</v>
      </c>
      <c r="H991" s="4"/>
      <c r="I991" s="4"/>
      <c r="J991" s="4"/>
      <c r="K991" s="4" t="s">
        <v>2248</v>
      </c>
      <c r="L991" s="4" t="s">
        <v>683</v>
      </c>
    </row>
    <row r="992" spans="1:12">
      <c r="A992" s="4" t="s">
        <v>2248</v>
      </c>
      <c r="B992" s="4" t="s">
        <v>2251</v>
      </c>
      <c r="C992" s="4" t="s">
        <v>801</v>
      </c>
      <c r="D992" s="4" t="s">
        <v>702</v>
      </c>
      <c r="E992" s="4" t="s">
        <v>326</v>
      </c>
      <c r="F992" s="13">
        <v>0</v>
      </c>
      <c r="G992" s="13">
        <v>1</v>
      </c>
      <c r="H992" s="4"/>
      <c r="I992" s="4"/>
      <c r="J992" s="4"/>
      <c r="K992" s="4" t="s">
        <v>304</v>
      </c>
      <c r="L992" s="4"/>
    </row>
    <row r="993" spans="1:12">
      <c r="A993" s="4" t="s">
        <v>2252</v>
      </c>
      <c r="B993" s="4" t="s">
        <v>2253</v>
      </c>
      <c r="C993" s="4" t="s">
        <v>801</v>
      </c>
      <c r="D993" s="4" t="s">
        <v>330</v>
      </c>
      <c r="E993" s="4" t="s">
        <v>326</v>
      </c>
      <c r="F993" s="13">
        <v>1</v>
      </c>
      <c r="G993" s="13">
        <v>2</v>
      </c>
      <c r="H993" s="4"/>
      <c r="I993" s="4"/>
      <c r="J993" s="4"/>
      <c r="K993" s="4" t="s">
        <v>2254</v>
      </c>
      <c r="L993" s="4" t="s">
        <v>683</v>
      </c>
    </row>
    <row r="994" spans="1:12">
      <c r="A994" s="4" t="s">
        <v>2255</v>
      </c>
      <c r="B994" s="4" t="s">
        <v>2256</v>
      </c>
      <c r="C994" s="4" t="s">
        <v>801</v>
      </c>
      <c r="D994" s="4" t="s">
        <v>330</v>
      </c>
      <c r="E994" s="4" t="s">
        <v>326</v>
      </c>
      <c r="F994" s="13">
        <v>1</v>
      </c>
      <c r="G994" s="13">
        <v>1</v>
      </c>
      <c r="H994" s="4"/>
      <c r="I994" s="4"/>
      <c r="J994" s="4"/>
      <c r="K994" s="4" t="s">
        <v>2254</v>
      </c>
      <c r="L994" s="4" t="s">
        <v>683</v>
      </c>
    </row>
    <row r="995" spans="1:12">
      <c r="A995" s="4" t="s">
        <v>2254</v>
      </c>
      <c r="B995" s="4" t="s">
        <v>2257</v>
      </c>
      <c r="C995" s="4" t="s">
        <v>801</v>
      </c>
      <c r="D995" s="4" t="s">
        <v>702</v>
      </c>
      <c r="E995" s="4" t="s">
        <v>326</v>
      </c>
      <c r="F995" s="13">
        <v>0</v>
      </c>
      <c r="G995" s="13">
        <v>1</v>
      </c>
      <c r="H995" s="4"/>
      <c r="I995" s="4"/>
      <c r="J995" s="4"/>
      <c r="K995" s="4" t="s">
        <v>304</v>
      </c>
      <c r="L995" s="4"/>
    </row>
    <row r="996" spans="1:12">
      <c r="A996" s="4" t="s">
        <v>2258</v>
      </c>
      <c r="B996" s="4" t="s">
        <v>2259</v>
      </c>
      <c r="C996" s="4" t="s">
        <v>801</v>
      </c>
      <c r="D996" s="4" t="s">
        <v>330</v>
      </c>
      <c r="E996" s="4" t="s">
        <v>326</v>
      </c>
      <c r="F996" s="13">
        <v>1</v>
      </c>
      <c r="G996" s="13">
        <v>2</v>
      </c>
      <c r="H996" s="4"/>
      <c r="I996" s="4"/>
      <c r="J996" s="4"/>
      <c r="K996" s="4" t="s">
        <v>2260</v>
      </c>
      <c r="L996" s="4" t="s">
        <v>683</v>
      </c>
    </row>
    <row r="997" spans="1:12">
      <c r="A997" s="4" t="s">
        <v>2261</v>
      </c>
      <c r="B997" s="4" t="s">
        <v>2262</v>
      </c>
      <c r="C997" s="4" t="s">
        <v>801</v>
      </c>
      <c r="D997" s="4" t="s">
        <v>330</v>
      </c>
      <c r="E997" s="4" t="s">
        <v>326</v>
      </c>
      <c r="F997" s="13">
        <v>1</v>
      </c>
      <c r="G997" s="13">
        <v>1</v>
      </c>
      <c r="H997" s="4"/>
      <c r="I997" s="4"/>
      <c r="J997" s="4"/>
      <c r="K997" s="4" t="s">
        <v>2260</v>
      </c>
      <c r="L997" s="4" t="s">
        <v>683</v>
      </c>
    </row>
    <row r="998" spans="1:12">
      <c r="A998" s="4" t="s">
        <v>2260</v>
      </c>
      <c r="B998" s="4" t="s">
        <v>2263</v>
      </c>
      <c r="C998" s="4" t="s">
        <v>801</v>
      </c>
      <c r="D998" s="4" t="s">
        <v>702</v>
      </c>
      <c r="E998" s="4" t="s">
        <v>326</v>
      </c>
      <c r="F998" s="13">
        <v>0</v>
      </c>
      <c r="G998" s="13">
        <v>1</v>
      </c>
      <c r="H998" s="4"/>
      <c r="I998" s="4"/>
      <c r="J998" s="4"/>
      <c r="K998" s="4" t="s">
        <v>304</v>
      </c>
      <c r="L998" s="4"/>
    </row>
    <row r="999" spans="1:12">
      <c r="A999" s="4" t="s">
        <v>2264</v>
      </c>
      <c r="B999" s="4" t="s">
        <v>2265</v>
      </c>
      <c r="C999" s="4" t="s">
        <v>801</v>
      </c>
      <c r="D999" s="4" t="s">
        <v>330</v>
      </c>
      <c r="E999" s="4" t="s">
        <v>326</v>
      </c>
      <c r="F999" s="13">
        <v>1</v>
      </c>
      <c r="G999" s="13">
        <v>2</v>
      </c>
      <c r="H999" s="4"/>
      <c r="I999" s="4"/>
      <c r="J999" s="4"/>
      <c r="K999" s="4" t="s">
        <v>2266</v>
      </c>
      <c r="L999" s="4" t="s">
        <v>683</v>
      </c>
    </row>
    <row r="1000" spans="1:12">
      <c r="A1000" s="4" t="s">
        <v>2267</v>
      </c>
      <c r="B1000" s="4" t="s">
        <v>2268</v>
      </c>
      <c r="C1000" s="4" t="s">
        <v>801</v>
      </c>
      <c r="D1000" s="4" t="s">
        <v>330</v>
      </c>
      <c r="E1000" s="4" t="s">
        <v>326</v>
      </c>
      <c r="F1000" s="13">
        <v>1</v>
      </c>
      <c r="G1000" s="13">
        <v>1</v>
      </c>
      <c r="H1000" s="4"/>
      <c r="I1000" s="4"/>
      <c r="J1000" s="4"/>
      <c r="K1000" s="4" t="s">
        <v>2266</v>
      </c>
      <c r="L1000" s="4" t="s">
        <v>683</v>
      </c>
    </row>
    <row r="1001" spans="1:12">
      <c r="A1001" s="4" t="s">
        <v>2266</v>
      </c>
      <c r="B1001" s="4" t="s">
        <v>2269</v>
      </c>
      <c r="C1001" s="4" t="s">
        <v>801</v>
      </c>
      <c r="D1001" s="4" t="s">
        <v>702</v>
      </c>
      <c r="E1001" s="4" t="s">
        <v>326</v>
      </c>
      <c r="F1001" s="13">
        <v>0</v>
      </c>
      <c r="G1001" s="13">
        <v>1</v>
      </c>
      <c r="H1001" s="4"/>
      <c r="I1001" s="4"/>
      <c r="J1001" s="4"/>
      <c r="K1001" s="4" t="s">
        <v>304</v>
      </c>
      <c r="L1001" s="4"/>
    </row>
    <row r="1002" spans="1:12">
      <c r="A1002" s="4" t="s">
        <v>2270</v>
      </c>
      <c r="B1002" s="4" t="s">
        <v>2271</v>
      </c>
      <c r="C1002" s="4" t="s">
        <v>801</v>
      </c>
      <c r="D1002" s="4" t="s">
        <v>330</v>
      </c>
      <c r="E1002" s="4" t="s">
        <v>326</v>
      </c>
      <c r="F1002" s="13">
        <v>1</v>
      </c>
      <c r="G1002" s="13">
        <v>1</v>
      </c>
      <c r="H1002" s="4"/>
      <c r="I1002" s="4"/>
      <c r="J1002" s="4"/>
      <c r="K1002" s="4" t="s">
        <v>304</v>
      </c>
      <c r="L1002" s="4" t="s">
        <v>683</v>
      </c>
    </row>
    <row r="1003" spans="1:12">
      <c r="A1003" s="4" t="s">
        <v>2272</v>
      </c>
      <c r="B1003" s="4" t="s">
        <v>2273</v>
      </c>
      <c r="C1003" s="4" t="s">
        <v>801</v>
      </c>
      <c r="D1003" s="4" t="s">
        <v>330</v>
      </c>
      <c r="E1003" s="4" t="s">
        <v>326</v>
      </c>
      <c r="F1003" s="13">
        <v>1</v>
      </c>
      <c r="G1003" s="13">
        <v>1</v>
      </c>
      <c r="H1003" s="4"/>
      <c r="I1003" s="4"/>
      <c r="J1003" s="4"/>
      <c r="K1003" s="4" t="s">
        <v>304</v>
      </c>
      <c r="L1003" s="4" t="s">
        <v>683</v>
      </c>
    </row>
    <row r="1004" spans="1:12">
      <c r="A1004" s="4" t="s">
        <v>2274</v>
      </c>
      <c r="B1004" s="4" t="s">
        <v>2275</v>
      </c>
      <c r="C1004" s="4" t="s">
        <v>801</v>
      </c>
      <c r="D1004" s="4" t="s">
        <v>330</v>
      </c>
      <c r="E1004" s="4" t="s">
        <v>326</v>
      </c>
      <c r="F1004" s="13">
        <v>1</v>
      </c>
      <c r="G1004" s="13">
        <v>1</v>
      </c>
      <c r="H1004" s="4"/>
      <c r="I1004" s="4"/>
      <c r="J1004" s="4"/>
      <c r="K1004" s="4" t="s">
        <v>304</v>
      </c>
      <c r="L1004" s="4" t="s">
        <v>683</v>
      </c>
    </row>
    <row r="1005" spans="1:12">
      <c r="A1005" s="4" t="s">
        <v>2276</v>
      </c>
      <c r="B1005" s="4" t="s">
        <v>2277</v>
      </c>
      <c r="C1005" s="4" t="s">
        <v>801</v>
      </c>
      <c r="D1005" s="4" t="s">
        <v>330</v>
      </c>
      <c r="E1005" s="4" t="s">
        <v>326</v>
      </c>
      <c r="F1005" s="13">
        <v>1</v>
      </c>
      <c r="G1005" s="13">
        <v>1</v>
      </c>
      <c r="H1005" s="4"/>
      <c r="I1005" s="4"/>
      <c r="J1005" s="4"/>
      <c r="K1005" s="4" t="s">
        <v>304</v>
      </c>
      <c r="L1005" s="4" t="s">
        <v>683</v>
      </c>
    </row>
    <row r="1006" spans="1:12">
      <c r="A1006" s="4" t="s">
        <v>2278</v>
      </c>
      <c r="B1006" s="4" t="s">
        <v>2279</v>
      </c>
      <c r="C1006" s="4" t="s">
        <v>801</v>
      </c>
      <c r="D1006" s="4" t="s">
        <v>330</v>
      </c>
      <c r="E1006" s="4" t="s">
        <v>326</v>
      </c>
      <c r="F1006" s="13">
        <v>1</v>
      </c>
      <c r="G1006" s="13">
        <v>1</v>
      </c>
      <c r="H1006" s="4"/>
      <c r="I1006" s="4"/>
      <c r="J1006" s="4"/>
      <c r="K1006" s="4" t="s">
        <v>304</v>
      </c>
      <c r="L1006" s="4" t="s">
        <v>683</v>
      </c>
    </row>
    <row r="1007" spans="1:12">
      <c r="A1007" s="4" t="s">
        <v>2280</v>
      </c>
      <c r="B1007" s="4" t="s">
        <v>2281</v>
      </c>
      <c r="C1007" s="4" t="s">
        <v>801</v>
      </c>
      <c r="D1007" s="4" t="s">
        <v>330</v>
      </c>
      <c r="E1007" s="4" t="s">
        <v>326</v>
      </c>
      <c r="F1007" s="13">
        <v>1</v>
      </c>
      <c r="G1007" s="13">
        <v>1</v>
      </c>
      <c r="H1007" s="4"/>
      <c r="I1007" s="4"/>
      <c r="J1007" s="4"/>
      <c r="K1007" s="4" t="s">
        <v>304</v>
      </c>
      <c r="L1007" s="4" t="s">
        <v>683</v>
      </c>
    </row>
    <row r="1008" spans="1:12">
      <c r="A1008" s="4" t="s">
        <v>2282</v>
      </c>
      <c r="B1008" s="4" t="s">
        <v>2283</v>
      </c>
      <c r="C1008" s="4" t="s">
        <v>801</v>
      </c>
      <c r="D1008" s="4" t="s">
        <v>330</v>
      </c>
      <c r="E1008" s="4" t="s">
        <v>326</v>
      </c>
      <c r="F1008" s="13">
        <v>1</v>
      </c>
      <c r="G1008" s="13">
        <v>1</v>
      </c>
      <c r="H1008" s="4"/>
      <c r="I1008" s="4"/>
      <c r="J1008" s="4"/>
      <c r="K1008" s="4" t="s">
        <v>304</v>
      </c>
      <c r="L1008" s="4" t="s">
        <v>683</v>
      </c>
    </row>
    <row r="1009" spans="1:12">
      <c r="A1009" s="4" t="s">
        <v>302</v>
      </c>
      <c r="B1009" s="4" t="s">
        <v>2284</v>
      </c>
      <c r="C1009" s="4" t="s">
        <v>801</v>
      </c>
      <c r="D1009" s="4" t="s">
        <v>330</v>
      </c>
      <c r="E1009" s="4" t="s">
        <v>326</v>
      </c>
      <c r="F1009" s="13">
        <v>1</v>
      </c>
      <c r="G1009" s="13">
        <v>2</v>
      </c>
      <c r="H1009" s="4"/>
      <c r="I1009" s="4"/>
      <c r="J1009" s="4"/>
      <c r="K1009" s="4" t="s">
        <v>304</v>
      </c>
      <c r="L1009" s="4"/>
    </row>
    <row r="1010" spans="1:12">
      <c r="A1010" s="4" t="s">
        <v>2285</v>
      </c>
      <c r="B1010" s="4" t="s">
        <v>2286</v>
      </c>
      <c r="C1010" s="4" t="s">
        <v>801</v>
      </c>
      <c r="D1010" s="4" t="s">
        <v>330</v>
      </c>
      <c r="E1010" s="4" t="s">
        <v>326</v>
      </c>
      <c r="F1010" s="13">
        <v>1</v>
      </c>
      <c r="G1010" s="13">
        <v>1</v>
      </c>
      <c r="H1010" s="4"/>
      <c r="I1010" s="4"/>
      <c r="J1010" s="4"/>
      <c r="K1010" s="4" t="s">
        <v>304</v>
      </c>
      <c r="L1010" s="4" t="s">
        <v>683</v>
      </c>
    </row>
    <row r="1011" spans="1:12">
      <c r="A1011" s="4" t="s">
        <v>304</v>
      </c>
      <c r="B1011" s="4" t="s">
        <v>2287</v>
      </c>
      <c r="C1011" s="4" t="s">
        <v>801</v>
      </c>
      <c r="D1011" s="4" t="s">
        <v>702</v>
      </c>
      <c r="E1011" s="4" t="s">
        <v>326</v>
      </c>
      <c r="F1011" s="13">
        <v>2</v>
      </c>
      <c r="G1011" s="13">
        <v>1</v>
      </c>
      <c r="H1011" s="4"/>
      <c r="I1011" s="4"/>
      <c r="J1011" s="4"/>
      <c r="K1011" s="4" t="s">
        <v>306</v>
      </c>
      <c r="L1011" s="4"/>
    </row>
    <row r="1012" spans="1:12">
      <c r="A1012" s="4" t="s">
        <v>2288</v>
      </c>
      <c r="B1012" s="4" t="s">
        <v>2289</v>
      </c>
      <c r="C1012" s="4" t="s">
        <v>801</v>
      </c>
      <c r="D1012" s="4" t="s">
        <v>330</v>
      </c>
      <c r="E1012" s="4" t="s">
        <v>326</v>
      </c>
      <c r="F1012" s="13">
        <v>1</v>
      </c>
      <c r="G1012" s="13">
        <v>1</v>
      </c>
      <c r="H1012" s="4"/>
      <c r="I1012" s="4"/>
      <c r="J1012" s="4"/>
      <c r="K1012" s="4"/>
      <c r="L1012" s="4" t="s">
        <v>683</v>
      </c>
    </row>
    <row r="1013" spans="1:12">
      <c r="A1013" s="4" t="s">
        <v>2290</v>
      </c>
      <c r="B1013" s="4" t="s">
        <v>2291</v>
      </c>
      <c r="C1013" s="4" t="s">
        <v>801</v>
      </c>
      <c r="D1013" s="4" t="s">
        <v>330</v>
      </c>
      <c r="E1013" s="4" t="s">
        <v>326</v>
      </c>
      <c r="F1013" s="13">
        <v>1</v>
      </c>
      <c r="G1013" s="13">
        <v>1</v>
      </c>
      <c r="H1013" s="4"/>
      <c r="I1013" s="4"/>
      <c r="J1013" s="4"/>
      <c r="K1013" s="4"/>
      <c r="L1013" s="4" t="s">
        <v>683</v>
      </c>
    </row>
    <row r="1014" spans="1:12">
      <c r="A1014" s="4" t="s">
        <v>306</v>
      </c>
      <c r="B1014" s="4" t="s">
        <v>2292</v>
      </c>
      <c r="C1014" s="4" t="s">
        <v>801</v>
      </c>
      <c r="D1014" s="4" t="s">
        <v>702</v>
      </c>
      <c r="E1014" s="4" t="s">
        <v>326</v>
      </c>
      <c r="F1014" s="13">
        <v>3</v>
      </c>
      <c r="G1014" s="13">
        <v>2</v>
      </c>
      <c r="H1014" s="4"/>
      <c r="I1014" s="4"/>
      <c r="J1014" s="4"/>
      <c r="K1014" s="4" t="s">
        <v>1009</v>
      </c>
      <c r="L1014" s="4"/>
    </row>
    <row r="1015" spans="1:12">
      <c r="A1015" s="4" t="s">
        <v>2293</v>
      </c>
      <c r="B1015" s="4" t="s">
        <v>2294</v>
      </c>
      <c r="C1015" s="4" t="s">
        <v>801</v>
      </c>
      <c r="D1015" s="4" t="s">
        <v>325</v>
      </c>
      <c r="E1015" s="4" t="s">
        <v>587</v>
      </c>
      <c r="F1015" s="13">
        <v>1</v>
      </c>
      <c r="G1015" s="13">
        <v>1</v>
      </c>
      <c r="H1015" s="4"/>
      <c r="I1015" s="4"/>
      <c r="J1015" s="4"/>
      <c r="K1015" s="4"/>
      <c r="L1015" s="4"/>
    </row>
    <row r="1016" spans="1:12">
      <c r="A1016" s="4" t="s">
        <v>2295</v>
      </c>
      <c r="B1016" s="4" t="s">
        <v>2296</v>
      </c>
      <c r="C1016" s="4" t="s">
        <v>801</v>
      </c>
      <c r="D1016" s="4" t="s">
        <v>325</v>
      </c>
      <c r="E1016" s="4" t="s">
        <v>587</v>
      </c>
      <c r="F1016" s="13">
        <v>4</v>
      </c>
      <c r="G1016" s="13">
        <v>2</v>
      </c>
      <c r="H1016" s="4"/>
      <c r="I1016" s="4"/>
      <c r="J1016" s="4"/>
      <c r="K1016" s="4"/>
      <c r="L1016" s="4"/>
    </row>
    <row r="1017" spans="1:12">
      <c r="A1017" s="4" t="s">
        <v>2297</v>
      </c>
      <c r="B1017" s="4" t="s">
        <v>2298</v>
      </c>
      <c r="C1017" s="4" t="s">
        <v>801</v>
      </c>
      <c r="D1017" s="4" t="s">
        <v>330</v>
      </c>
      <c r="E1017" s="4" t="s">
        <v>587</v>
      </c>
      <c r="F1017" s="13">
        <v>8</v>
      </c>
      <c r="G1017" s="13">
        <v>1</v>
      </c>
      <c r="H1017" s="4"/>
      <c r="I1017" s="4"/>
      <c r="J1017" s="4"/>
      <c r="K1017" s="4" t="s">
        <v>2299</v>
      </c>
      <c r="L1017" s="4"/>
    </row>
    <row r="1018" spans="1:12">
      <c r="A1018" s="4" t="s">
        <v>1098</v>
      </c>
      <c r="B1018" s="4" t="s">
        <v>2300</v>
      </c>
      <c r="C1018" s="4" t="s">
        <v>801</v>
      </c>
      <c r="D1018" s="4" t="s">
        <v>330</v>
      </c>
      <c r="E1018" s="4" t="s">
        <v>587</v>
      </c>
      <c r="F1018" s="13">
        <v>8</v>
      </c>
      <c r="G1018" s="13">
        <v>1</v>
      </c>
      <c r="H1018" s="4"/>
      <c r="I1018" s="4"/>
      <c r="J1018" s="4"/>
      <c r="K1018" s="4" t="s">
        <v>2299</v>
      </c>
      <c r="L1018" s="4" t="s">
        <v>2301</v>
      </c>
    </row>
    <row r="1019" spans="1:12">
      <c r="A1019" s="4" t="s">
        <v>2302</v>
      </c>
      <c r="B1019" s="4" t="s">
        <v>2303</v>
      </c>
      <c r="C1019" s="4" t="s">
        <v>801</v>
      </c>
      <c r="D1019" s="4" t="s">
        <v>330</v>
      </c>
      <c r="E1019" s="4" t="s">
        <v>587</v>
      </c>
      <c r="F1019" s="13">
        <v>8</v>
      </c>
      <c r="G1019" s="13">
        <v>1</v>
      </c>
      <c r="H1019" s="4"/>
      <c r="I1019" s="4"/>
      <c r="J1019" s="4"/>
      <c r="K1019" s="4" t="s">
        <v>2299</v>
      </c>
      <c r="L1019" s="4"/>
    </row>
    <row r="1020" spans="1:12">
      <c r="A1020" s="4" t="s">
        <v>2304</v>
      </c>
      <c r="B1020" s="4" t="s">
        <v>2305</v>
      </c>
      <c r="C1020" s="4" t="s">
        <v>801</v>
      </c>
      <c r="D1020" s="4" t="s">
        <v>330</v>
      </c>
      <c r="E1020" s="4" t="s">
        <v>587</v>
      </c>
      <c r="F1020" s="13">
        <v>8</v>
      </c>
      <c r="G1020" s="13">
        <v>1</v>
      </c>
      <c r="H1020" s="4"/>
      <c r="I1020" s="4"/>
      <c r="J1020" s="4"/>
      <c r="K1020" s="4" t="s">
        <v>2299</v>
      </c>
      <c r="L1020" s="4"/>
    </row>
    <row r="1021" spans="1:12">
      <c r="A1021" s="4" t="s">
        <v>1094</v>
      </c>
      <c r="B1021" s="4" t="s">
        <v>2306</v>
      </c>
      <c r="C1021" s="4" t="s">
        <v>801</v>
      </c>
      <c r="D1021" s="4" t="s">
        <v>330</v>
      </c>
      <c r="E1021" s="4" t="s">
        <v>587</v>
      </c>
      <c r="F1021" s="13">
        <v>8</v>
      </c>
      <c r="G1021" s="13">
        <v>1</v>
      </c>
      <c r="H1021" s="4"/>
      <c r="I1021" s="4"/>
      <c r="J1021" s="4"/>
      <c r="K1021" s="4" t="s">
        <v>2299</v>
      </c>
      <c r="L1021" s="4" t="s">
        <v>2301</v>
      </c>
    </row>
    <row r="1022" spans="1:12">
      <c r="A1022" s="4" t="s">
        <v>2307</v>
      </c>
      <c r="B1022" s="4" t="s">
        <v>2308</v>
      </c>
      <c r="C1022" s="4" t="s">
        <v>801</v>
      </c>
      <c r="D1022" s="4" t="s">
        <v>330</v>
      </c>
      <c r="E1022" s="4" t="s">
        <v>587</v>
      </c>
      <c r="F1022" s="13">
        <v>8</v>
      </c>
      <c r="G1022" s="13">
        <v>1</v>
      </c>
      <c r="H1022" s="4"/>
      <c r="I1022" s="4"/>
      <c r="J1022" s="4"/>
      <c r="K1022" s="4" t="s">
        <v>2299</v>
      </c>
      <c r="L1022" s="4" t="s">
        <v>2301</v>
      </c>
    </row>
    <row r="1023" spans="1:12">
      <c r="A1023" s="4" t="s">
        <v>2309</v>
      </c>
      <c r="B1023" s="4" t="s">
        <v>2310</v>
      </c>
      <c r="C1023" s="4" t="s">
        <v>801</v>
      </c>
      <c r="D1023" s="4" t="s">
        <v>330</v>
      </c>
      <c r="E1023" s="4" t="s">
        <v>587</v>
      </c>
      <c r="F1023" s="13">
        <v>8</v>
      </c>
      <c r="G1023" s="13">
        <v>1</v>
      </c>
      <c r="H1023" s="4"/>
      <c r="I1023" s="4"/>
      <c r="J1023" s="4"/>
      <c r="K1023" s="4" t="s">
        <v>2299</v>
      </c>
      <c r="L1023" s="4"/>
    </row>
    <row r="1024" spans="1:12">
      <c r="A1024" s="4" t="s">
        <v>2311</v>
      </c>
      <c r="B1024" s="4" t="s">
        <v>2312</v>
      </c>
      <c r="C1024" s="4" t="s">
        <v>801</v>
      </c>
      <c r="D1024" s="4" t="s">
        <v>330</v>
      </c>
      <c r="E1024" s="4" t="s">
        <v>587</v>
      </c>
      <c r="F1024" s="13">
        <v>8</v>
      </c>
      <c r="G1024" s="13">
        <v>1</v>
      </c>
      <c r="H1024" s="4"/>
      <c r="I1024" s="4"/>
      <c r="J1024" s="4"/>
      <c r="K1024" s="4" t="s">
        <v>2299</v>
      </c>
      <c r="L1024" s="4"/>
    </row>
    <row r="1025" spans="1:12">
      <c r="A1025" s="4" t="s">
        <v>2313</v>
      </c>
      <c r="B1025" s="4" t="s">
        <v>2314</v>
      </c>
      <c r="C1025" s="4" t="s">
        <v>801</v>
      </c>
      <c r="D1025" s="4" t="s">
        <v>330</v>
      </c>
      <c r="E1025" s="4" t="s">
        <v>587</v>
      </c>
      <c r="F1025" s="13">
        <v>8</v>
      </c>
      <c r="G1025" s="13">
        <v>1</v>
      </c>
      <c r="H1025" s="4"/>
      <c r="I1025" s="4"/>
      <c r="J1025" s="4"/>
      <c r="K1025" s="4" t="s">
        <v>2299</v>
      </c>
      <c r="L1025" s="4"/>
    </row>
    <row r="1026" spans="1:12">
      <c r="A1026" s="4" t="s">
        <v>2315</v>
      </c>
      <c r="B1026" s="4" t="s">
        <v>2316</v>
      </c>
      <c r="C1026" s="4" t="s">
        <v>801</v>
      </c>
      <c r="D1026" s="4" t="s">
        <v>330</v>
      </c>
      <c r="E1026" s="4" t="s">
        <v>587</v>
      </c>
      <c r="F1026" s="13">
        <v>8</v>
      </c>
      <c r="G1026" s="13">
        <v>1</v>
      </c>
      <c r="H1026" s="4"/>
      <c r="I1026" s="4"/>
      <c r="J1026" s="4"/>
      <c r="K1026" s="4" t="s">
        <v>2299</v>
      </c>
      <c r="L1026" s="4"/>
    </row>
    <row r="1027" spans="1:12">
      <c r="A1027" s="4" t="s">
        <v>2317</v>
      </c>
      <c r="B1027" s="4" t="s">
        <v>2318</v>
      </c>
      <c r="C1027" s="4" t="s">
        <v>801</v>
      </c>
      <c r="D1027" s="4" t="s">
        <v>330</v>
      </c>
      <c r="E1027" s="4" t="s">
        <v>587</v>
      </c>
      <c r="F1027" s="13">
        <v>8</v>
      </c>
      <c r="G1027" s="13">
        <v>1</v>
      </c>
      <c r="H1027" s="4"/>
      <c r="I1027" s="4"/>
      <c r="J1027" s="4"/>
      <c r="K1027" s="4" t="s">
        <v>2299</v>
      </c>
      <c r="L1027" s="4"/>
    </row>
    <row r="1028" spans="1:12">
      <c r="A1028" s="4" t="s">
        <v>2319</v>
      </c>
      <c r="B1028" s="4" t="s">
        <v>2308</v>
      </c>
      <c r="C1028" s="4" t="s">
        <v>801</v>
      </c>
      <c r="D1028" s="4" t="s">
        <v>330</v>
      </c>
      <c r="E1028" s="4" t="s">
        <v>587</v>
      </c>
      <c r="F1028" s="13">
        <v>8</v>
      </c>
      <c r="G1028" s="13">
        <v>1</v>
      </c>
      <c r="H1028" s="4"/>
      <c r="I1028" s="4"/>
      <c r="J1028" s="4"/>
      <c r="K1028" s="4" t="s">
        <v>2299</v>
      </c>
      <c r="L1028" s="4" t="s">
        <v>2301</v>
      </c>
    </row>
    <row r="1029" spans="1:12">
      <c r="A1029" s="4" t="s">
        <v>2320</v>
      </c>
      <c r="B1029" s="4" t="s">
        <v>2321</v>
      </c>
      <c r="C1029" s="4" t="s">
        <v>801</v>
      </c>
      <c r="D1029" s="4" t="s">
        <v>330</v>
      </c>
      <c r="E1029" s="4" t="s">
        <v>587</v>
      </c>
      <c r="F1029" s="13">
        <v>8</v>
      </c>
      <c r="G1029" s="13">
        <v>1</v>
      </c>
      <c r="H1029" s="4"/>
      <c r="I1029" s="4"/>
      <c r="J1029" s="4"/>
      <c r="K1029" s="4" t="s">
        <v>2299</v>
      </c>
      <c r="L1029" s="4"/>
    </row>
    <row r="1030" spans="1:12">
      <c r="A1030" s="4" t="s">
        <v>2322</v>
      </c>
      <c r="B1030" s="4" t="s">
        <v>2323</v>
      </c>
      <c r="C1030" s="4" t="s">
        <v>801</v>
      </c>
      <c r="D1030" s="4" t="s">
        <v>330</v>
      </c>
      <c r="E1030" s="4" t="s">
        <v>587</v>
      </c>
      <c r="F1030" s="13">
        <v>8</v>
      </c>
      <c r="G1030" s="13">
        <v>1</v>
      </c>
      <c r="H1030" s="4"/>
      <c r="I1030" s="4"/>
      <c r="J1030" s="4"/>
      <c r="K1030" s="4" t="s">
        <v>2299</v>
      </c>
      <c r="L1030" s="4"/>
    </row>
    <row r="1031" spans="1:12">
      <c r="A1031" s="4" t="s">
        <v>2324</v>
      </c>
      <c r="B1031" s="4" t="s">
        <v>2325</v>
      </c>
      <c r="C1031" s="4" t="s">
        <v>801</v>
      </c>
      <c r="D1031" s="4" t="s">
        <v>330</v>
      </c>
      <c r="E1031" s="4" t="s">
        <v>587</v>
      </c>
      <c r="F1031" s="13">
        <v>8</v>
      </c>
      <c r="G1031" s="13">
        <v>1</v>
      </c>
      <c r="H1031" s="4"/>
      <c r="I1031" s="4"/>
      <c r="J1031" s="4"/>
      <c r="K1031" s="4" t="s">
        <v>2299</v>
      </c>
      <c r="L1031" s="4"/>
    </row>
    <row r="1032" spans="1:12">
      <c r="A1032" s="4" t="s">
        <v>2326</v>
      </c>
      <c r="B1032" s="4" t="s">
        <v>2327</v>
      </c>
      <c r="C1032" s="4" t="s">
        <v>801</v>
      </c>
      <c r="D1032" s="4" t="s">
        <v>330</v>
      </c>
      <c r="E1032" s="4" t="s">
        <v>587</v>
      </c>
      <c r="F1032" s="13">
        <v>8</v>
      </c>
      <c r="G1032" s="13">
        <v>1</v>
      </c>
      <c r="H1032" s="4"/>
      <c r="I1032" s="4"/>
      <c r="J1032" s="4"/>
      <c r="K1032" s="4" t="s">
        <v>2299</v>
      </c>
      <c r="L1032" s="4"/>
    </row>
    <row r="1033" spans="1:12">
      <c r="A1033" s="4" t="s">
        <v>2328</v>
      </c>
      <c r="B1033" s="4" t="s">
        <v>2329</v>
      </c>
      <c r="C1033" s="4" t="s">
        <v>801</v>
      </c>
      <c r="D1033" s="4" t="s">
        <v>330</v>
      </c>
      <c r="E1033" s="4" t="s">
        <v>587</v>
      </c>
      <c r="F1033" s="13">
        <v>8</v>
      </c>
      <c r="G1033" s="13">
        <v>1</v>
      </c>
      <c r="H1033" s="4"/>
      <c r="I1033" s="4"/>
      <c r="J1033" s="4"/>
      <c r="K1033" s="4" t="s">
        <v>2299</v>
      </c>
      <c r="L1033" s="4"/>
    </row>
    <row r="1034" spans="1:12">
      <c r="A1034" s="4" t="s">
        <v>2330</v>
      </c>
      <c r="B1034" s="4" t="s">
        <v>2331</v>
      </c>
      <c r="C1034" s="4" t="s">
        <v>801</v>
      </c>
      <c r="D1034" s="4" t="s">
        <v>330</v>
      </c>
      <c r="E1034" s="4" t="s">
        <v>587</v>
      </c>
      <c r="F1034" s="13">
        <v>8</v>
      </c>
      <c r="G1034" s="13">
        <v>1</v>
      </c>
      <c r="H1034" s="4"/>
      <c r="I1034" s="4"/>
      <c r="J1034" s="4"/>
      <c r="K1034" s="4" t="s">
        <v>2299</v>
      </c>
      <c r="L1034" s="4"/>
    </row>
    <row r="1035" spans="1:12">
      <c r="A1035" s="4" t="s">
        <v>2332</v>
      </c>
      <c r="B1035" s="4" t="s">
        <v>2333</v>
      </c>
      <c r="C1035" s="4" t="s">
        <v>801</v>
      </c>
      <c r="D1035" s="4" t="s">
        <v>330</v>
      </c>
      <c r="E1035" s="4" t="s">
        <v>587</v>
      </c>
      <c r="F1035" s="13">
        <v>8</v>
      </c>
      <c r="G1035" s="13">
        <v>1</v>
      </c>
      <c r="H1035" s="4"/>
      <c r="I1035" s="4"/>
      <c r="J1035" s="4"/>
      <c r="K1035" s="4" t="s">
        <v>2299</v>
      </c>
      <c r="L1035" s="4"/>
    </row>
    <row r="1036" spans="1:12">
      <c r="A1036" s="4" t="s">
        <v>2334</v>
      </c>
      <c r="B1036" s="4" t="s">
        <v>2335</v>
      </c>
      <c r="C1036" s="4" t="s">
        <v>801</v>
      </c>
      <c r="D1036" s="4" t="s">
        <v>330</v>
      </c>
      <c r="E1036" s="4" t="s">
        <v>587</v>
      </c>
      <c r="F1036" s="13">
        <v>8</v>
      </c>
      <c r="G1036" s="13">
        <v>1</v>
      </c>
      <c r="H1036" s="4"/>
      <c r="I1036" s="4"/>
      <c r="J1036" s="4"/>
      <c r="K1036" s="4" t="s">
        <v>2299</v>
      </c>
      <c r="L1036" s="4"/>
    </row>
    <row r="1037" spans="1:12">
      <c r="A1037" s="4" t="s">
        <v>2336</v>
      </c>
      <c r="B1037" s="4" t="s">
        <v>2337</v>
      </c>
      <c r="C1037" s="4" t="s">
        <v>801</v>
      </c>
      <c r="D1037" s="4" t="s">
        <v>330</v>
      </c>
      <c r="E1037" s="4" t="s">
        <v>587</v>
      </c>
      <c r="F1037" s="13">
        <v>8</v>
      </c>
      <c r="G1037" s="13">
        <v>1</v>
      </c>
      <c r="H1037" s="4"/>
      <c r="I1037" s="4"/>
      <c r="J1037" s="4"/>
      <c r="K1037" s="4" t="s">
        <v>2299</v>
      </c>
      <c r="L1037" s="4"/>
    </row>
    <row r="1038" spans="1:12">
      <c r="A1038" s="4" t="s">
        <v>2338</v>
      </c>
      <c r="B1038" s="4" t="s">
        <v>2339</v>
      </c>
      <c r="C1038" s="4" t="s">
        <v>801</v>
      </c>
      <c r="D1038" s="4" t="s">
        <v>330</v>
      </c>
      <c r="E1038" s="4" t="s">
        <v>587</v>
      </c>
      <c r="F1038" s="13">
        <v>8</v>
      </c>
      <c r="G1038" s="13">
        <v>1</v>
      </c>
      <c r="H1038" s="4"/>
      <c r="I1038" s="4"/>
      <c r="J1038" s="4"/>
      <c r="K1038" s="4" t="s">
        <v>2299</v>
      </c>
      <c r="L1038" s="4"/>
    </row>
    <row r="1039" spans="1:12">
      <c r="A1039" s="4" t="s">
        <v>2340</v>
      </c>
      <c r="B1039" s="4" t="s">
        <v>2341</v>
      </c>
      <c r="C1039" s="4" t="s">
        <v>801</v>
      </c>
      <c r="D1039" s="4" t="s">
        <v>330</v>
      </c>
      <c r="E1039" s="4" t="s">
        <v>587</v>
      </c>
      <c r="F1039" s="13">
        <v>8</v>
      </c>
      <c r="G1039" s="13">
        <v>1</v>
      </c>
      <c r="H1039" s="4"/>
      <c r="I1039" s="4"/>
      <c r="J1039" s="4"/>
      <c r="K1039" s="4" t="s">
        <v>2299</v>
      </c>
      <c r="L1039" s="4"/>
    </row>
    <row r="1040" spans="1:12">
      <c r="A1040" s="4" t="s">
        <v>2342</v>
      </c>
      <c r="B1040" s="4" t="s">
        <v>2343</v>
      </c>
      <c r="C1040" s="4" t="s">
        <v>801</v>
      </c>
      <c r="D1040" s="4" t="s">
        <v>330</v>
      </c>
      <c r="E1040" s="4" t="s">
        <v>587</v>
      </c>
      <c r="F1040" s="13">
        <v>8</v>
      </c>
      <c r="G1040" s="13">
        <v>1</v>
      </c>
      <c r="H1040" s="4"/>
      <c r="I1040" s="4"/>
      <c r="J1040" s="4"/>
      <c r="K1040" s="4" t="s">
        <v>2299</v>
      </c>
      <c r="L1040" s="4"/>
    </row>
    <row r="1041" spans="1:12">
      <c r="A1041" s="4" t="s">
        <v>2344</v>
      </c>
      <c r="B1041" s="4" t="s">
        <v>2345</v>
      </c>
      <c r="C1041" s="4" t="s">
        <v>801</v>
      </c>
      <c r="D1041" s="4" t="s">
        <v>330</v>
      </c>
      <c r="E1041" s="4" t="s">
        <v>587</v>
      </c>
      <c r="F1041" s="13">
        <v>8</v>
      </c>
      <c r="G1041" s="13">
        <v>1</v>
      </c>
      <c r="H1041" s="4"/>
      <c r="I1041" s="4"/>
      <c r="J1041" s="4"/>
      <c r="K1041" s="4" t="s">
        <v>2299</v>
      </c>
      <c r="L1041" s="4"/>
    </row>
    <row r="1042" spans="1:12">
      <c r="A1042" s="4" t="s">
        <v>2346</v>
      </c>
      <c r="B1042" s="4" t="s">
        <v>2347</v>
      </c>
      <c r="C1042" s="4" t="s">
        <v>801</v>
      </c>
      <c r="D1042" s="4" t="s">
        <v>330</v>
      </c>
      <c r="E1042" s="4" t="s">
        <v>587</v>
      </c>
      <c r="F1042" s="13">
        <v>1</v>
      </c>
      <c r="G1042" s="13">
        <v>1</v>
      </c>
      <c r="H1042" s="4"/>
      <c r="I1042" s="4"/>
      <c r="J1042" s="4"/>
      <c r="K1042" s="4" t="s">
        <v>2299</v>
      </c>
      <c r="L1042" s="4"/>
    </row>
    <row r="1043" spans="1:12">
      <c r="A1043" s="4" t="s">
        <v>2348</v>
      </c>
      <c r="B1043" s="4" t="s">
        <v>2349</v>
      </c>
      <c r="C1043" s="4" t="s">
        <v>801</v>
      </c>
      <c r="D1043" s="4" t="s">
        <v>330</v>
      </c>
      <c r="E1043" s="4" t="s">
        <v>587</v>
      </c>
      <c r="F1043" s="13">
        <v>8</v>
      </c>
      <c r="G1043" s="13">
        <v>1</v>
      </c>
      <c r="H1043" s="4"/>
      <c r="I1043" s="4" t="s">
        <v>1094</v>
      </c>
      <c r="J1043" s="4"/>
      <c r="K1043" s="4" t="s">
        <v>2299</v>
      </c>
      <c r="L1043" s="4" t="s">
        <v>2350</v>
      </c>
    </row>
    <row r="1044" spans="1:12">
      <c r="A1044" s="4" t="s">
        <v>2351</v>
      </c>
      <c r="B1044" s="4" t="s">
        <v>2352</v>
      </c>
      <c r="C1044" s="4" t="s">
        <v>801</v>
      </c>
      <c r="D1044" s="4" t="s">
        <v>330</v>
      </c>
      <c r="E1044" s="4" t="s">
        <v>587</v>
      </c>
      <c r="F1044" s="13">
        <v>8</v>
      </c>
      <c r="G1044" s="13">
        <v>2</v>
      </c>
      <c r="H1044" s="4"/>
      <c r="I1044" s="4"/>
      <c r="J1044" s="4"/>
      <c r="K1044" s="4" t="s">
        <v>2299</v>
      </c>
      <c r="L1044" s="4" t="s">
        <v>2353</v>
      </c>
    </row>
    <row r="1045" spans="1:12">
      <c r="A1045" s="4" t="s">
        <v>2299</v>
      </c>
      <c r="B1045" s="4" t="s">
        <v>2354</v>
      </c>
      <c r="C1045" s="4" t="s">
        <v>801</v>
      </c>
      <c r="D1045" s="4" t="s">
        <v>702</v>
      </c>
      <c r="E1045" s="4" t="s">
        <v>587</v>
      </c>
      <c r="F1045" s="13">
        <v>12</v>
      </c>
      <c r="G1045" s="13">
        <v>1</v>
      </c>
      <c r="H1045" s="4"/>
      <c r="I1045" s="4"/>
      <c r="J1045" s="4"/>
      <c r="K1045" s="4" t="s">
        <v>2355</v>
      </c>
      <c r="L1045" s="4"/>
    </row>
    <row r="1046" spans="1:12">
      <c r="A1046" s="4" t="s">
        <v>2356</v>
      </c>
      <c r="B1046" s="4" t="s">
        <v>2357</v>
      </c>
      <c r="C1046" s="4" t="s">
        <v>801</v>
      </c>
      <c r="D1046" s="4" t="s">
        <v>325</v>
      </c>
      <c r="E1046" s="4" t="s">
        <v>587</v>
      </c>
      <c r="F1046" s="13">
        <v>4</v>
      </c>
      <c r="G1046" s="13">
        <v>2</v>
      </c>
      <c r="H1046" s="4"/>
      <c r="I1046" s="4"/>
      <c r="J1046" s="4"/>
      <c r="K1046" s="4" t="s">
        <v>2358</v>
      </c>
      <c r="L1046" s="4"/>
    </row>
    <row r="1047" spans="1:12">
      <c r="A1047" s="4" t="s">
        <v>2359</v>
      </c>
      <c r="B1047" s="4" t="s">
        <v>2360</v>
      </c>
      <c r="C1047" s="4" t="s">
        <v>801</v>
      </c>
      <c r="D1047" s="4" t="s">
        <v>330</v>
      </c>
      <c r="E1047" s="4" t="s">
        <v>587</v>
      </c>
      <c r="F1047" s="13">
        <v>8</v>
      </c>
      <c r="G1047" s="13">
        <v>1</v>
      </c>
      <c r="H1047" s="4"/>
      <c r="I1047" s="4"/>
      <c r="J1047" s="4"/>
      <c r="K1047" s="4" t="s">
        <v>2361</v>
      </c>
      <c r="L1047" s="4"/>
    </row>
    <row r="1048" spans="1:12">
      <c r="A1048" s="4" t="s">
        <v>2362</v>
      </c>
      <c r="B1048" s="4" t="s">
        <v>2363</v>
      </c>
      <c r="C1048" s="4" t="s">
        <v>801</v>
      </c>
      <c r="D1048" s="4" t="s">
        <v>330</v>
      </c>
      <c r="E1048" s="4" t="s">
        <v>587</v>
      </c>
      <c r="F1048" s="13">
        <v>8</v>
      </c>
      <c r="G1048" s="13">
        <v>1</v>
      </c>
      <c r="H1048" s="4"/>
      <c r="I1048" s="4"/>
      <c r="J1048" s="4"/>
      <c r="K1048" s="4" t="s">
        <v>2361</v>
      </c>
      <c r="L1048" s="4"/>
    </row>
    <row r="1049" spans="1:12">
      <c r="A1049" s="4" t="s">
        <v>2361</v>
      </c>
      <c r="B1049" s="4" t="s">
        <v>2364</v>
      </c>
      <c r="C1049" s="4" t="s">
        <v>801</v>
      </c>
      <c r="D1049" s="4" t="s">
        <v>702</v>
      </c>
      <c r="E1049" s="4" t="s">
        <v>587</v>
      </c>
      <c r="F1049" s="13">
        <v>12</v>
      </c>
      <c r="G1049" s="13">
        <v>1</v>
      </c>
      <c r="H1049" s="4"/>
      <c r="I1049" s="4"/>
      <c r="J1049" s="4"/>
      <c r="K1049" s="4" t="s">
        <v>2358</v>
      </c>
      <c r="L1049" s="4"/>
    </row>
    <row r="1050" spans="1:12">
      <c r="A1050" s="4" t="s">
        <v>2365</v>
      </c>
      <c r="B1050" s="4" t="s">
        <v>2366</v>
      </c>
      <c r="C1050" s="4" t="s">
        <v>801</v>
      </c>
      <c r="D1050" s="4" t="s">
        <v>330</v>
      </c>
      <c r="E1050" s="4" t="s">
        <v>587</v>
      </c>
      <c r="F1050" s="13">
        <v>8</v>
      </c>
      <c r="G1050" s="13">
        <v>1</v>
      </c>
      <c r="H1050" s="4"/>
      <c r="I1050" s="4"/>
      <c r="J1050" s="4"/>
      <c r="K1050" s="4" t="s">
        <v>2367</v>
      </c>
      <c r="L1050" s="4"/>
    </row>
    <row r="1051" spans="1:12">
      <c r="A1051" s="4" t="s">
        <v>2368</v>
      </c>
      <c r="B1051" s="4" t="s">
        <v>2369</v>
      </c>
      <c r="C1051" s="4" t="s">
        <v>801</v>
      </c>
      <c r="D1051" s="4" t="s">
        <v>330</v>
      </c>
      <c r="E1051" s="4" t="s">
        <v>587</v>
      </c>
      <c r="F1051" s="13">
        <v>8</v>
      </c>
      <c r="G1051" s="13">
        <v>1</v>
      </c>
      <c r="H1051" s="4"/>
      <c r="I1051" s="4"/>
      <c r="J1051" s="4"/>
      <c r="K1051" s="4" t="s">
        <v>2367</v>
      </c>
      <c r="L1051" s="4"/>
    </row>
    <row r="1052" spans="1:12">
      <c r="A1052" s="4" t="s">
        <v>2367</v>
      </c>
      <c r="B1052" s="4" t="s">
        <v>2370</v>
      </c>
      <c r="C1052" s="4" t="s">
        <v>801</v>
      </c>
      <c r="D1052" s="4" t="s">
        <v>702</v>
      </c>
      <c r="E1052" s="4" t="s">
        <v>587</v>
      </c>
      <c r="F1052" s="13">
        <v>12</v>
      </c>
      <c r="G1052" s="13">
        <v>1</v>
      </c>
      <c r="H1052" s="4"/>
      <c r="I1052" s="4"/>
      <c r="J1052" s="4"/>
      <c r="K1052" s="4" t="s">
        <v>2358</v>
      </c>
      <c r="L1052" s="4"/>
    </row>
    <row r="1053" spans="1:12">
      <c r="A1053" s="4" t="s">
        <v>2358</v>
      </c>
      <c r="B1053" s="4" t="s">
        <v>2371</v>
      </c>
      <c r="C1053" s="4" t="s">
        <v>801</v>
      </c>
      <c r="D1053" s="4" t="s">
        <v>702</v>
      </c>
      <c r="E1053" s="4" t="s">
        <v>587</v>
      </c>
      <c r="F1053" s="13">
        <v>12</v>
      </c>
      <c r="G1053" s="13">
        <v>1</v>
      </c>
      <c r="H1053" s="4"/>
      <c r="I1053" s="4"/>
      <c r="J1053" s="4"/>
      <c r="K1053" s="4" t="s">
        <v>2355</v>
      </c>
      <c r="L1053" s="4"/>
    </row>
    <row r="1054" spans="1:12">
      <c r="A1054" s="4" t="s">
        <v>2372</v>
      </c>
      <c r="B1054" s="4" t="s">
        <v>2373</v>
      </c>
      <c r="C1054" s="4" t="s">
        <v>801</v>
      </c>
      <c r="D1054" s="4" t="s">
        <v>325</v>
      </c>
      <c r="E1054" s="4" t="s">
        <v>587</v>
      </c>
      <c r="F1054" s="13">
        <v>4</v>
      </c>
      <c r="G1054" s="13">
        <v>2</v>
      </c>
      <c r="H1054" s="4"/>
      <c r="I1054" s="4"/>
      <c r="J1054" s="4"/>
      <c r="K1054" s="4"/>
      <c r="L1054" s="4"/>
    </row>
    <row r="1055" spans="1:12">
      <c r="A1055" s="4" t="s">
        <v>2374</v>
      </c>
      <c r="B1055" s="4" t="s">
        <v>2375</v>
      </c>
      <c r="C1055" s="4" t="s">
        <v>801</v>
      </c>
      <c r="D1055" s="4" t="s">
        <v>330</v>
      </c>
      <c r="E1055" s="4" t="s">
        <v>587</v>
      </c>
      <c r="F1055" s="13">
        <v>8</v>
      </c>
      <c r="G1055" s="13">
        <v>1</v>
      </c>
      <c r="H1055" s="4"/>
      <c r="I1055" s="4"/>
      <c r="J1055" s="4"/>
      <c r="K1055" s="4" t="s">
        <v>2376</v>
      </c>
      <c r="L1055" s="4"/>
    </row>
    <row r="1056" spans="1:12">
      <c r="A1056" s="4" t="s">
        <v>2377</v>
      </c>
      <c r="B1056" s="4" t="s">
        <v>2378</v>
      </c>
      <c r="C1056" s="4" t="s">
        <v>801</v>
      </c>
      <c r="D1056" s="4" t="s">
        <v>330</v>
      </c>
      <c r="E1056" s="4" t="s">
        <v>587</v>
      </c>
      <c r="F1056" s="13">
        <v>8</v>
      </c>
      <c r="G1056" s="13">
        <v>1</v>
      </c>
      <c r="H1056" s="4"/>
      <c r="I1056" s="4"/>
      <c r="J1056" s="4"/>
      <c r="K1056" s="4" t="s">
        <v>2376</v>
      </c>
      <c r="L1056" s="4"/>
    </row>
    <row r="1057" spans="1:12">
      <c r="A1057" s="4" t="s">
        <v>2379</v>
      </c>
      <c r="B1057" s="4" t="s">
        <v>2380</v>
      </c>
      <c r="C1057" s="4" t="s">
        <v>801</v>
      </c>
      <c r="D1057" s="4" t="s">
        <v>330</v>
      </c>
      <c r="E1057" s="4" t="s">
        <v>587</v>
      </c>
      <c r="F1057" s="13">
        <v>8</v>
      </c>
      <c r="G1057" s="13">
        <v>1</v>
      </c>
      <c r="H1057" s="4"/>
      <c r="I1057" s="4"/>
      <c r="J1057" s="4"/>
      <c r="K1057" s="4" t="s">
        <v>2376</v>
      </c>
      <c r="L1057" s="4"/>
    </row>
    <row r="1058" spans="1:12">
      <c r="A1058" s="4" t="s">
        <v>2381</v>
      </c>
      <c r="B1058" s="4" t="s">
        <v>2382</v>
      </c>
      <c r="C1058" s="4" t="s">
        <v>801</v>
      </c>
      <c r="D1058" s="4" t="s">
        <v>330</v>
      </c>
      <c r="E1058" s="4" t="s">
        <v>587</v>
      </c>
      <c r="F1058" s="13">
        <v>8</v>
      </c>
      <c r="G1058" s="13">
        <v>1</v>
      </c>
      <c r="H1058" s="4"/>
      <c r="I1058" s="4"/>
      <c r="J1058" s="4"/>
      <c r="K1058" s="4" t="s">
        <v>2376</v>
      </c>
      <c r="L1058" s="4"/>
    </row>
    <row r="1059" spans="1:12">
      <c r="A1059" s="4" t="s">
        <v>2383</v>
      </c>
      <c r="B1059" s="4" t="s">
        <v>2384</v>
      </c>
      <c r="C1059" s="4" t="s">
        <v>801</v>
      </c>
      <c r="D1059" s="4" t="s">
        <v>330</v>
      </c>
      <c r="E1059" s="4" t="s">
        <v>587</v>
      </c>
      <c r="F1059" s="13">
        <v>8</v>
      </c>
      <c r="G1059" s="13">
        <v>1</v>
      </c>
      <c r="H1059" s="4"/>
      <c r="I1059" s="4"/>
      <c r="J1059" s="4"/>
      <c r="K1059" s="4" t="s">
        <v>2376</v>
      </c>
      <c r="L1059" s="4"/>
    </row>
    <row r="1060" spans="1:12">
      <c r="A1060" s="4" t="s">
        <v>2385</v>
      </c>
      <c r="B1060" s="4" t="s">
        <v>2386</v>
      </c>
      <c r="C1060" s="4" t="s">
        <v>801</v>
      </c>
      <c r="D1060" s="4" t="s">
        <v>330</v>
      </c>
      <c r="E1060" s="4" t="s">
        <v>587</v>
      </c>
      <c r="F1060" s="13">
        <v>8</v>
      </c>
      <c r="G1060" s="13">
        <v>1</v>
      </c>
      <c r="H1060" s="4"/>
      <c r="I1060" s="4"/>
      <c r="J1060" s="4"/>
      <c r="K1060" s="4" t="s">
        <v>2376</v>
      </c>
      <c r="L1060" s="4"/>
    </row>
    <row r="1061" spans="1:12">
      <c r="A1061" s="4" t="s">
        <v>2387</v>
      </c>
      <c r="B1061" s="4" t="s">
        <v>2388</v>
      </c>
      <c r="C1061" s="4" t="s">
        <v>801</v>
      </c>
      <c r="D1061" s="4" t="s">
        <v>330</v>
      </c>
      <c r="E1061" s="4" t="s">
        <v>587</v>
      </c>
      <c r="F1061" s="13">
        <v>8</v>
      </c>
      <c r="G1061" s="13">
        <v>1</v>
      </c>
      <c r="H1061" s="4"/>
      <c r="I1061" s="4"/>
      <c r="J1061" s="4"/>
      <c r="K1061" s="4" t="s">
        <v>2376</v>
      </c>
      <c r="L1061" s="4"/>
    </row>
    <row r="1062" spans="1:12">
      <c r="A1062" s="4" t="s">
        <v>2389</v>
      </c>
      <c r="B1062" s="4" t="s">
        <v>2390</v>
      </c>
      <c r="C1062" s="4" t="s">
        <v>801</v>
      </c>
      <c r="D1062" s="4" t="s">
        <v>330</v>
      </c>
      <c r="E1062" s="4" t="s">
        <v>587</v>
      </c>
      <c r="F1062" s="13">
        <v>8</v>
      </c>
      <c r="G1062" s="13">
        <v>1</v>
      </c>
      <c r="H1062" s="4"/>
      <c r="I1062" s="4"/>
      <c r="J1062" s="4"/>
      <c r="K1062" s="4" t="s">
        <v>2376</v>
      </c>
      <c r="L1062" s="4"/>
    </row>
    <row r="1063" spans="1:12">
      <c r="A1063" s="4" t="s">
        <v>2391</v>
      </c>
      <c r="B1063" s="4" t="s">
        <v>2392</v>
      </c>
      <c r="C1063" s="4" t="s">
        <v>801</v>
      </c>
      <c r="D1063" s="4" t="s">
        <v>330</v>
      </c>
      <c r="E1063" s="4" t="s">
        <v>587</v>
      </c>
      <c r="F1063" s="13">
        <v>8</v>
      </c>
      <c r="G1063" s="13">
        <v>1</v>
      </c>
      <c r="H1063" s="4"/>
      <c r="I1063" s="4"/>
      <c r="J1063" s="4"/>
      <c r="K1063" s="4" t="s">
        <v>2376</v>
      </c>
      <c r="L1063" s="4"/>
    </row>
    <row r="1064" spans="1:12">
      <c r="A1064" s="4" t="s">
        <v>2393</v>
      </c>
      <c r="B1064" s="4" t="s">
        <v>2394</v>
      </c>
      <c r="C1064" s="4" t="s">
        <v>801</v>
      </c>
      <c r="D1064" s="4" t="s">
        <v>330</v>
      </c>
      <c r="E1064" s="4" t="s">
        <v>587</v>
      </c>
      <c r="F1064" s="13">
        <v>8</v>
      </c>
      <c r="G1064" s="13">
        <v>1</v>
      </c>
      <c r="H1064" s="4"/>
      <c r="I1064" s="4"/>
      <c r="J1064" s="4"/>
      <c r="K1064" s="4" t="s">
        <v>2376</v>
      </c>
      <c r="L1064" s="4"/>
    </row>
    <row r="1065" spans="1:12">
      <c r="A1065" s="4" t="s">
        <v>2395</v>
      </c>
      <c r="B1065" s="4" t="s">
        <v>2396</v>
      </c>
      <c r="C1065" s="4" t="s">
        <v>801</v>
      </c>
      <c r="D1065" s="4" t="s">
        <v>330</v>
      </c>
      <c r="E1065" s="4" t="s">
        <v>587</v>
      </c>
      <c r="F1065" s="13">
        <v>8</v>
      </c>
      <c r="G1065" s="13">
        <v>1</v>
      </c>
      <c r="H1065" s="4"/>
      <c r="I1065" s="4"/>
      <c r="J1065" s="4"/>
      <c r="K1065" s="4" t="s">
        <v>2376</v>
      </c>
      <c r="L1065" s="4"/>
    </row>
    <row r="1066" spans="1:12">
      <c r="A1066" s="4" t="s">
        <v>2397</v>
      </c>
      <c r="B1066" s="4" t="s">
        <v>2398</v>
      </c>
      <c r="C1066" s="4" t="s">
        <v>801</v>
      </c>
      <c r="D1066" s="4" t="s">
        <v>330</v>
      </c>
      <c r="E1066" s="4" t="s">
        <v>587</v>
      </c>
      <c r="F1066" s="13">
        <v>8</v>
      </c>
      <c r="G1066" s="13">
        <v>1</v>
      </c>
      <c r="H1066" s="4"/>
      <c r="I1066" s="4"/>
      <c r="J1066" s="4"/>
      <c r="K1066" s="4" t="s">
        <v>2376</v>
      </c>
      <c r="L1066" s="4"/>
    </row>
    <row r="1067" spans="1:12">
      <c r="A1067" s="4" t="s">
        <v>2399</v>
      </c>
      <c r="B1067" s="4" t="s">
        <v>2400</v>
      </c>
      <c r="C1067" s="4" t="s">
        <v>801</v>
      </c>
      <c r="D1067" s="4" t="s">
        <v>330</v>
      </c>
      <c r="E1067" s="4" t="s">
        <v>587</v>
      </c>
      <c r="F1067" s="13">
        <v>8</v>
      </c>
      <c r="G1067" s="13">
        <v>1</v>
      </c>
      <c r="H1067" s="4"/>
      <c r="I1067" s="4"/>
      <c r="J1067" s="4"/>
      <c r="K1067" s="4" t="s">
        <v>2376</v>
      </c>
      <c r="L1067" s="4"/>
    </row>
    <row r="1068" spans="1:12">
      <c r="A1068" s="4" t="s">
        <v>2401</v>
      </c>
      <c r="B1068" s="4" t="s">
        <v>2402</v>
      </c>
      <c r="C1068" s="4" t="s">
        <v>801</v>
      </c>
      <c r="D1068" s="4" t="s">
        <v>330</v>
      </c>
      <c r="E1068" s="4" t="s">
        <v>587</v>
      </c>
      <c r="F1068" s="13">
        <v>8</v>
      </c>
      <c r="G1068" s="13">
        <v>1</v>
      </c>
      <c r="H1068" s="4"/>
      <c r="I1068" s="4"/>
      <c r="J1068" s="4"/>
      <c r="K1068" s="4" t="s">
        <v>2376</v>
      </c>
      <c r="L1068" s="4"/>
    </row>
    <row r="1069" spans="1:12">
      <c r="A1069" s="4" t="s">
        <v>2403</v>
      </c>
      <c r="B1069" s="4" t="s">
        <v>2404</v>
      </c>
      <c r="C1069" s="4" t="s">
        <v>801</v>
      </c>
      <c r="D1069" s="4" t="s">
        <v>330</v>
      </c>
      <c r="E1069" s="4" t="s">
        <v>587</v>
      </c>
      <c r="F1069" s="13">
        <v>8</v>
      </c>
      <c r="G1069" s="13">
        <v>1</v>
      </c>
      <c r="H1069" s="4"/>
      <c r="I1069" s="4"/>
      <c r="J1069" s="4"/>
      <c r="K1069" s="4" t="s">
        <v>2376</v>
      </c>
      <c r="L1069" s="4"/>
    </row>
    <row r="1070" spans="1:12">
      <c r="A1070" s="4" t="s">
        <v>2405</v>
      </c>
      <c r="B1070" s="4" t="s">
        <v>2406</v>
      </c>
      <c r="C1070" s="4" t="s">
        <v>801</v>
      </c>
      <c r="D1070" s="4" t="s">
        <v>330</v>
      </c>
      <c r="E1070" s="4" t="s">
        <v>587</v>
      </c>
      <c r="F1070" s="13">
        <v>8</v>
      </c>
      <c r="G1070" s="13">
        <v>1</v>
      </c>
      <c r="H1070" s="4"/>
      <c r="I1070" s="4"/>
      <c r="J1070" s="4"/>
      <c r="K1070" s="4" t="s">
        <v>2376</v>
      </c>
      <c r="L1070" s="4"/>
    </row>
    <row r="1071" spans="1:12">
      <c r="A1071" s="4" t="s">
        <v>2407</v>
      </c>
      <c r="B1071" s="4" t="s">
        <v>2408</v>
      </c>
      <c r="C1071" s="4" t="s">
        <v>801</v>
      </c>
      <c r="D1071" s="4" t="s">
        <v>330</v>
      </c>
      <c r="E1071" s="4" t="s">
        <v>587</v>
      </c>
      <c r="F1071" s="13">
        <v>8</v>
      </c>
      <c r="G1071" s="13">
        <v>1</v>
      </c>
      <c r="H1071" s="4"/>
      <c r="I1071" s="4"/>
      <c r="J1071" s="4"/>
      <c r="K1071" s="4" t="s">
        <v>2376</v>
      </c>
      <c r="L1071" s="4"/>
    </row>
    <row r="1072" spans="1:12">
      <c r="A1072" s="4" t="s">
        <v>2409</v>
      </c>
      <c r="B1072" s="4" t="s">
        <v>2410</v>
      </c>
      <c r="C1072" s="4" t="s">
        <v>801</v>
      </c>
      <c r="D1072" s="4" t="s">
        <v>330</v>
      </c>
      <c r="E1072" s="4" t="s">
        <v>587</v>
      </c>
      <c r="F1072" s="13">
        <v>8</v>
      </c>
      <c r="G1072" s="13">
        <v>1</v>
      </c>
      <c r="H1072" s="4"/>
      <c r="I1072" s="4"/>
      <c r="J1072" s="4"/>
      <c r="K1072" s="4" t="s">
        <v>2376</v>
      </c>
      <c r="L1072" s="4"/>
    </row>
    <row r="1073" spans="1:12">
      <c r="A1073" s="4" t="s">
        <v>2411</v>
      </c>
      <c r="B1073" s="4" t="s">
        <v>2412</v>
      </c>
      <c r="C1073" s="4" t="s">
        <v>324</v>
      </c>
      <c r="D1073" s="4" t="s">
        <v>330</v>
      </c>
      <c r="E1073" s="4" t="s">
        <v>587</v>
      </c>
      <c r="F1073" s="13">
        <v>8</v>
      </c>
      <c r="G1073" s="13">
        <v>1</v>
      </c>
      <c r="H1073" s="4"/>
      <c r="I1073" s="4"/>
      <c r="J1073" s="4"/>
      <c r="K1073" s="4" t="s">
        <v>2376</v>
      </c>
      <c r="L1073" s="4"/>
    </row>
    <row r="1074" spans="1:12">
      <c r="A1074" s="4" t="s">
        <v>2413</v>
      </c>
      <c r="B1074" s="4" t="s">
        <v>2414</v>
      </c>
      <c r="C1074" s="4" t="s">
        <v>801</v>
      </c>
      <c r="D1074" s="4" t="s">
        <v>330</v>
      </c>
      <c r="E1074" s="4" t="s">
        <v>587</v>
      </c>
      <c r="F1074" s="13">
        <v>8</v>
      </c>
      <c r="G1074" s="13">
        <v>1</v>
      </c>
      <c r="H1074" s="4"/>
      <c r="I1074" s="4"/>
      <c r="J1074" s="4"/>
      <c r="K1074" s="4" t="s">
        <v>2376</v>
      </c>
      <c r="L1074" s="4"/>
    </row>
    <row r="1075" spans="1:12">
      <c r="A1075" s="4" t="s">
        <v>2415</v>
      </c>
      <c r="B1075" s="4" t="s">
        <v>2416</v>
      </c>
      <c r="C1075" s="4" t="s">
        <v>801</v>
      </c>
      <c r="D1075" s="4" t="s">
        <v>330</v>
      </c>
      <c r="E1075" s="4" t="s">
        <v>587</v>
      </c>
      <c r="F1075" s="13">
        <v>8</v>
      </c>
      <c r="G1075" s="13">
        <v>1</v>
      </c>
      <c r="H1075" s="4"/>
      <c r="I1075" s="4"/>
      <c r="J1075" s="4"/>
      <c r="K1075" s="4"/>
      <c r="L1075" s="4"/>
    </row>
    <row r="1076" spans="1:12">
      <c r="A1076" s="4" t="s">
        <v>2417</v>
      </c>
      <c r="B1076" s="4" t="s">
        <v>2418</v>
      </c>
      <c r="C1076" s="4" t="s">
        <v>324</v>
      </c>
      <c r="D1076" s="4" t="s">
        <v>330</v>
      </c>
      <c r="E1076" s="4" t="s">
        <v>587</v>
      </c>
      <c r="F1076" s="13">
        <v>8</v>
      </c>
      <c r="G1076" s="13">
        <v>1</v>
      </c>
      <c r="H1076" s="4"/>
      <c r="I1076" s="4"/>
      <c r="J1076" s="4"/>
      <c r="K1076" s="4" t="s">
        <v>2376</v>
      </c>
      <c r="L1076" s="4"/>
    </row>
    <row r="1077" spans="1:12">
      <c r="A1077" s="4" t="s">
        <v>2419</v>
      </c>
      <c r="B1077" s="4" t="s">
        <v>2420</v>
      </c>
      <c r="C1077" s="4" t="s">
        <v>801</v>
      </c>
      <c r="D1077" s="4" t="s">
        <v>330</v>
      </c>
      <c r="E1077" s="4" t="s">
        <v>587</v>
      </c>
      <c r="F1077" s="13">
        <v>8</v>
      </c>
      <c r="G1077" s="13">
        <v>1</v>
      </c>
      <c r="H1077" s="4"/>
      <c r="I1077" s="4"/>
      <c r="J1077" s="4"/>
      <c r="K1077" s="4" t="s">
        <v>2376</v>
      </c>
      <c r="L1077" s="4"/>
    </row>
    <row r="1078" spans="1:12">
      <c r="A1078" s="4" t="s">
        <v>2421</v>
      </c>
      <c r="B1078" s="4" t="s">
        <v>2422</v>
      </c>
      <c r="C1078" s="4" t="s">
        <v>801</v>
      </c>
      <c r="D1078" s="4" t="s">
        <v>330</v>
      </c>
      <c r="E1078" s="4" t="s">
        <v>587</v>
      </c>
      <c r="F1078" s="13">
        <v>8</v>
      </c>
      <c r="G1078" s="13">
        <v>1</v>
      </c>
      <c r="H1078" s="4"/>
      <c r="I1078" s="4"/>
      <c r="J1078" s="4"/>
      <c r="K1078" s="4" t="s">
        <v>2376</v>
      </c>
      <c r="L1078" s="4"/>
    </row>
    <row r="1079" spans="1:12">
      <c r="A1079" s="4" t="s">
        <v>2423</v>
      </c>
      <c r="B1079" s="4" t="s">
        <v>2424</v>
      </c>
      <c r="C1079" s="4" t="s">
        <v>801</v>
      </c>
      <c r="D1079" s="4" t="s">
        <v>330</v>
      </c>
      <c r="E1079" s="4" t="s">
        <v>587</v>
      </c>
      <c r="F1079" s="13">
        <v>8</v>
      </c>
      <c r="G1079" s="13">
        <v>1</v>
      </c>
      <c r="H1079" s="4"/>
      <c r="I1079" s="4"/>
      <c r="J1079" s="4"/>
      <c r="K1079" s="4" t="s">
        <v>2376</v>
      </c>
      <c r="L1079" s="4"/>
    </row>
    <row r="1080" spans="1:12">
      <c r="A1080" s="4" t="s">
        <v>2425</v>
      </c>
      <c r="B1080" s="4" t="s">
        <v>2426</v>
      </c>
      <c r="C1080" s="4" t="s">
        <v>801</v>
      </c>
      <c r="D1080" s="4" t="s">
        <v>330</v>
      </c>
      <c r="E1080" s="4" t="s">
        <v>587</v>
      </c>
      <c r="F1080" s="13">
        <v>8</v>
      </c>
      <c r="G1080" s="13">
        <v>1</v>
      </c>
      <c r="H1080" s="4"/>
      <c r="I1080" s="4"/>
      <c r="J1080" s="4"/>
      <c r="K1080" s="4" t="s">
        <v>2376</v>
      </c>
      <c r="L1080" s="4"/>
    </row>
    <row r="1081" spans="1:12">
      <c r="A1081" s="4" t="s">
        <v>2427</v>
      </c>
      <c r="B1081" s="4" t="s">
        <v>2428</v>
      </c>
      <c r="C1081" s="4" t="s">
        <v>801</v>
      </c>
      <c r="D1081" s="4" t="s">
        <v>330</v>
      </c>
      <c r="E1081" s="4" t="s">
        <v>587</v>
      </c>
      <c r="F1081" s="13">
        <v>8</v>
      </c>
      <c r="G1081" s="13">
        <v>1</v>
      </c>
      <c r="H1081" s="4"/>
      <c r="I1081" s="4"/>
      <c r="J1081" s="4"/>
      <c r="K1081" s="4" t="s">
        <v>2376</v>
      </c>
      <c r="L1081" s="4"/>
    </row>
    <row r="1082" spans="1:12">
      <c r="A1082" s="4" t="s">
        <v>2429</v>
      </c>
      <c r="B1082" s="4" t="s">
        <v>2430</v>
      </c>
      <c r="C1082" s="4" t="s">
        <v>801</v>
      </c>
      <c r="D1082" s="4" t="s">
        <v>330</v>
      </c>
      <c r="E1082" s="4" t="s">
        <v>587</v>
      </c>
      <c r="F1082" s="13">
        <v>8</v>
      </c>
      <c r="G1082" s="13">
        <v>1</v>
      </c>
      <c r="H1082" s="4"/>
      <c r="I1082" s="4"/>
      <c r="J1082" s="4"/>
      <c r="K1082" s="4" t="s">
        <v>2376</v>
      </c>
      <c r="L1082" s="4"/>
    </row>
    <row r="1083" spans="1:12">
      <c r="A1083" s="4" t="s">
        <v>2431</v>
      </c>
      <c r="B1083" s="4" t="s">
        <v>2432</v>
      </c>
      <c r="C1083" s="4" t="s">
        <v>801</v>
      </c>
      <c r="D1083" s="4" t="s">
        <v>330</v>
      </c>
      <c r="E1083" s="4" t="s">
        <v>587</v>
      </c>
      <c r="F1083" s="13">
        <v>8</v>
      </c>
      <c r="G1083" s="13">
        <v>1</v>
      </c>
      <c r="H1083" s="4"/>
      <c r="I1083" s="4"/>
      <c r="J1083" s="4"/>
      <c r="K1083" s="4" t="s">
        <v>2376</v>
      </c>
      <c r="L1083" s="4"/>
    </row>
    <row r="1084" spans="1:12">
      <c r="A1084" s="4" t="s">
        <v>2433</v>
      </c>
      <c r="B1084" s="4" t="s">
        <v>2434</v>
      </c>
      <c r="C1084" s="4" t="s">
        <v>801</v>
      </c>
      <c r="D1084" s="4" t="s">
        <v>330</v>
      </c>
      <c r="E1084" s="4" t="s">
        <v>587</v>
      </c>
      <c r="F1084" s="13">
        <v>8</v>
      </c>
      <c r="G1084" s="13">
        <v>1</v>
      </c>
      <c r="H1084" s="4"/>
      <c r="I1084" s="4"/>
      <c r="J1084" s="4"/>
      <c r="K1084" s="4" t="s">
        <v>2376</v>
      </c>
      <c r="L1084" s="4"/>
    </row>
    <row r="1085" spans="1:12">
      <c r="A1085" s="4" t="s">
        <v>2435</v>
      </c>
      <c r="B1085" s="4" t="s">
        <v>2436</v>
      </c>
      <c r="C1085" s="4" t="s">
        <v>801</v>
      </c>
      <c r="D1085" s="4" t="s">
        <v>330</v>
      </c>
      <c r="E1085" s="4" t="s">
        <v>587</v>
      </c>
      <c r="F1085" s="13">
        <v>8</v>
      </c>
      <c r="G1085" s="13">
        <v>1</v>
      </c>
      <c r="H1085" s="4"/>
      <c r="I1085" s="4"/>
      <c r="J1085" s="4"/>
      <c r="K1085" s="4" t="s">
        <v>2376</v>
      </c>
      <c r="L1085" s="4"/>
    </row>
    <row r="1086" spans="1:12">
      <c r="A1086" s="4" t="s">
        <v>2437</v>
      </c>
      <c r="B1086" s="4" t="s">
        <v>2438</v>
      </c>
      <c r="C1086" s="4" t="s">
        <v>801</v>
      </c>
      <c r="D1086" s="4" t="s">
        <v>330</v>
      </c>
      <c r="E1086" s="4" t="s">
        <v>587</v>
      </c>
      <c r="F1086" s="13">
        <v>8</v>
      </c>
      <c r="G1086" s="13">
        <v>1</v>
      </c>
      <c r="H1086" s="4"/>
      <c r="I1086" s="4"/>
      <c r="J1086" s="4"/>
      <c r="K1086" s="4" t="s">
        <v>2376</v>
      </c>
      <c r="L1086" s="4"/>
    </row>
    <row r="1087" spans="1:12">
      <c r="A1087" s="4" t="s">
        <v>2439</v>
      </c>
      <c r="B1087" s="4" t="s">
        <v>2440</v>
      </c>
      <c r="C1087" s="4" t="s">
        <v>801</v>
      </c>
      <c r="D1087" s="4" t="s">
        <v>330</v>
      </c>
      <c r="E1087" s="4" t="s">
        <v>587</v>
      </c>
      <c r="F1087" s="13">
        <v>8</v>
      </c>
      <c r="G1087" s="13">
        <v>1</v>
      </c>
      <c r="H1087" s="4"/>
      <c r="I1087" s="4"/>
      <c r="J1087" s="4"/>
      <c r="K1087" s="4" t="s">
        <v>2376</v>
      </c>
      <c r="L1087" s="4"/>
    </row>
    <row r="1088" spans="1:12">
      <c r="A1088" s="4" t="s">
        <v>2441</v>
      </c>
      <c r="B1088" s="4" t="s">
        <v>2442</v>
      </c>
      <c r="C1088" s="4" t="s">
        <v>801</v>
      </c>
      <c r="D1088" s="4" t="s">
        <v>330</v>
      </c>
      <c r="E1088" s="4" t="s">
        <v>587</v>
      </c>
      <c r="F1088" s="13">
        <v>8</v>
      </c>
      <c r="G1088" s="13">
        <v>1</v>
      </c>
      <c r="H1088" s="4"/>
      <c r="I1088" s="4"/>
      <c r="J1088" s="4"/>
      <c r="K1088" s="4" t="s">
        <v>2376</v>
      </c>
      <c r="L1088" s="4"/>
    </row>
    <row r="1089" spans="1:12">
      <c r="A1089" s="4" t="s">
        <v>2443</v>
      </c>
      <c r="B1089" s="4" t="s">
        <v>2444</v>
      </c>
      <c r="C1089" s="4" t="s">
        <v>324</v>
      </c>
      <c r="D1089" s="4" t="s">
        <v>330</v>
      </c>
      <c r="E1089" s="4" t="s">
        <v>587</v>
      </c>
      <c r="F1089" s="13">
        <v>8</v>
      </c>
      <c r="G1089" s="13">
        <v>1</v>
      </c>
      <c r="H1089" s="4"/>
      <c r="I1089" s="4"/>
      <c r="J1089" s="4"/>
      <c r="K1089" s="4" t="s">
        <v>2376</v>
      </c>
      <c r="L1089" s="4"/>
    </row>
    <row r="1090" spans="1:12">
      <c r="A1090" s="4" t="s">
        <v>2445</v>
      </c>
      <c r="B1090" s="4" t="s">
        <v>2446</v>
      </c>
      <c r="C1090" s="4" t="s">
        <v>801</v>
      </c>
      <c r="D1090" s="4" t="s">
        <v>330</v>
      </c>
      <c r="E1090" s="4" t="s">
        <v>587</v>
      </c>
      <c r="F1090" s="13">
        <v>8</v>
      </c>
      <c r="G1090" s="13">
        <v>1</v>
      </c>
      <c r="H1090" s="4"/>
      <c r="I1090" s="4"/>
      <c r="J1090" s="4"/>
      <c r="K1090" s="4" t="s">
        <v>2376</v>
      </c>
      <c r="L1090" s="4"/>
    </row>
    <row r="1091" spans="1:12">
      <c r="A1091" s="4" t="s">
        <v>2447</v>
      </c>
      <c r="B1091" s="4" t="s">
        <v>2448</v>
      </c>
      <c r="C1091" s="4" t="s">
        <v>324</v>
      </c>
      <c r="D1091" s="4" t="s">
        <v>330</v>
      </c>
      <c r="E1091" s="4" t="s">
        <v>587</v>
      </c>
      <c r="F1091" s="13">
        <v>1</v>
      </c>
      <c r="G1091" s="13">
        <v>1</v>
      </c>
      <c r="H1091" s="4"/>
      <c r="I1091" s="4"/>
      <c r="J1091" s="4"/>
      <c r="K1091" s="4" t="s">
        <v>2376</v>
      </c>
      <c r="L1091" s="4"/>
    </row>
    <row r="1092" spans="1:12">
      <c r="A1092" s="4" t="s">
        <v>2449</v>
      </c>
      <c r="B1092" s="4" t="s">
        <v>2450</v>
      </c>
      <c r="C1092" s="4" t="s">
        <v>801</v>
      </c>
      <c r="D1092" s="4" t="s">
        <v>330</v>
      </c>
      <c r="E1092" s="4" t="s">
        <v>587</v>
      </c>
      <c r="F1092" s="13">
        <v>8</v>
      </c>
      <c r="G1092" s="13">
        <v>1</v>
      </c>
      <c r="H1092" s="4"/>
      <c r="I1092" s="4"/>
      <c r="J1092" s="4"/>
      <c r="K1092" s="4" t="s">
        <v>2376</v>
      </c>
      <c r="L1092" s="4"/>
    </row>
    <row r="1093" spans="1:12">
      <c r="A1093" s="4" t="s">
        <v>2376</v>
      </c>
      <c r="B1093" s="4" t="s">
        <v>2451</v>
      </c>
      <c r="C1093" s="4" t="s">
        <v>801</v>
      </c>
      <c r="D1093" s="4" t="s">
        <v>702</v>
      </c>
      <c r="E1093" s="4" t="s">
        <v>587</v>
      </c>
      <c r="F1093" s="13">
        <v>12</v>
      </c>
      <c r="G1093" s="13">
        <v>1</v>
      </c>
      <c r="H1093" s="4"/>
      <c r="I1093" s="4"/>
      <c r="J1093" s="4"/>
      <c r="K1093" s="4" t="s">
        <v>2355</v>
      </c>
      <c r="L1093" s="4"/>
    </row>
    <row r="1094" spans="1:12">
      <c r="A1094" s="4" t="s">
        <v>2452</v>
      </c>
      <c r="B1094" s="4" t="s">
        <v>2453</v>
      </c>
      <c r="C1094" s="4" t="s">
        <v>801</v>
      </c>
      <c r="D1094" s="4" t="s">
        <v>325</v>
      </c>
      <c r="E1094" s="4" t="s">
        <v>587</v>
      </c>
      <c r="F1094" s="13">
        <v>4</v>
      </c>
      <c r="G1094" s="13">
        <v>2</v>
      </c>
      <c r="H1094" s="4"/>
      <c r="I1094" s="4"/>
      <c r="J1094" s="4"/>
      <c r="K1094" s="4"/>
      <c r="L1094" s="4"/>
    </row>
    <row r="1095" spans="1:12">
      <c r="A1095" s="4" t="s">
        <v>2454</v>
      </c>
      <c r="B1095" s="4" t="s">
        <v>2455</v>
      </c>
      <c r="C1095" s="4" t="s">
        <v>801</v>
      </c>
      <c r="D1095" s="4" t="s">
        <v>330</v>
      </c>
      <c r="E1095" s="4" t="s">
        <v>587</v>
      </c>
      <c r="F1095" s="13">
        <v>8</v>
      </c>
      <c r="G1095" s="13">
        <v>1</v>
      </c>
      <c r="H1095" s="4"/>
      <c r="I1095" s="4"/>
      <c r="J1095" s="4"/>
      <c r="K1095" s="4" t="s">
        <v>2456</v>
      </c>
      <c r="L1095" s="4" t="s">
        <v>2301</v>
      </c>
    </row>
    <row r="1096" spans="1:12">
      <c r="A1096" s="4" t="s">
        <v>2457</v>
      </c>
      <c r="B1096" s="4" t="s">
        <v>2458</v>
      </c>
      <c r="C1096" s="4" t="s">
        <v>801</v>
      </c>
      <c r="D1096" s="4" t="s">
        <v>330</v>
      </c>
      <c r="E1096" s="4" t="s">
        <v>587</v>
      </c>
      <c r="F1096" s="13">
        <v>8</v>
      </c>
      <c r="G1096" s="13">
        <v>1</v>
      </c>
      <c r="H1096" s="4"/>
      <c r="I1096" s="4"/>
      <c r="J1096" s="4"/>
      <c r="K1096" s="4" t="s">
        <v>2456</v>
      </c>
      <c r="L1096" s="4" t="s">
        <v>2301</v>
      </c>
    </row>
    <row r="1097" spans="1:12">
      <c r="A1097" s="4" t="s">
        <v>2459</v>
      </c>
      <c r="B1097" s="4" t="s">
        <v>2460</v>
      </c>
      <c r="C1097" s="4" t="s">
        <v>801</v>
      </c>
      <c r="D1097" s="4" t="s">
        <v>330</v>
      </c>
      <c r="E1097" s="4" t="s">
        <v>587</v>
      </c>
      <c r="F1097" s="13">
        <v>8</v>
      </c>
      <c r="G1097" s="13">
        <v>1</v>
      </c>
      <c r="H1097" s="4"/>
      <c r="I1097" s="4"/>
      <c r="J1097" s="4"/>
      <c r="K1097" s="4" t="s">
        <v>2456</v>
      </c>
      <c r="L1097" s="4" t="s">
        <v>2301</v>
      </c>
    </row>
    <row r="1098" spans="1:12">
      <c r="A1098" s="4" t="s">
        <v>2456</v>
      </c>
      <c r="B1098" s="4" t="s">
        <v>2461</v>
      </c>
      <c r="C1098" s="4" t="s">
        <v>801</v>
      </c>
      <c r="D1098" s="4" t="s">
        <v>702</v>
      </c>
      <c r="E1098" s="4" t="s">
        <v>587</v>
      </c>
      <c r="F1098" s="13">
        <v>12</v>
      </c>
      <c r="G1098" s="13">
        <v>1</v>
      </c>
      <c r="H1098" s="4"/>
      <c r="I1098" s="4"/>
      <c r="J1098" s="4"/>
      <c r="K1098" s="4" t="s">
        <v>2355</v>
      </c>
      <c r="L1098" s="4"/>
    </row>
    <row r="1099" spans="1:12">
      <c r="A1099" s="4" t="s">
        <v>2462</v>
      </c>
      <c r="B1099" s="4" t="s">
        <v>2463</v>
      </c>
      <c r="C1099" s="4" t="s">
        <v>801</v>
      </c>
      <c r="D1099" s="4" t="s">
        <v>325</v>
      </c>
      <c r="E1099" s="4" t="s">
        <v>587</v>
      </c>
      <c r="F1099" s="13">
        <v>4</v>
      </c>
      <c r="G1099" s="13">
        <v>2</v>
      </c>
      <c r="H1099" s="4"/>
      <c r="I1099" s="4"/>
      <c r="J1099" s="4"/>
      <c r="K1099" s="4"/>
      <c r="L1099" s="4"/>
    </row>
    <row r="1100" spans="1:12">
      <c r="A1100" s="4" t="s">
        <v>2464</v>
      </c>
      <c r="B1100" s="4" t="s">
        <v>2465</v>
      </c>
      <c r="C1100" s="4" t="s">
        <v>801</v>
      </c>
      <c r="D1100" s="4" t="s">
        <v>330</v>
      </c>
      <c r="E1100" s="4" t="s">
        <v>587</v>
      </c>
      <c r="F1100" s="13">
        <v>8</v>
      </c>
      <c r="G1100" s="13">
        <v>1</v>
      </c>
      <c r="H1100" s="4"/>
      <c r="I1100" s="4"/>
      <c r="J1100" s="4"/>
      <c r="K1100" s="4" t="s">
        <v>2466</v>
      </c>
      <c r="L1100" s="4" t="s">
        <v>2301</v>
      </c>
    </row>
    <row r="1101" spans="1:12">
      <c r="A1101" s="4" t="s">
        <v>2467</v>
      </c>
      <c r="B1101" s="4" t="s">
        <v>2468</v>
      </c>
      <c r="C1101" s="4" t="s">
        <v>801</v>
      </c>
      <c r="D1101" s="4" t="s">
        <v>330</v>
      </c>
      <c r="E1101" s="4" t="s">
        <v>587</v>
      </c>
      <c r="F1101" s="13">
        <v>8</v>
      </c>
      <c r="G1101" s="13">
        <v>1</v>
      </c>
      <c r="H1101" s="4"/>
      <c r="I1101" s="4"/>
      <c r="J1101" s="4"/>
      <c r="K1101" s="4" t="s">
        <v>2466</v>
      </c>
      <c r="L1101" s="4" t="s">
        <v>2353</v>
      </c>
    </row>
    <row r="1102" spans="1:12">
      <c r="A1102" s="4" t="s">
        <v>2469</v>
      </c>
      <c r="B1102" s="4" t="s">
        <v>2470</v>
      </c>
      <c r="C1102" s="4" t="s">
        <v>801</v>
      </c>
      <c r="D1102" s="4" t="s">
        <v>330</v>
      </c>
      <c r="E1102" s="4" t="s">
        <v>587</v>
      </c>
      <c r="F1102" s="13">
        <v>8</v>
      </c>
      <c r="G1102" s="13">
        <v>1</v>
      </c>
      <c r="H1102" s="4"/>
      <c r="I1102" s="4"/>
      <c r="J1102" s="4"/>
      <c r="K1102" s="4" t="s">
        <v>2466</v>
      </c>
      <c r="L1102" s="4"/>
    </row>
    <row r="1103" spans="1:12">
      <c r="A1103" s="4" t="s">
        <v>2471</v>
      </c>
      <c r="B1103" s="4" t="s">
        <v>2472</v>
      </c>
      <c r="C1103" s="4" t="s">
        <v>801</v>
      </c>
      <c r="D1103" s="4" t="s">
        <v>330</v>
      </c>
      <c r="E1103" s="4" t="s">
        <v>587</v>
      </c>
      <c r="F1103" s="13">
        <v>8</v>
      </c>
      <c r="G1103" s="13">
        <v>1</v>
      </c>
      <c r="H1103" s="4"/>
      <c r="I1103" s="4"/>
      <c r="J1103" s="4"/>
      <c r="K1103" s="4" t="s">
        <v>2466</v>
      </c>
      <c r="L1103" s="4" t="s">
        <v>2353</v>
      </c>
    </row>
    <row r="1104" spans="1:12">
      <c r="A1104" s="4" t="s">
        <v>2473</v>
      </c>
      <c r="B1104" s="4" t="s">
        <v>2474</v>
      </c>
      <c r="C1104" s="4" t="s">
        <v>801</v>
      </c>
      <c r="D1104" s="4" t="s">
        <v>330</v>
      </c>
      <c r="E1104" s="4" t="s">
        <v>587</v>
      </c>
      <c r="F1104" s="13">
        <v>8</v>
      </c>
      <c r="G1104" s="13">
        <v>1</v>
      </c>
      <c r="H1104" s="4"/>
      <c r="I1104" s="4"/>
      <c r="J1104" s="4"/>
      <c r="K1104" s="4" t="s">
        <v>2466</v>
      </c>
      <c r="L1104" s="4" t="s">
        <v>2353</v>
      </c>
    </row>
    <row r="1105" spans="1:12">
      <c r="A1105" s="4" t="s">
        <v>2475</v>
      </c>
      <c r="B1105" s="4" t="s">
        <v>2476</v>
      </c>
      <c r="C1105" s="4" t="s">
        <v>801</v>
      </c>
      <c r="D1105" s="4" t="s">
        <v>330</v>
      </c>
      <c r="E1105" s="4" t="s">
        <v>587</v>
      </c>
      <c r="F1105" s="13">
        <v>8</v>
      </c>
      <c r="G1105" s="13">
        <v>1</v>
      </c>
      <c r="H1105" s="4"/>
      <c r="I1105" s="4"/>
      <c r="J1105" s="4"/>
      <c r="K1105" s="4" t="s">
        <v>2466</v>
      </c>
      <c r="L1105" s="4"/>
    </row>
    <row r="1106" spans="1:12">
      <c r="A1106" s="4" t="s">
        <v>2477</v>
      </c>
      <c r="B1106" s="4" t="s">
        <v>2478</v>
      </c>
      <c r="C1106" s="4" t="s">
        <v>801</v>
      </c>
      <c r="D1106" s="4" t="s">
        <v>330</v>
      </c>
      <c r="E1106" s="4" t="s">
        <v>587</v>
      </c>
      <c r="F1106" s="13">
        <v>8</v>
      </c>
      <c r="G1106" s="13">
        <v>1</v>
      </c>
      <c r="H1106" s="4"/>
      <c r="I1106" s="4"/>
      <c r="J1106" s="4"/>
      <c r="K1106" s="4" t="s">
        <v>2466</v>
      </c>
      <c r="L1106" s="4"/>
    </row>
    <row r="1107" spans="1:12">
      <c r="A1107" s="4" t="s">
        <v>2479</v>
      </c>
      <c r="B1107" s="4" t="s">
        <v>2480</v>
      </c>
      <c r="C1107" s="4" t="s">
        <v>801</v>
      </c>
      <c r="D1107" s="4" t="s">
        <v>330</v>
      </c>
      <c r="E1107" s="4" t="s">
        <v>587</v>
      </c>
      <c r="F1107" s="13">
        <v>8</v>
      </c>
      <c r="G1107" s="13">
        <v>1</v>
      </c>
      <c r="H1107" s="4"/>
      <c r="I1107" s="4"/>
      <c r="J1107" s="4"/>
      <c r="K1107" s="4" t="s">
        <v>2466</v>
      </c>
      <c r="L1107" s="4"/>
    </row>
    <row r="1108" spans="1:12">
      <c r="A1108" s="4" t="s">
        <v>2481</v>
      </c>
      <c r="B1108" s="4" t="s">
        <v>2482</v>
      </c>
      <c r="C1108" s="4" t="s">
        <v>801</v>
      </c>
      <c r="D1108" s="4" t="s">
        <v>330</v>
      </c>
      <c r="E1108" s="4" t="s">
        <v>587</v>
      </c>
      <c r="F1108" s="13">
        <v>8</v>
      </c>
      <c r="G1108" s="13">
        <v>1</v>
      </c>
      <c r="H1108" s="4"/>
      <c r="I1108" s="4"/>
      <c r="J1108" s="4"/>
      <c r="K1108" s="4" t="s">
        <v>2466</v>
      </c>
      <c r="L1108" s="4"/>
    </row>
    <row r="1109" spans="1:12">
      <c r="A1109" s="4" t="s">
        <v>2483</v>
      </c>
      <c r="B1109" s="4" t="s">
        <v>2484</v>
      </c>
      <c r="C1109" s="4" t="s">
        <v>801</v>
      </c>
      <c r="D1109" s="4" t="s">
        <v>330</v>
      </c>
      <c r="E1109" s="4" t="s">
        <v>587</v>
      </c>
      <c r="F1109" s="13">
        <v>8</v>
      </c>
      <c r="G1109" s="13">
        <v>1</v>
      </c>
      <c r="H1109" s="4"/>
      <c r="I1109" s="4"/>
      <c r="J1109" s="4"/>
      <c r="K1109" s="4" t="s">
        <v>2466</v>
      </c>
      <c r="L1109" s="4"/>
    </row>
    <row r="1110" spans="1:12">
      <c r="A1110" s="4" t="s">
        <v>2485</v>
      </c>
      <c r="B1110" s="4" t="s">
        <v>2486</v>
      </c>
      <c r="C1110" s="4" t="s">
        <v>801</v>
      </c>
      <c r="D1110" s="4" t="s">
        <v>330</v>
      </c>
      <c r="E1110" s="4" t="s">
        <v>587</v>
      </c>
      <c r="F1110" s="13">
        <v>8</v>
      </c>
      <c r="G1110" s="13">
        <v>1</v>
      </c>
      <c r="H1110" s="4"/>
      <c r="I1110" s="4"/>
      <c r="J1110" s="4"/>
      <c r="K1110" s="4" t="s">
        <v>2466</v>
      </c>
      <c r="L1110" s="4"/>
    </row>
    <row r="1111" spans="1:12">
      <c r="A1111" s="4" t="s">
        <v>2487</v>
      </c>
      <c r="B1111" s="4" t="s">
        <v>2488</v>
      </c>
      <c r="C1111" s="4" t="s">
        <v>801</v>
      </c>
      <c r="D1111" s="4" t="s">
        <v>330</v>
      </c>
      <c r="E1111" s="4" t="s">
        <v>587</v>
      </c>
      <c r="F1111" s="13">
        <v>8</v>
      </c>
      <c r="G1111" s="13">
        <v>1</v>
      </c>
      <c r="H1111" s="4"/>
      <c r="I1111" s="4"/>
      <c r="J1111" s="4"/>
      <c r="K1111" s="4" t="s">
        <v>2466</v>
      </c>
      <c r="L1111" s="4"/>
    </row>
    <row r="1112" spans="1:12">
      <c r="A1112" s="4" t="s">
        <v>2489</v>
      </c>
      <c r="B1112" s="4" t="s">
        <v>2490</v>
      </c>
      <c r="C1112" s="4" t="s">
        <v>801</v>
      </c>
      <c r="D1112" s="4" t="s">
        <v>330</v>
      </c>
      <c r="E1112" s="4" t="s">
        <v>587</v>
      </c>
      <c r="F1112" s="13">
        <v>8</v>
      </c>
      <c r="G1112" s="13">
        <v>1</v>
      </c>
      <c r="H1112" s="4"/>
      <c r="I1112" s="4"/>
      <c r="J1112" s="4"/>
      <c r="K1112" s="4" t="s">
        <v>2466</v>
      </c>
      <c r="L1112" s="4"/>
    </row>
    <row r="1113" spans="1:12">
      <c r="A1113" s="4" t="s">
        <v>2491</v>
      </c>
      <c r="B1113" s="4" t="s">
        <v>2492</v>
      </c>
      <c r="C1113" s="4" t="s">
        <v>801</v>
      </c>
      <c r="D1113" s="4" t="s">
        <v>330</v>
      </c>
      <c r="E1113" s="4" t="s">
        <v>587</v>
      </c>
      <c r="F1113" s="13">
        <v>8</v>
      </c>
      <c r="G1113" s="13">
        <v>1</v>
      </c>
      <c r="H1113" s="4"/>
      <c r="I1113" s="4"/>
      <c r="J1113" s="4"/>
      <c r="K1113" s="4" t="s">
        <v>2466</v>
      </c>
      <c r="L1113" s="4"/>
    </row>
    <row r="1114" spans="1:12">
      <c r="A1114" s="4" t="s">
        <v>2493</v>
      </c>
      <c r="B1114" s="4" t="s">
        <v>2494</v>
      </c>
      <c r="C1114" s="4" t="s">
        <v>801</v>
      </c>
      <c r="D1114" s="4" t="s">
        <v>330</v>
      </c>
      <c r="E1114" s="4" t="s">
        <v>587</v>
      </c>
      <c r="F1114" s="13">
        <v>8</v>
      </c>
      <c r="G1114" s="13">
        <v>1</v>
      </c>
      <c r="H1114" s="4"/>
      <c r="I1114" s="4"/>
      <c r="J1114" s="4" t="s">
        <v>218</v>
      </c>
      <c r="K1114" s="4" t="s">
        <v>2466</v>
      </c>
      <c r="L1114" s="4"/>
    </row>
    <row r="1115" spans="1:12">
      <c r="A1115" s="4" t="s">
        <v>2495</v>
      </c>
      <c r="B1115" s="4" t="s">
        <v>2496</v>
      </c>
      <c r="C1115" s="4" t="s">
        <v>801</v>
      </c>
      <c r="D1115" s="4" t="s">
        <v>330</v>
      </c>
      <c r="E1115" s="4" t="s">
        <v>587</v>
      </c>
      <c r="F1115" s="13">
        <v>8</v>
      </c>
      <c r="G1115" s="13">
        <v>1</v>
      </c>
      <c r="H1115" s="4"/>
      <c r="I1115" s="4"/>
      <c r="J1115" s="4" t="s">
        <v>218</v>
      </c>
      <c r="K1115" s="4" t="s">
        <v>2466</v>
      </c>
      <c r="L1115" s="4"/>
    </row>
    <row r="1116" spans="1:12">
      <c r="A1116" s="4" t="s">
        <v>2497</v>
      </c>
      <c r="B1116" s="4" t="s">
        <v>2498</v>
      </c>
      <c r="C1116" s="4" t="s">
        <v>801</v>
      </c>
      <c r="D1116" s="4" t="s">
        <v>330</v>
      </c>
      <c r="E1116" s="4" t="s">
        <v>587</v>
      </c>
      <c r="F1116" s="13">
        <v>8</v>
      </c>
      <c r="G1116" s="13">
        <v>1</v>
      </c>
      <c r="H1116" s="4"/>
      <c r="I1116" s="4"/>
      <c r="J1116" s="4"/>
      <c r="K1116" s="4" t="s">
        <v>2466</v>
      </c>
      <c r="L1116" s="4"/>
    </row>
    <row r="1117" spans="1:12">
      <c r="A1117" s="4" t="s">
        <v>2499</v>
      </c>
      <c r="B1117" s="4" t="s">
        <v>2500</v>
      </c>
      <c r="C1117" s="4" t="s">
        <v>801</v>
      </c>
      <c r="D1117" s="4" t="s">
        <v>330</v>
      </c>
      <c r="E1117" s="4" t="s">
        <v>587</v>
      </c>
      <c r="F1117" s="13">
        <v>8</v>
      </c>
      <c r="G1117" s="13">
        <v>1</v>
      </c>
      <c r="H1117" s="4"/>
      <c r="I1117" s="4"/>
      <c r="J1117" s="4"/>
      <c r="K1117" s="4" t="s">
        <v>2466</v>
      </c>
      <c r="L1117" s="4"/>
    </row>
    <row r="1118" spans="1:12">
      <c r="A1118" s="4" t="s">
        <v>2466</v>
      </c>
      <c r="B1118" s="4" t="s">
        <v>2501</v>
      </c>
      <c r="C1118" s="4" t="s">
        <v>801</v>
      </c>
      <c r="D1118" s="4" t="s">
        <v>702</v>
      </c>
      <c r="E1118" s="4" t="s">
        <v>587</v>
      </c>
      <c r="F1118" s="13">
        <v>12</v>
      </c>
      <c r="G1118" s="13">
        <v>1</v>
      </c>
      <c r="H1118" s="4"/>
      <c r="I1118" s="4"/>
      <c r="J1118" s="4"/>
      <c r="K1118" s="4" t="s">
        <v>2355</v>
      </c>
      <c r="L1118" s="4"/>
    </row>
    <row r="1119" spans="1:12">
      <c r="A1119" s="4" t="s">
        <v>2355</v>
      </c>
      <c r="B1119" s="4" t="s">
        <v>2502</v>
      </c>
      <c r="C1119" s="4" t="s">
        <v>801</v>
      </c>
      <c r="D1119" s="4" t="s">
        <v>702</v>
      </c>
      <c r="E1119" s="4" t="s">
        <v>587</v>
      </c>
      <c r="F1119" s="13">
        <v>16</v>
      </c>
      <c r="G1119" s="13">
        <v>2</v>
      </c>
      <c r="H1119" s="4"/>
      <c r="I1119" s="4"/>
      <c r="J1119" s="4"/>
      <c r="K1119" s="4" t="s">
        <v>2503</v>
      </c>
      <c r="L1119" s="4"/>
    </row>
    <row r="1120" spans="1:12">
      <c r="A1120" s="4" t="s">
        <v>2504</v>
      </c>
      <c r="B1120" s="4" t="s">
        <v>2505</v>
      </c>
      <c r="C1120" s="4" t="s">
        <v>324</v>
      </c>
      <c r="D1120" s="4" t="s">
        <v>325</v>
      </c>
      <c r="E1120" s="4" t="s">
        <v>587</v>
      </c>
      <c r="F1120" s="13">
        <v>1</v>
      </c>
      <c r="G1120" s="13">
        <v>2</v>
      </c>
      <c r="H1120" s="4"/>
      <c r="I1120" s="4"/>
      <c r="J1120" s="4"/>
      <c r="K1120" s="4"/>
      <c r="L1120" s="4"/>
    </row>
    <row r="1121" spans="1:12">
      <c r="A1121" s="4" t="s">
        <v>2506</v>
      </c>
      <c r="B1121" s="4" t="s">
        <v>2507</v>
      </c>
      <c r="C1121" s="4" t="s">
        <v>324</v>
      </c>
      <c r="D1121" s="4" t="s">
        <v>325</v>
      </c>
      <c r="E1121" s="4" t="s">
        <v>587</v>
      </c>
      <c r="F1121" s="13">
        <v>4</v>
      </c>
      <c r="G1121" s="13">
        <v>2</v>
      </c>
      <c r="H1121" s="4"/>
      <c r="I1121" s="4"/>
      <c r="J1121" s="4"/>
      <c r="K1121" s="4"/>
      <c r="L1121" s="4"/>
    </row>
    <row r="1122" spans="1:12">
      <c r="A1122" s="4" t="s">
        <v>2508</v>
      </c>
      <c r="B1122" s="4" t="s">
        <v>2509</v>
      </c>
      <c r="C1122" s="4" t="s">
        <v>324</v>
      </c>
      <c r="D1122" s="4" t="s">
        <v>702</v>
      </c>
      <c r="E1122" s="4" t="s">
        <v>587</v>
      </c>
      <c r="F1122" s="13">
        <v>12</v>
      </c>
      <c r="G1122" s="13">
        <v>1</v>
      </c>
      <c r="H1122" s="4"/>
      <c r="I1122" s="4"/>
      <c r="J1122" s="4"/>
      <c r="K1122" s="4" t="s">
        <v>2510</v>
      </c>
      <c r="L1122" s="4"/>
    </row>
    <row r="1123" spans="1:12">
      <c r="A1123" s="4" t="s">
        <v>2511</v>
      </c>
      <c r="B1123" s="4" t="s">
        <v>2512</v>
      </c>
      <c r="C1123" s="4" t="s">
        <v>324</v>
      </c>
      <c r="D1123" s="4" t="s">
        <v>325</v>
      </c>
      <c r="E1123" s="4" t="s">
        <v>587</v>
      </c>
      <c r="F1123" s="13">
        <v>4</v>
      </c>
      <c r="G1123" s="13">
        <v>2</v>
      </c>
      <c r="H1123" s="4"/>
      <c r="I1123" s="4"/>
      <c r="J1123" s="4"/>
      <c r="K1123" s="4"/>
      <c r="L1123" s="4"/>
    </row>
    <row r="1124" spans="1:12">
      <c r="A1124" s="4" t="s">
        <v>2513</v>
      </c>
      <c r="B1124" s="4" t="s">
        <v>61</v>
      </c>
      <c r="C1124" s="4" t="s">
        <v>324</v>
      </c>
      <c r="D1124" s="4" t="s">
        <v>330</v>
      </c>
      <c r="E1124" s="4" t="s">
        <v>587</v>
      </c>
      <c r="F1124" s="13">
        <v>8</v>
      </c>
      <c r="G1124" s="13">
        <v>1</v>
      </c>
      <c r="H1124" s="4"/>
      <c r="I1124" s="4"/>
      <c r="J1124" s="4"/>
      <c r="K1124" s="4" t="s">
        <v>2514</v>
      </c>
      <c r="L1124" s="4"/>
    </row>
    <row r="1125" spans="1:12">
      <c r="A1125" s="4" t="s">
        <v>2515</v>
      </c>
      <c r="B1125" s="4" t="s">
        <v>2516</v>
      </c>
      <c r="C1125" s="4" t="s">
        <v>324</v>
      </c>
      <c r="D1125" s="4" t="s">
        <v>330</v>
      </c>
      <c r="E1125" s="4" t="s">
        <v>587</v>
      </c>
      <c r="F1125" s="13">
        <v>8</v>
      </c>
      <c r="G1125" s="13">
        <v>1</v>
      </c>
      <c r="H1125" s="4"/>
      <c r="I1125" s="4"/>
      <c r="J1125" s="4"/>
      <c r="K1125" s="4" t="s">
        <v>2514</v>
      </c>
      <c r="L1125" s="4"/>
    </row>
    <row r="1126" spans="1:12">
      <c r="A1126" s="4" t="s">
        <v>2517</v>
      </c>
      <c r="B1126" s="4" t="s">
        <v>2518</v>
      </c>
      <c r="C1126" s="4" t="s">
        <v>324</v>
      </c>
      <c r="D1126" s="4" t="s">
        <v>330</v>
      </c>
      <c r="E1126" s="4" t="s">
        <v>587</v>
      </c>
      <c r="F1126" s="13">
        <v>8</v>
      </c>
      <c r="G1126" s="13">
        <v>1</v>
      </c>
      <c r="H1126" s="4"/>
      <c r="I1126" s="4"/>
      <c r="J1126" s="4"/>
      <c r="K1126" s="4" t="s">
        <v>2514</v>
      </c>
      <c r="L1126" s="4"/>
    </row>
    <row r="1127" spans="1:12">
      <c r="A1127" s="4" t="s">
        <v>2519</v>
      </c>
      <c r="B1127" s="4" t="s">
        <v>90</v>
      </c>
      <c r="C1127" s="4" t="s">
        <v>324</v>
      </c>
      <c r="D1127" s="4" t="s">
        <v>330</v>
      </c>
      <c r="E1127" s="4" t="s">
        <v>587</v>
      </c>
      <c r="F1127" s="13">
        <v>8</v>
      </c>
      <c r="G1127" s="13">
        <v>1</v>
      </c>
      <c r="H1127" s="4"/>
      <c r="I1127" s="4"/>
      <c r="J1127" s="4"/>
      <c r="K1127" s="4" t="s">
        <v>2514</v>
      </c>
      <c r="L1127" s="4"/>
    </row>
    <row r="1128" spans="1:12">
      <c r="A1128" s="4" t="s">
        <v>2520</v>
      </c>
      <c r="B1128" s="4" t="s">
        <v>2521</v>
      </c>
      <c r="C1128" s="4" t="s">
        <v>324</v>
      </c>
      <c r="D1128" s="4" t="s">
        <v>330</v>
      </c>
      <c r="E1128" s="4" t="s">
        <v>587</v>
      </c>
      <c r="F1128" s="13">
        <v>8</v>
      </c>
      <c r="G1128" s="13">
        <v>1</v>
      </c>
      <c r="H1128" s="4"/>
      <c r="I1128" s="4"/>
      <c r="J1128" s="4"/>
      <c r="K1128" s="4" t="s">
        <v>2514</v>
      </c>
      <c r="L1128" s="4"/>
    </row>
    <row r="1129" spans="1:12">
      <c r="A1129" s="4" t="s">
        <v>2522</v>
      </c>
      <c r="B1129" s="4" t="s">
        <v>2523</v>
      </c>
      <c r="C1129" s="4" t="s">
        <v>324</v>
      </c>
      <c r="D1129" s="4" t="s">
        <v>330</v>
      </c>
      <c r="E1129" s="4" t="s">
        <v>587</v>
      </c>
      <c r="F1129" s="13">
        <v>8</v>
      </c>
      <c r="G1129" s="13">
        <v>1</v>
      </c>
      <c r="H1129" s="4"/>
      <c r="I1129" s="4"/>
      <c r="J1129" s="4"/>
      <c r="K1129" s="4" t="s">
        <v>2514</v>
      </c>
      <c r="L1129" s="4"/>
    </row>
    <row r="1130" spans="1:12">
      <c r="A1130" s="4" t="s">
        <v>2524</v>
      </c>
      <c r="B1130" s="4" t="s">
        <v>2525</v>
      </c>
      <c r="C1130" s="4" t="s">
        <v>324</v>
      </c>
      <c r="D1130" s="4" t="s">
        <v>330</v>
      </c>
      <c r="E1130" s="4" t="s">
        <v>587</v>
      </c>
      <c r="F1130" s="13">
        <v>8</v>
      </c>
      <c r="G1130" s="13">
        <v>1</v>
      </c>
      <c r="H1130" s="4"/>
      <c r="I1130" s="4"/>
      <c r="J1130" s="4"/>
      <c r="K1130" s="4" t="s">
        <v>2514</v>
      </c>
      <c r="L1130" s="4" t="s">
        <v>683</v>
      </c>
    </row>
    <row r="1131" spans="1:12">
      <c r="A1131" s="4" t="s">
        <v>2526</v>
      </c>
      <c r="B1131" s="4" t="s">
        <v>2527</v>
      </c>
      <c r="C1131" s="4" t="s">
        <v>324</v>
      </c>
      <c r="D1131" s="4" t="s">
        <v>330</v>
      </c>
      <c r="E1131" s="4" t="s">
        <v>587</v>
      </c>
      <c r="F1131" s="13">
        <v>8</v>
      </c>
      <c r="G1131" s="13">
        <v>1</v>
      </c>
      <c r="H1131" s="4"/>
      <c r="I1131" s="4"/>
      <c r="J1131" s="4"/>
      <c r="K1131" s="4" t="s">
        <v>2514</v>
      </c>
      <c r="L1131" s="4"/>
    </row>
    <row r="1132" spans="1:12">
      <c r="A1132" s="4" t="s">
        <v>2514</v>
      </c>
      <c r="B1132" s="4" t="s">
        <v>2528</v>
      </c>
      <c r="C1132" s="4" t="s">
        <v>324</v>
      </c>
      <c r="D1132" s="4" t="s">
        <v>702</v>
      </c>
      <c r="E1132" s="4" t="s">
        <v>587</v>
      </c>
      <c r="F1132" s="13">
        <v>12</v>
      </c>
      <c r="G1132" s="13">
        <v>1</v>
      </c>
      <c r="H1132" s="4"/>
      <c r="I1132" s="4"/>
      <c r="J1132" s="4"/>
      <c r="K1132" s="4" t="s">
        <v>2510</v>
      </c>
      <c r="L1132" s="4"/>
    </row>
    <row r="1133" spans="1:12">
      <c r="A1133" s="4" t="s">
        <v>2529</v>
      </c>
      <c r="B1133" s="4" t="s">
        <v>2530</v>
      </c>
      <c r="C1133" s="4" t="s">
        <v>324</v>
      </c>
      <c r="D1133" s="4" t="s">
        <v>325</v>
      </c>
      <c r="E1133" s="4" t="s">
        <v>587</v>
      </c>
      <c r="F1133" s="13">
        <v>4</v>
      </c>
      <c r="G1133" s="13">
        <v>2</v>
      </c>
      <c r="H1133" s="4"/>
      <c r="I1133" s="4"/>
      <c r="J1133" s="4"/>
      <c r="K1133" s="4"/>
      <c r="L1133" s="4"/>
    </row>
    <row r="1134" spans="1:12">
      <c r="A1134" s="4" t="s">
        <v>2531</v>
      </c>
      <c r="B1134" s="4" t="s">
        <v>2532</v>
      </c>
      <c r="C1134" s="4" t="s">
        <v>324</v>
      </c>
      <c r="D1134" s="4" t="s">
        <v>330</v>
      </c>
      <c r="E1134" s="4" t="s">
        <v>587</v>
      </c>
      <c r="F1134" s="13">
        <v>8</v>
      </c>
      <c r="G1134" s="13">
        <v>1</v>
      </c>
      <c r="H1134" s="4"/>
      <c r="I1134" s="4"/>
      <c r="J1134" s="4"/>
      <c r="K1134" s="4" t="s">
        <v>2533</v>
      </c>
      <c r="L1134" s="4"/>
    </row>
    <row r="1135" spans="1:12">
      <c r="A1135" s="4" t="s">
        <v>2534</v>
      </c>
      <c r="B1135" s="4" t="s">
        <v>2535</v>
      </c>
      <c r="C1135" s="4" t="s">
        <v>324</v>
      </c>
      <c r="D1135" s="4" t="s">
        <v>330</v>
      </c>
      <c r="E1135" s="4" t="s">
        <v>587</v>
      </c>
      <c r="F1135" s="13">
        <v>8</v>
      </c>
      <c r="G1135" s="13">
        <v>1</v>
      </c>
      <c r="H1135" s="4"/>
      <c r="I1135" s="4"/>
      <c r="J1135" s="4"/>
      <c r="K1135" s="4" t="s">
        <v>2533</v>
      </c>
      <c r="L1135" s="4"/>
    </row>
    <row r="1136" spans="1:12">
      <c r="A1136" s="4" t="s">
        <v>2536</v>
      </c>
      <c r="B1136" s="4" t="s">
        <v>2537</v>
      </c>
      <c r="C1136" s="4" t="s">
        <v>324</v>
      </c>
      <c r="D1136" s="4" t="s">
        <v>330</v>
      </c>
      <c r="E1136" s="4" t="s">
        <v>587</v>
      </c>
      <c r="F1136" s="13">
        <v>8</v>
      </c>
      <c r="G1136" s="13">
        <v>1</v>
      </c>
      <c r="H1136" s="4"/>
      <c r="I1136" s="4"/>
      <c r="J1136" s="4"/>
      <c r="K1136" s="4" t="s">
        <v>2533</v>
      </c>
      <c r="L1136" s="4"/>
    </row>
    <row r="1137" spans="1:12">
      <c r="A1137" s="4" t="s">
        <v>2538</v>
      </c>
      <c r="B1137" s="4" t="s">
        <v>2539</v>
      </c>
      <c r="C1137" s="4" t="s">
        <v>324</v>
      </c>
      <c r="D1137" s="4" t="s">
        <v>330</v>
      </c>
      <c r="E1137" s="4" t="s">
        <v>587</v>
      </c>
      <c r="F1137" s="13">
        <v>8</v>
      </c>
      <c r="G1137" s="13">
        <v>1</v>
      </c>
      <c r="H1137" s="4"/>
      <c r="I1137" s="4"/>
      <c r="J1137" s="4"/>
      <c r="K1137" s="4" t="s">
        <v>2533</v>
      </c>
      <c r="L1137" s="4"/>
    </row>
    <row r="1138" spans="1:12">
      <c r="A1138" s="4" t="s">
        <v>2540</v>
      </c>
      <c r="B1138" s="4" t="s">
        <v>2541</v>
      </c>
      <c r="C1138" s="4" t="s">
        <v>324</v>
      </c>
      <c r="D1138" s="4" t="s">
        <v>330</v>
      </c>
      <c r="E1138" s="4" t="s">
        <v>587</v>
      </c>
      <c r="F1138" s="13">
        <v>8</v>
      </c>
      <c r="G1138" s="13">
        <v>1</v>
      </c>
      <c r="H1138" s="4"/>
      <c r="I1138" s="4"/>
      <c r="J1138" s="4"/>
      <c r="K1138" s="4" t="s">
        <v>2533</v>
      </c>
      <c r="L1138" s="4"/>
    </row>
    <row r="1139" spans="1:12">
      <c r="A1139" s="4" t="s">
        <v>2542</v>
      </c>
      <c r="B1139" s="4" t="s">
        <v>2543</v>
      </c>
      <c r="C1139" s="4" t="s">
        <v>324</v>
      </c>
      <c r="D1139" s="4" t="s">
        <v>330</v>
      </c>
      <c r="E1139" s="4" t="s">
        <v>587</v>
      </c>
      <c r="F1139" s="13">
        <v>8</v>
      </c>
      <c r="G1139" s="13">
        <v>1</v>
      </c>
      <c r="H1139" s="4"/>
      <c r="I1139" s="4"/>
      <c r="J1139" s="4"/>
      <c r="K1139" s="4" t="s">
        <v>2533</v>
      </c>
      <c r="L1139" s="4"/>
    </row>
    <row r="1140" spans="1:12">
      <c r="A1140" s="4" t="s">
        <v>2544</v>
      </c>
      <c r="B1140" s="4" t="s">
        <v>2545</v>
      </c>
      <c r="C1140" s="4" t="s">
        <v>324</v>
      </c>
      <c r="D1140" s="4" t="s">
        <v>330</v>
      </c>
      <c r="E1140" s="4" t="s">
        <v>587</v>
      </c>
      <c r="F1140" s="13">
        <v>8</v>
      </c>
      <c r="G1140" s="13">
        <v>1</v>
      </c>
      <c r="H1140" s="4"/>
      <c r="I1140" s="4"/>
      <c r="J1140" s="4"/>
      <c r="K1140" s="4" t="s">
        <v>2533</v>
      </c>
      <c r="L1140" s="4" t="s">
        <v>881</v>
      </c>
    </row>
    <row r="1141" spans="1:12">
      <c r="A1141" s="4" t="s">
        <v>2546</v>
      </c>
      <c r="B1141" s="4" t="s">
        <v>2547</v>
      </c>
      <c r="C1141" s="4" t="s">
        <v>324</v>
      </c>
      <c r="D1141" s="4" t="s">
        <v>330</v>
      </c>
      <c r="E1141" s="4" t="s">
        <v>587</v>
      </c>
      <c r="F1141" s="13">
        <v>8</v>
      </c>
      <c r="G1141" s="13">
        <v>1</v>
      </c>
      <c r="H1141" s="4"/>
      <c r="I1141" s="4"/>
      <c r="J1141" s="4"/>
      <c r="K1141" s="4" t="s">
        <v>2533</v>
      </c>
      <c r="L1141" s="4"/>
    </row>
    <row r="1142" spans="1:12">
      <c r="A1142" s="4" t="s">
        <v>2548</v>
      </c>
      <c r="B1142" s="4" t="s">
        <v>2549</v>
      </c>
      <c r="C1142" s="4" t="s">
        <v>324</v>
      </c>
      <c r="D1142" s="4" t="s">
        <v>330</v>
      </c>
      <c r="E1142" s="4" t="s">
        <v>587</v>
      </c>
      <c r="F1142" s="13">
        <v>8</v>
      </c>
      <c r="G1142" s="13">
        <v>1</v>
      </c>
      <c r="H1142" s="4"/>
      <c r="I1142" s="4"/>
      <c r="J1142" s="4"/>
      <c r="K1142" s="4" t="s">
        <v>2533</v>
      </c>
      <c r="L1142" s="4"/>
    </row>
    <row r="1143" spans="1:12">
      <c r="A1143" s="4" t="s">
        <v>2550</v>
      </c>
      <c r="B1143" s="4" t="s">
        <v>2551</v>
      </c>
      <c r="C1143" s="4" t="s">
        <v>324</v>
      </c>
      <c r="D1143" s="4" t="s">
        <v>330</v>
      </c>
      <c r="E1143" s="4" t="s">
        <v>587</v>
      </c>
      <c r="F1143" s="13">
        <v>8</v>
      </c>
      <c r="G1143" s="13">
        <v>1</v>
      </c>
      <c r="H1143" s="4"/>
      <c r="I1143" s="4"/>
      <c r="J1143" s="4"/>
      <c r="K1143" s="4" t="s">
        <v>2533</v>
      </c>
      <c r="L1143" s="4"/>
    </row>
    <row r="1144" spans="1:12">
      <c r="A1144" s="4" t="s">
        <v>2552</v>
      </c>
      <c r="B1144" s="4" t="s">
        <v>2553</v>
      </c>
      <c r="C1144" s="4" t="s">
        <v>324</v>
      </c>
      <c r="D1144" s="4" t="s">
        <v>330</v>
      </c>
      <c r="E1144" s="4" t="s">
        <v>587</v>
      </c>
      <c r="F1144" s="13">
        <v>8</v>
      </c>
      <c r="G1144" s="13">
        <v>1</v>
      </c>
      <c r="H1144" s="4"/>
      <c r="I1144" s="4"/>
      <c r="J1144" s="4"/>
      <c r="K1144" s="4" t="s">
        <v>2533</v>
      </c>
      <c r="L1144" s="4"/>
    </row>
    <row r="1145" spans="1:12">
      <c r="A1145" s="4" t="s">
        <v>2554</v>
      </c>
      <c r="B1145" s="4" t="s">
        <v>2555</v>
      </c>
      <c r="C1145" s="4" t="s">
        <v>324</v>
      </c>
      <c r="D1145" s="4" t="s">
        <v>330</v>
      </c>
      <c r="E1145" s="4" t="s">
        <v>587</v>
      </c>
      <c r="F1145" s="13">
        <v>8</v>
      </c>
      <c r="G1145" s="13">
        <v>1</v>
      </c>
      <c r="H1145" s="4"/>
      <c r="I1145" s="4"/>
      <c r="J1145" s="4"/>
      <c r="K1145" s="4" t="s">
        <v>2533</v>
      </c>
      <c r="L1145" s="4"/>
    </row>
    <row r="1146" spans="1:12">
      <c r="A1146" s="4" t="s">
        <v>2556</v>
      </c>
      <c r="B1146" s="4" t="s">
        <v>780</v>
      </c>
      <c r="C1146" s="4" t="s">
        <v>324</v>
      </c>
      <c r="D1146" s="4" t="s">
        <v>330</v>
      </c>
      <c r="E1146" s="4" t="s">
        <v>587</v>
      </c>
      <c r="F1146" s="13">
        <v>8</v>
      </c>
      <c r="G1146" s="13">
        <v>1</v>
      </c>
      <c r="H1146" s="4"/>
      <c r="I1146" s="4"/>
      <c r="J1146" s="4"/>
      <c r="K1146" s="4" t="s">
        <v>2533</v>
      </c>
      <c r="L1146" s="4"/>
    </row>
    <row r="1147" spans="1:12">
      <c r="A1147" s="4" t="s">
        <v>2557</v>
      </c>
      <c r="B1147" s="4" t="s">
        <v>2558</v>
      </c>
      <c r="C1147" s="4" t="s">
        <v>324</v>
      </c>
      <c r="D1147" s="4" t="s">
        <v>330</v>
      </c>
      <c r="E1147" s="4" t="s">
        <v>587</v>
      </c>
      <c r="F1147" s="13">
        <v>8</v>
      </c>
      <c r="G1147" s="13">
        <v>1</v>
      </c>
      <c r="H1147" s="4"/>
      <c r="I1147" s="4"/>
      <c r="J1147" s="4"/>
      <c r="K1147" s="4" t="s">
        <v>2533</v>
      </c>
      <c r="L1147" s="4"/>
    </row>
    <row r="1148" spans="1:12">
      <c r="A1148" s="4" t="s">
        <v>2559</v>
      </c>
      <c r="B1148" s="4" t="s">
        <v>2560</v>
      </c>
      <c r="C1148" s="4" t="s">
        <v>324</v>
      </c>
      <c r="D1148" s="4" t="s">
        <v>330</v>
      </c>
      <c r="E1148" s="4" t="s">
        <v>587</v>
      </c>
      <c r="F1148" s="13">
        <v>8</v>
      </c>
      <c r="G1148" s="13">
        <v>1</v>
      </c>
      <c r="H1148" s="4"/>
      <c r="I1148" s="4"/>
      <c r="J1148" s="4"/>
      <c r="K1148" s="4" t="s">
        <v>2533</v>
      </c>
      <c r="L1148" s="4"/>
    </row>
    <row r="1149" spans="1:12">
      <c r="A1149" s="4" t="s">
        <v>2561</v>
      </c>
      <c r="B1149" s="4" t="s">
        <v>2562</v>
      </c>
      <c r="C1149" s="4" t="s">
        <v>324</v>
      </c>
      <c r="D1149" s="4" t="s">
        <v>330</v>
      </c>
      <c r="E1149" s="4" t="s">
        <v>587</v>
      </c>
      <c r="F1149" s="13">
        <v>8</v>
      </c>
      <c r="G1149" s="13">
        <v>1</v>
      </c>
      <c r="H1149" s="4"/>
      <c r="I1149" s="4"/>
      <c r="J1149" s="4"/>
      <c r="K1149" s="4" t="s">
        <v>2533</v>
      </c>
      <c r="L1149" s="4"/>
    </row>
    <row r="1150" spans="1:12">
      <c r="A1150" s="4" t="s">
        <v>2563</v>
      </c>
      <c r="B1150" s="4" t="s">
        <v>2564</v>
      </c>
      <c r="C1150" s="4" t="s">
        <v>324</v>
      </c>
      <c r="D1150" s="4" t="s">
        <v>330</v>
      </c>
      <c r="E1150" s="4" t="s">
        <v>587</v>
      </c>
      <c r="F1150" s="13">
        <v>8</v>
      </c>
      <c r="G1150" s="13">
        <v>1</v>
      </c>
      <c r="H1150" s="4"/>
      <c r="I1150" s="4"/>
      <c r="J1150" s="4"/>
      <c r="K1150" s="4" t="s">
        <v>2533</v>
      </c>
      <c r="L1150" s="4"/>
    </row>
    <row r="1151" spans="1:12">
      <c r="A1151" s="4" t="s">
        <v>2565</v>
      </c>
      <c r="B1151" s="4" t="s">
        <v>2566</v>
      </c>
      <c r="C1151" s="4" t="s">
        <v>324</v>
      </c>
      <c r="D1151" s="4" t="s">
        <v>330</v>
      </c>
      <c r="E1151" s="4" t="s">
        <v>587</v>
      </c>
      <c r="F1151" s="13">
        <v>8</v>
      </c>
      <c r="G1151" s="13">
        <v>1</v>
      </c>
      <c r="H1151" s="4"/>
      <c r="I1151" s="4"/>
      <c r="J1151" s="4"/>
      <c r="K1151" s="4" t="s">
        <v>2533</v>
      </c>
      <c r="L1151" s="4"/>
    </row>
    <row r="1152" spans="1:12">
      <c r="A1152" s="4" t="s">
        <v>2567</v>
      </c>
      <c r="B1152" s="4" t="s">
        <v>2568</v>
      </c>
      <c r="C1152" s="4" t="s">
        <v>324</v>
      </c>
      <c r="D1152" s="4" t="s">
        <v>330</v>
      </c>
      <c r="E1152" s="4" t="s">
        <v>587</v>
      </c>
      <c r="F1152" s="13">
        <v>8</v>
      </c>
      <c r="G1152" s="13">
        <v>1</v>
      </c>
      <c r="H1152" s="4"/>
      <c r="I1152" s="4"/>
      <c r="J1152" s="4"/>
      <c r="K1152" s="4" t="s">
        <v>2533</v>
      </c>
      <c r="L1152" s="4"/>
    </row>
    <row r="1153" spans="1:12">
      <c r="A1153" s="4" t="s">
        <v>2569</v>
      </c>
      <c r="B1153" s="4" t="s">
        <v>2570</v>
      </c>
      <c r="C1153" s="4" t="s">
        <v>324</v>
      </c>
      <c r="D1153" s="4" t="s">
        <v>330</v>
      </c>
      <c r="E1153" s="4" t="s">
        <v>587</v>
      </c>
      <c r="F1153" s="13">
        <v>8</v>
      </c>
      <c r="G1153" s="13">
        <v>1</v>
      </c>
      <c r="H1153" s="4"/>
      <c r="I1153" s="4"/>
      <c r="J1153" s="4"/>
      <c r="K1153" s="4" t="s">
        <v>2533</v>
      </c>
      <c r="L1153" s="4"/>
    </row>
    <row r="1154" spans="1:12">
      <c r="A1154" s="4" t="s">
        <v>2571</v>
      </c>
      <c r="B1154" s="4" t="s">
        <v>2572</v>
      </c>
      <c r="C1154" s="4" t="s">
        <v>324</v>
      </c>
      <c r="D1154" s="4" t="s">
        <v>330</v>
      </c>
      <c r="E1154" s="4" t="s">
        <v>587</v>
      </c>
      <c r="F1154" s="13">
        <v>8</v>
      </c>
      <c r="G1154" s="13">
        <v>1</v>
      </c>
      <c r="H1154" s="4"/>
      <c r="I1154" s="4"/>
      <c r="J1154" s="4"/>
      <c r="K1154" s="4" t="s">
        <v>2533</v>
      </c>
      <c r="L1154" s="4"/>
    </row>
    <row r="1155" spans="1:12">
      <c r="A1155" s="4" t="s">
        <v>2573</v>
      </c>
      <c r="B1155" s="4" t="s">
        <v>2574</v>
      </c>
      <c r="C1155" s="4" t="s">
        <v>324</v>
      </c>
      <c r="D1155" s="4" t="s">
        <v>330</v>
      </c>
      <c r="E1155" s="4" t="s">
        <v>587</v>
      </c>
      <c r="F1155" s="13">
        <v>8</v>
      </c>
      <c r="G1155" s="13">
        <v>1</v>
      </c>
      <c r="H1155" s="4"/>
      <c r="I1155" s="4"/>
      <c r="J1155" s="4"/>
      <c r="K1155" s="4" t="s">
        <v>2533</v>
      </c>
      <c r="L1155" s="4" t="s">
        <v>683</v>
      </c>
    </row>
    <row r="1156" spans="1:12">
      <c r="A1156" s="4" t="s">
        <v>2575</v>
      </c>
      <c r="B1156" s="4" t="s">
        <v>2576</v>
      </c>
      <c r="C1156" s="4" t="s">
        <v>324</v>
      </c>
      <c r="D1156" s="4" t="s">
        <v>330</v>
      </c>
      <c r="E1156" s="4" t="s">
        <v>587</v>
      </c>
      <c r="F1156" s="13">
        <v>8</v>
      </c>
      <c r="G1156" s="13">
        <v>1</v>
      </c>
      <c r="H1156" s="4"/>
      <c r="I1156" s="4"/>
      <c r="J1156" s="4"/>
      <c r="K1156" s="4" t="s">
        <v>2533</v>
      </c>
      <c r="L1156" s="4"/>
    </row>
    <row r="1157" spans="1:12">
      <c r="A1157" s="4" t="s">
        <v>2577</v>
      </c>
      <c r="B1157" s="4" t="s">
        <v>2578</v>
      </c>
      <c r="C1157" s="4" t="s">
        <v>324</v>
      </c>
      <c r="D1157" s="4" t="s">
        <v>330</v>
      </c>
      <c r="E1157" s="4" t="s">
        <v>587</v>
      </c>
      <c r="F1157" s="13">
        <v>8</v>
      </c>
      <c r="G1157" s="13">
        <v>1</v>
      </c>
      <c r="H1157" s="4"/>
      <c r="I1157" s="4"/>
      <c r="J1157" s="4"/>
      <c r="K1157" s="4" t="s">
        <v>2533</v>
      </c>
      <c r="L1157" s="4"/>
    </row>
    <row r="1158" spans="1:12">
      <c r="A1158" s="4" t="s">
        <v>2579</v>
      </c>
      <c r="B1158" s="4" t="s">
        <v>2580</v>
      </c>
      <c r="C1158" s="4" t="s">
        <v>324</v>
      </c>
      <c r="D1158" s="4" t="s">
        <v>330</v>
      </c>
      <c r="E1158" s="4" t="s">
        <v>587</v>
      </c>
      <c r="F1158" s="13">
        <v>8</v>
      </c>
      <c r="G1158" s="13">
        <v>1</v>
      </c>
      <c r="H1158" s="4"/>
      <c r="I1158" s="4"/>
      <c r="J1158" s="4"/>
      <c r="K1158" s="4" t="s">
        <v>2533</v>
      </c>
      <c r="L1158" s="4"/>
    </row>
    <row r="1159" spans="1:12">
      <c r="A1159" s="4" t="s">
        <v>2581</v>
      </c>
      <c r="B1159" s="4" t="s">
        <v>2582</v>
      </c>
      <c r="C1159" s="4" t="s">
        <v>324</v>
      </c>
      <c r="D1159" s="4" t="s">
        <v>330</v>
      </c>
      <c r="E1159" s="4" t="s">
        <v>587</v>
      </c>
      <c r="F1159" s="13">
        <v>8</v>
      </c>
      <c r="G1159" s="13">
        <v>1</v>
      </c>
      <c r="H1159" s="4"/>
      <c r="I1159" s="4"/>
      <c r="J1159" s="4"/>
      <c r="K1159" s="4" t="s">
        <v>2533</v>
      </c>
      <c r="L1159" s="4"/>
    </row>
    <row r="1160" spans="1:12">
      <c r="A1160" s="4" t="s">
        <v>2583</v>
      </c>
      <c r="B1160" s="4" t="s">
        <v>84</v>
      </c>
      <c r="C1160" s="4" t="s">
        <v>324</v>
      </c>
      <c r="D1160" s="4" t="s">
        <v>330</v>
      </c>
      <c r="E1160" s="4" t="s">
        <v>587</v>
      </c>
      <c r="F1160" s="13">
        <v>8</v>
      </c>
      <c r="G1160" s="13">
        <v>1</v>
      </c>
      <c r="H1160" s="4"/>
      <c r="I1160" s="4"/>
      <c r="J1160" s="4"/>
      <c r="K1160" s="4" t="s">
        <v>2533</v>
      </c>
      <c r="L1160" s="4"/>
    </row>
    <row r="1161" spans="1:12">
      <c r="A1161" s="4" t="s">
        <v>2584</v>
      </c>
      <c r="B1161" s="4" t="s">
        <v>2585</v>
      </c>
      <c r="C1161" s="4" t="s">
        <v>324</v>
      </c>
      <c r="D1161" s="4" t="s">
        <v>330</v>
      </c>
      <c r="E1161" s="4" t="s">
        <v>587</v>
      </c>
      <c r="F1161" s="13">
        <v>8</v>
      </c>
      <c r="G1161" s="13">
        <v>1</v>
      </c>
      <c r="H1161" s="4"/>
      <c r="I1161" s="4"/>
      <c r="J1161" s="4"/>
      <c r="K1161" s="4" t="s">
        <v>2533</v>
      </c>
      <c r="L1161" s="4"/>
    </row>
    <row r="1162" spans="1:12">
      <c r="A1162" s="4" t="s">
        <v>2586</v>
      </c>
      <c r="B1162" s="4" t="s">
        <v>122</v>
      </c>
      <c r="C1162" s="4" t="s">
        <v>324</v>
      </c>
      <c r="D1162" s="4" t="s">
        <v>330</v>
      </c>
      <c r="E1162" s="4" t="s">
        <v>587</v>
      </c>
      <c r="F1162" s="13">
        <v>8</v>
      </c>
      <c r="G1162" s="13">
        <v>1</v>
      </c>
      <c r="H1162" s="4"/>
      <c r="I1162" s="4"/>
      <c r="J1162" s="4"/>
      <c r="K1162" s="4" t="s">
        <v>2533</v>
      </c>
      <c r="L1162" s="4"/>
    </row>
    <row r="1163" spans="1:12">
      <c r="A1163" s="4" t="s">
        <v>2587</v>
      </c>
      <c r="B1163" s="4" t="s">
        <v>2588</v>
      </c>
      <c r="C1163" s="4" t="s">
        <v>324</v>
      </c>
      <c r="D1163" s="4" t="s">
        <v>330</v>
      </c>
      <c r="E1163" s="4" t="s">
        <v>587</v>
      </c>
      <c r="F1163" s="13">
        <v>8</v>
      </c>
      <c r="G1163" s="13">
        <v>1</v>
      </c>
      <c r="H1163" s="4"/>
      <c r="I1163" s="4"/>
      <c r="J1163" s="4"/>
      <c r="K1163" s="4" t="s">
        <v>2533</v>
      </c>
      <c r="L1163" s="4"/>
    </row>
    <row r="1164" spans="1:12">
      <c r="A1164" s="4" t="s">
        <v>2533</v>
      </c>
      <c r="B1164" s="4" t="s">
        <v>2589</v>
      </c>
      <c r="C1164" s="4" t="s">
        <v>324</v>
      </c>
      <c r="D1164" s="4" t="s">
        <v>702</v>
      </c>
      <c r="E1164" s="4" t="s">
        <v>587</v>
      </c>
      <c r="F1164" s="13">
        <v>12</v>
      </c>
      <c r="G1164" s="13">
        <v>1</v>
      </c>
      <c r="H1164" s="4"/>
      <c r="I1164" s="4"/>
      <c r="J1164" s="4"/>
      <c r="K1164" s="4" t="s">
        <v>2510</v>
      </c>
      <c r="L1164" s="4"/>
    </row>
    <row r="1165" spans="1:12">
      <c r="A1165" s="4" t="s">
        <v>2590</v>
      </c>
      <c r="B1165" s="4" t="s">
        <v>2591</v>
      </c>
      <c r="C1165" s="4" t="s">
        <v>324</v>
      </c>
      <c r="D1165" s="4" t="s">
        <v>325</v>
      </c>
      <c r="E1165" s="4" t="s">
        <v>587</v>
      </c>
      <c r="F1165" s="13">
        <v>4</v>
      </c>
      <c r="G1165" s="13">
        <v>2</v>
      </c>
      <c r="H1165" s="4"/>
      <c r="I1165" s="4"/>
      <c r="J1165" s="4"/>
      <c r="K1165" s="4"/>
      <c r="L1165" s="4"/>
    </row>
    <row r="1166" spans="1:12">
      <c r="A1166" s="4" t="s">
        <v>2592</v>
      </c>
      <c r="B1166" s="4" t="s">
        <v>111</v>
      </c>
      <c r="C1166" s="4" t="s">
        <v>324</v>
      </c>
      <c r="D1166" s="4" t="s">
        <v>330</v>
      </c>
      <c r="E1166" s="4" t="s">
        <v>587</v>
      </c>
      <c r="F1166" s="13">
        <v>8</v>
      </c>
      <c r="G1166" s="13">
        <v>1</v>
      </c>
      <c r="H1166" s="4"/>
      <c r="I1166" s="4"/>
      <c r="J1166" s="4"/>
      <c r="K1166" s="4" t="s">
        <v>2593</v>
      </c>
      <c r="L1166" s="4"/>
    </row>
    <row r="1167" spans="1:12">
      <c r="A1167" s="4" t="s">
        <v>2594</v>
      </c>
      <c r="B1167" s="4" t="s">
        <v>2595</v>
      </c>
      <c r="C1167" s="4" t="s">
        <v>324</v>
      </c>
      <c r="D1167" s="4" t="s">
        <v>330</v>
      </c>
      <c r="E1167" s="4" t="s">
        <v>587</v>
      </c>
      <c r="F1167" s="13">
        <v>8</v>
      </c>
      <c r="G1167" s="13">
        <v>1</v>
      </c>
      <c r="H1167" s="4"/>
      <c r="I1167" s="4"/>
      <c r="J1167" s="4"/>
      <c r="K1167" s="4" t="s">
        <v>2593</v>
      </c>
      <c r="L1167" s="4"/>
    </row>
    <row r="1168" spans="1:12">
      <c r="A1168" s="4" t="s">
        <v>2596</v>
      </c>
      <c r="B1168" s="4" t="s">
        <v>102</v>
      </c>
      <c r="C1168" s="4" t="s">
        <v>324</v>
      </c>
      <c r="D1168" s="4" t="s">
        <v>330</v>
      </c>
      <c r="E1168" s="4" t="s">
        <v>587</v>
      </c>
      <c r="F1168" s="13">
        <v>8</v>
      </c>
      <c r="G1168" s="13">
        <v>1</v>
      </c>
      <c r="H1168" s="4"/>
      <c r="I1168" s="4"/>
      <c r="J1168" s="4"/>
      <c r="K1168" s="4" t="s">
        <v>2593</v>
      </c>
      <c r="L1168" s="4"/>
    </row>
    <row r="1169" spans="1:12">
      <c r="A1169" s="4" t="s">
        <v>2597</v>
      </c>
      <c r="B1169" s="4" t="s">
        <v>2598</v>
      </c>
      <c r="C1169" s="4" t="s">
        <v>324</v>
      </c>
      <c r="D1169" s="4" t="s">
        <v>330</v>
      </c>
      <c r="E1169" s="4" t="s">
        <v>587</v>
      </c>
      <c r="F1169" s="13">
        <v>8</v>
      </c>
      <c r="G1169" s="13">
        <v>1</v>
      </c>
      <c r="H1169" s="4"/>
      <c r="I1169" s="4"/>
      <c r="J1169" s="4"/>
      <c r="K1169" s="4" t="s">
        <v>2593</v>
      </c>
      <c r="L1169" s="4"/>
    </row>
    <row r="1170" spans="1:12">
      <c r="A1170" s="4" t="s">
        <v>2599</v>
      </c>
      <c r="B1170" s="4" t="s">
        <v>2600</v>
      </c>
      <c r="C1170" s="4" t="s">
        <v>324</v>
      </c>
      <c r="D1170" s="4" t="s">
        <v>330</v>
      </c>
      <c r="E1170" s="4" t="s">
        <v>587</v>
      </c>
      <c r="F1170" s="13">
        <v>8</v>
      </c>
      <c r="G1170" s="13">
        <v>1</v>
      </c>
      <c r="H1170" s="4"/>
      <c r="I1170" s="4"/>
      <c r="J1170" s="4"/>
      <c r="K1170" s="4" t="s">
        <v>2593</v>
      </c>
      <c r="L1170" s="4"/>
    </row>
    <row r="1171" spans="1:12">
      <c r="A1171" s="4" t="s">
        <v>2601</v>
      </c>
      <c r="B1171" s="4" t="s">
        <v>2602</v>
      </c>
      <c r="C1171" s="4" t="s">
        <v>324</v>
      </c>
      <c r="D1171" s="4" t="s">
        <v>330</v>
      </c>
      <c r="E1171" s="4" t="s">
        <v>587</v>
      </c>
      <c r="F1171" s="13">
        <v>8</v>
      </c>
      <c r="G1171" s="13">
        <v>1</v>
      </c>
      <c r="H1171" s="4"/>
      <c r="I1171" s="4"/>
      <c r="J1171" s="4"/>
      <c r="K1171" s="4" t="s">
        <v>2593</v>
      </c>
      <c r="L1171" s="4"/>
    </row>
    <row r="1172" spans="1:12">
      <c r="A1172" s="4" t="s">
        <v>2603</v>
      </c>
      <c r="B1172" s="4" t="s">
        <v>2604</v>
      </c>
      <c r="C1172" s="4" t="s">
        <v>324</v>
      </c>
      <c r="D1172" s="4" t="s">
        <v>330</v>
      </c>
      <c r="E1172" s="4" t="s">
        <v>587</v>
      </c>
      <c r="F1172" s="13">
        <v>8</v>
      </c>
      <c r="G1172" s="13">
        <v>1</v>
      </c>
      <c r="H1172" s="4"/>
      <c r="I1172" s="4"/>
      <c r="J1172" s="4"/>
      <c r="K1172" s="4" t="s">
        <v>2593</v>
      </c>
      <c r="L1172" s="4"/>
    </row>
    <row r="1173" spans="1:12">
      <c r="A1173" s="4" t="s">
        <v>2605</v>
      </c>
      <c r="B1173" s="4" t="s">
        <v>2606</v>
      </c>
      <c r="C1173" s="4" t="s">
        <v>324</v>
      </c>
      <c r="D1173" s="4" t="s">
        <v>330</v>
      </c>
      <c r="E1173" s="4" t="s">
        <v>587</v>
      </c>
      <c r="F1173" s="13">
        <v>8</v>
      </c>
      <c r="G1173" s="13">
        <v>1</v>
      </c>
      <c r="H1173" s="4"/>
      <c r="I1173" s="4"/>
      <c r="J1173" s="4"/>
      <c r="K1173" s="4" t="s">
        <v>2593</v>
      </c>
      <c r="L1173" s="4"/>
    </row>
    <row r="1174" spans="1:12">
      <c r="A1174" s="4" t="s">
        <v>2607</v>
      </c>
      <c r="B1174" s="4" t="s">
        <v>2608</v>
      </c>
      <c r="C1174" s="4" t="s">
        <v>324</v>
      </c>
      <c r="D1174" s="4" t="s">
        <v>330</v>
      </c>
      <c r="E1174" s="4" t="s">
        <v>587</v>
      </c>
      <c r="F1174" s="13">
        <v>8</v>
      </c>
      <c r="G1174" s="13">
        <v>1</v>
      </c>
      <c r="H1174" s="4"/>
      <c r="I1174" s="4"/>
      <c r="J1174" s="4"/>
      <c r="K1174" s="4" t="s">
        <v>2593</v>
      </c>
      <c r="L1174" s="4"/>
    </row>
    <row r="1175" spans="1:12">
      <c r="A1175" s="4" t="s">
        <v>2593</v>
      </c>
      <c r="B1175" s="4" t="s">
        <v>2609</v>
      </c>
      <c r="C1175" s="4" t="s">
        <v>324</v>
      </c>
      <c r="D1175" s="4" t="s">
        <v>702</v>
      </c>
      <c r="E1175" s="4" t="s">
        <v>587</v>
      </c>
      <c r="F1175" s="13">
        <v>12</v>
      </c>
      <c r="G1175" s="13">
        <v>1</v>
      </c>
      <c r="H1175" s="4"/>
      <c r="I1175" s="4"/>
      <c r="J1175" s="4"/>
      <c r="K1175" s="4" t="s">
        <v>2510</v>
      </c>
      <c r="L1175" s="4"/>
    </row>
    <row r="1176" spans="1:12">
      <c r="A1176" s="4" t="s">
        <v>2610</v>
      </c>
      <c r="B1176" s="4" t="s">
        <v>2611</v>
      </c>
      <c r="C1176" s="4" t="s">
        <v>324</v>
      </c>
      <c r="D1176" s="4" t="s">
        <v>325</v>
      </c>
      <c r="E1176" s="4" t="s">
        <v>587</v>
      </c>
      <c r="F1176" s="13">
        <v>4</v>
      </c>
      <c r="G1176" s="13">
        <v>2</v>
      </c>
      <c r="H1176" s="4"/>
      <c r="I1176" s="4"/>
      <c r="J1176" s="4"/>
      <c r="K1176" s="4"/>
      <c r="L1176" s="4"/>
    </row>
    <row r="1177" spans="1:12">
      <c r="A1177" s="4" t="s">
        <v>2612</v>
      </c>
      <c r="B1177" s="4" t="s">
        <v>2613</v>
      </c>
      <c r="C1177" s="4" t="s">
        <v>324</v>
      </c>
      <c r="D1177" s="4" t="s">
        <v>330</v>
      </c>
      <c r="E1177" s="4" t="s">
        <v>587</v>
      </c>
      <c r="F1177" s="13">
        <v>8</v>
      </c>
      <c r="G1177" s="13">
        <v>1</v>
      </c>
      <c r="H1177" s="4"/>
      <c r="I1177" s="4"/>
      <c r="J1177" s="4"/>
      <c r="K1177" s="4" t="s">
        <v>2614</v>
      </c>
      <c r="L1177" s="4"/>
    </row>
    <row r="1178" spans="1:12">
      <c r="A1178" s="4" t="s">
        <v>2615</v>
      </c>
      <c r="B1178" s="4" t="s">
        <v>2616</v>
      </c>
      <c r="C1178" s="4" t="s">
        <v>324</v>
      </c>
      <c r="D1178" s="4" t="s">
        <v>330</v>
      </c>
      <c r="E1178" s="4" t="s">
        <v>587</v>
      </c>
      <c r="F1178" s="13">
        <v>8</v>
      </c>
      <c r="G1178" s="13">
        <v>1</v>
      </c>
      <c r="H1178" s="4"/>
      <c r="I1178" s="4"/>
      <c r="J1178" s="4"/>
      <c r="K1178" s="4" t="s">
        <v>2614</v>
      </c>
      <c r="L1178" s="4"/>
    </row>
    <row r="1179" spans="1:12">
      <c r="A1179" s="4" t="s">
        <v>2617</v>
      </c>
      <c r="B1179" s="4" t="s">
        <v>2618</v>
      </c>
      <c r="C1179" s="4" t="s">
        <v>324</v>
      </c>
      <c r="D1179" s="4" t="s">
        <v>330</v>
      </c>
      <c r="E1179" s="4" t="s">
        <v>587</v>
      </c>
      <c r="F1179" s="13">
        <v>8</v>
      </c>
      <c r="G1179" s="13">
        <v>1</v>
      </c>
      <c r="H1179" s="4"/>
      <c r="I1179" s="4"/>
      <c r="J1179" s="4"/>
      <c r="K1179" s="4" t="s">
        <v>2614</v>
      </c>
      <c r="L1179" s="4"/>
    </row>
    <row r="1180" spans="1:12">
      <c r="A1180" s="4" t="s">
        <v>2619</v>
      </c>
      <c r="B1180" s="4" t="s">
        <v>2620</v>
      </c>
      <c r="C1180" s="4" t="s">
        <v>324</v>
      </c>
      <c r="D1180" s="4" t="s">
        <v>330</v>
      </c>
      <c r="E1180" s="4" t="s">
        <v>587</v>
      </c>
      <c r="F1180" s="13">
        <v>8</v>
      </c>
      <c r="G1180" s="13">
        <v>1</v>
      </c>
      <c r="H1180" s="4"/>
      <c r="I1180" s="4"/>
      <c r="J1180" s="4"/>
      <c r="K1180" s="4" t="s">
        <v>2614</v>
      </c>
      <c r="L1180" s="4"/>
    </row>
    <row r="1181" spans="1:12">
      <c r="A1181" s="4" t="s">
        <v>2621</v>
      </c>
      <c r="B1181" s="4" t="s">
        <v>2622</v>
      </c>
      <c r="C1181" s="4" t="s">
        <v>324</v>
      </c>
      <c r="D1181" s="4" t="s">
        <v>330</v>
      </c>
      <c r="E1181" s="4" t="s">
        <v>587</v>
      </c>
      <c r="F1181" s="13">
        <v>8</v>
      </c>
      <c r="G1181" s="13">
        <v>1</v>
      </c>
      <c r="H1181" s="4"/>
      <c r="I1181" s="4"/>
      <c r="J1181" s="4"/>
      <c r="K1181" s="4" t="s">
        <v>2614</v>
      </c>
      <c r="L1181" s="4"/>
    </row>
    <row r="1182" spans="1:12">
      <c r="A1182" s="4" t="s">
        <v>2623</v>
      </c>
      <c r="B1182" s="4" t="s">
        <v>2624</v>
      </c>
      <c r="C1182" s="4" t="s">
        <v>324</v>
      </c>
      <c r="D1182" s="4" t="s">
        <v>330</v>
      </c>
      <c r="E1182" s="4" t="s">
        <v>587</v>
      </c>
      <c r="F1182" s="13">
        <v>8</v>
      </c>
      <c r="G1182" s="13">
        <v>1</v>
      </c>
      <c r="H1182" s="4"/>
      <c r="I1182" s="4"/>
      <c r="J1182" s="4"/>
      <c r="K1182" s="4" t="s">
        <v>2614</v>
      </c>
      <c r="L1182" s="4"/>
    </row>
    <row r="1183" spans="1:12">
      <c r="A1183" s="4" t="s">
        <v>2614</v>
      </c>
      <c r="B1183" s="4" t="s">
        <v>2625</v>
      </c>
      <c r="C1183" s="4" t="s">
        <v>324</v>
      </c>
      <c r="D1183" s="4" t="s">
        <v>702</v>
      </c>
      <c r="E1183" s="4" t="s">
        <v>587</v>
      </c>
      <c r="F1183" s="13">
        <v>12</v>
      </c>
      <c r="G1183" s="13">
        <v>1</v>
      </c>
      <c r="H1183" s="4"/>
      <c r="I1183" s="4"/>
      <c r="J1183" s="4"/>
      <c r="K1183" s="4" t="s">
        <v>2510</v>
      </c>
      <c r="L1183" s="4"/>
    </row>
    <row r="1184" spans="1:12">
      <c r="A1184" s="4" t="s">
        <v>2626</v>
      </c>
      <c r="B1184" s="4" t="s">
        <v>2627</v>
      </c>
      <c r="C1184" s="4" t="s">
        <v>324</v>
      </c>
      <c r="D1184" s="4" t="s">
        <v>325</v>
      </c>
      <c r="E1184" s="4" t="s">
        <v>587</v>
      </c>
      <c r="F1184" s="13">
        <v>4</v>
      </c>
      <c r="G1184" s="13">
        <v>2</v>
      </c>
      <c r="H1184" s="4"/>
      <c r="I1184" s="4"/>
      <c r="J1184" s="4"/>
      <c r="K1184" s="4"/>
      <c r="L1184" s="4"/>
    </row>
    <row r="1185" spans="1:12">
      <c r="A1185" s="4" t="s">
        <v>2628</v>
      </c>
      <c r="B1185" s="4" t="s">
        <v>75</v>
      </c>
      <c r="C1185" s="4" t="s">
        <v>324</v>
      </c>
      <c r="D1185" s="4" t="s">
        <v>330</v>
      </c>
      <c r="E1185" s="4" t="s">
        <v>587</v>
      </c>
      <c r="F1185" s="13">
        <v>8</v>
      </c>
      <c r="G1185" s="13">
        <v>1</v>
      </c>
      <c r="H1185" s="4"/>
      <c r="I1185" s="4"/>
      <c r="J1185" s="4"/>
      <c r="K1185" s="4" t="s">
        <v>2629</v>
      </c>
      <c r="L1185" s="4"/>
    </row>
    <row r="1186" spans="1:12">
      <c r="A1186" s="4" t="s">
        <v>2630</v>
      </c>
      <c r="B1186" s="4" t="s">
        <v>2631</v>
      </c>
      <c r="C1186" s="4" t="s">
        <v>324</v>
      </c>
      <c r="D1186" s="4" t="s">
        <v>330</v>
      </c>
      <c r="E1186" s="4" t="s">
        <v>587</v>
      </c>
      <c r="F1186" s="13">
        <v>8</v>
      </c>
      <c r="G1186" s="13">
        <v>1</v>
      </c>
      <c r="H1186" s="4"/>
      <c r="I1186" s="4"/>
      <c r="J1186" s="4"/>
      <c r="K1186" s="4" t="s">
        <v>2629</v>
      </c>
      <c r="L1186" s="4"/>
    </row>
    <row r="1187" spans="1:12">
      <c r="A1187" s="4" t="s">
        <v>2632</v>
      </c>
      <c r="B1187" s="4" t="s">
        <v>86</v>
      </c>
      <c r="C1187" s="4" t="s">
        <v>324</v>
      </c>
      <c r="D1187" s="4" t="s">
        <v>330</v>
      </c>
      <c r="E1187" s="4" t="s">
        <v>587</v>
      </c>
      <c r="F1187" s="13">
        <v>8</v>
      </c>
      <c r="G1187" s="13">
        <v>1</v>
      </c>
      <c r="H1187" s="4"/>
      <c r="I1187" s="4"/>
      <c r="J1187" s="4"/>
      <c r="K1187" s="4" t="s">
        <v>2629</v>
      </c>
      <c r="L1187" s="4"/>
    </row>
    <row r="1188" spans="1:12">
      <c r="A1188" s="4" t="s">
        <v>2633</v>
      </c>
      <c r="B1188" s="4" t="s">
        <v>2634</v>
      </c>
      <c r="C1188" s="4" t="s">
        <v>324</v>
      </c>
      <c r="D1188" s="4" t="s">
        <v>330</v>
      </c>
      <c r="E1188" s="4" t="s">
        <v>587</v>
      </c>
      <c r="F1188" s="13">
        <v>8</v>
      </c>
      <c r="G1188" s="13">
        <v>1</v>
      </c>
      <c r="H1188" s="4"/>
      <c r="I1188" s="4"/>
      <c r="J1188" s="4"/>
      <c r="K1188" s="4" t="s">
        <v>2629</v>
      </c>
      <c r="L1188" s="4" t="s">
        <v>683</v>
      </c>
    </row>
    <row r="1189" spans="1:12">
      <c r="A1189" s="4" t="s">
        <v>2635</v>
      </c>
      <c r="B1189" s="4" t="s">
        <v>114</v>
      </c>
      <c r="C1189" s="4" t="s">
        <v>324</v>
      </c>
      <c r="D1189" s="4" t="s">
        <v>330</v>
      </c>
      <c r="E1189" s="4" t="s">
        <v>587</v>
      </c>
      <c r="F1189" s="13">
        <v>8</v>
      </c>
      <c r="G1189" s="13">
        <v>1</v>
      </c>
      <c r="H1189" s="4"/>
      <c r="I1189" s="4"/>
      <c r="J1189" s="4"/>
      <c r="K1189" s="4" t="s">
        <v>2629</v>
      </c>
      <c r="L1189" s="4"/>
    </row>
    <row r="1190" spans="1:12">
      <c r="A1190" s="4" t="s">
        <v>2636</v>
      </c>
      <c r="B1190" s="4" t="s">
        <v>2637</v>
      </c>
      <c r="C1190" s="4" t="s">
        <v>324</v>
      </c>
      <c r="D1190" s="4" t="s">
        <v>330</v>
      </c>
      <c r="E1190" s="4" t="s">
        <v>587</v>
      </c>
      <c r="F1190" s="13">
        <v>8</v>
      </c>
      <c r="G1190" s="13">
        <v>1</v>
      </c>
      <c r="H1190" s="4"/>
      <c r="I1190" s="4"/>
      <c r="J1190" s="4"/>
      <c r="K1190" s="4" t="s">
        <v>2629</v>
      </c>
      <c r="L1190" s="4"/>
    </row>
    <row r="1191" spans="1:12">
      <c r="A1191" s="4" t="s">
        <v>2638</v>
      </c>
      <c r="B1191" s="4" t="s">
        <v>2639</v>
      </c>
      <c r="C1191" s="4" t="s">
        <v>324</v>
      </c>
      <c r="D1191" s="4" t="s">
        <v>330</v>
      </c>
      <c r="E1191" s="4" t="s">
        <v>587</v>
      </c>
      <c r="F1191" s="13">
        <v>8</v>
      </c>
      <c r="G1191" s="13">
        <v>1</v>
      </c>
      <c r="H1191" s="4"/>
      <c r="I1191" s="4"/>
      <c r="J1191" s="4"/>
      <c r="K1191" s="4" t="s">
        <v>2629</v>
      </c>
      <c r="L1191" s="4" t="s">
        <v>881</v>
      </c>
    </row>
    <row r="1192" spans="1:12">
      <c r="A1192" s="4" t="s">
        <v>2640</v>
      </c>
      <c r="B1192" s="4" t="s">
        <v>2641</v>
      </c>
      <c r="C1192" s="4" t="s">
        <v>324</v>
      </c>
      <c r="D1192" s="4" t="s">
        <v>330</v>
      </c>
      <c r="E1192" s="4" t="s">
        <v>587</v>
      </c>
      <c r="F1192" s="13">
        <v>8</v>
      </c>
      <c r="G1192" s="13">
        <v>1</v>
      </c>
      <c r="H1192" s="4"/>
      <c r="I1192" s="4"/>
      <c r="J1192" s="4"/>
      <c r="K1192" s="4" t="s">
        <v>2629</v>
      </c>
      <c r="L1192" s="4"/>
    </row>
    <row r="1193" spans="1:12">
      <c r="A1193" s="4" t="s">
        <v>2642</v>
      </c>
      <c r="B1193" s="4" t="s">
        <v>95</v>
      </c>
      <c r="C1193" s="4" t="s">
        <v>324</v>
      </c>
      <c r="D1193" s="4" t="s">
        <v>330</v>
      </c>
      <c r="E1193" s="4" t="s">
        <v>587</v>
      </c>
      <c r="F1193" s="13">
        <v>8</v>
      </c>
      <c r="G1193" s="13">
        <v>1</v>
      </c>
      <c r="H1193" s="4"/>
      <c r="I1193" s="4"/>
      <c r="J1193" s="4"/>
      <c r="K1193" s="4" t="s">
        <v>2629</v>
      </c>
      <c r="L1193" s="4"/>
    </row>
    <row r="1194" spans="1:12">
      <c r="A1194" s="4" t="s">
        <v>2643</v>
      </c>
      <c r="B1194" s="4" t="s">
        <v>2644</v>
      </c>
      <c r="C1194" s="4" t="s">
        <v>324</v>
      </c>
      <c r="D1194" s="4" t="s">
        <v>330</v>
      </c>
      <c r="E1194" s="4" t="s">
        <v>587</v>
      </c>
      <c r="F1194" s="13">
        <v>8</v>
      </c>
      <c r="G1194" s="13">
        <v>1</v>
      </c>
      <c r="H1194" s="4"/>
      <c r="I1194" s="4"/>
      <c r="J1194" s="4"/>
      <c r="K1194" s="4" t="s">
        <v>2629</v>
      </c>
      <c r="L1194" s="4"/>
    </row>
    <row r="1195" spans="1:12">
      <c r="A1195" s="4" t="s">
        <v>2629</v>
      </c>
      <c r="B1195" s="4" t="s">
        <v>2645</v>
      </c>
      <c r="C1195" s="4" t="s">
        <v>324</v>
      </c>
      <c r="D1195" s="4" t="s">
        <v>702</v>
      </c>
      <c r="E1195" s="4" t="s">
        <v>587</v>
      </c>
      <c r="F1195" s="13">
        <v>12</v>
      </c>
      <c r="G1195" s="13">
        <v>1</v>
      </c>
      <c r="H1195" s="4"/>
      <c r="I1195" s="4"/>
      <c r="J1195" s="4"/>
      <c r="K1195" s="4" t="s">
        <v>2510</v>
      </c>
      <c r="L1195" s="4"/>
    </row>
    <row r="1196" spans="1:12">
      <c r="A1196" s="4" t="s">
        <v>2646</v>
      </c>
      <c r="B1196" s="4" t="s">
        <v>2647</v>
      </c>
      <c r="C1196" s="4" t="s">
        <v>324</v>
      </c>
      <c r="D1196" s="4" t="s">
        <v>325</v>
      </c>
      <c r="E1196" s="4" t="s">
        <v>587</v>
      </c>
      <c r="F1196" s="13">
        <v>4</v>
      </c>
      <c r="G1196" s="13">
        <v>2</v>
      </c>
      <c r="H1196" s="4"/>
      <c r="I1196" s="4"/>
      <c r="J1196" s="4"/>
      <c r="K1196" s="4"/>
      <c r="L1196" s="4"/>
    </row>
    <row r="1197" spans="1:12">
      <c r="A1197" s="4" t="s">
        <v>2648</v>
      </c>
      <c r="B1197" s="4" t="s">
        <v>2649</v>
      </c>
      <c r="C1197" s="4" t="s">
        <v>324</v>
      </c>
      <c r="D1197" s="4" t="s">
        <v>330</v>
      </c>
      <c r="E1197" s="4" t="s">
        <v>587</v>
      </c>
      <c r="F1197" s="13">
        <v>8</v>
      </c>
      <c r="G1197" s="13">
        <v>1</v>
      </c>
      <c r="H1197" s="4"/>
      <c r="I1197" s="4"/>
      <c r="J1197" s="4"/>
      <c r="K1197" s="4" t="s">
        <v>2650</v>
      </c>
      <c r="L1197" s="4"/>
    </row>
    <row r="1198" spans="1:12">
      <c r="A1198" s="4" t="s">
        <v>2651</v>
      </c>
      <c r="B1198" s="4" t="s">
        <v>2652</v>
      </c>
      <c r="C1198" s="4" t="s">
        <v>324</v>
      </c>
      <c r="D1198" s="4" t="s">
        <v>330</v>
      </c>
      <c r="E1198" s="4" t="s">
        <v>587</v>
      </c>
      <c r="F1198" s="13">
        <v>8</v>
      </c>
      <c r="G1198" s="13">
        <v>1</v>
      </c>
      <c r="H1198" s="4"/>
      <c r="I1198" s="4"/>
      <c r="J1198" s="4"/>
      <c r="K1198" s="4" t="s">
        <v>2650</v>
      </c>
      <c r="L1198" s="4" t="s">
        <v>881</v>
      </c>
    </row>
    <row r="1199" spans="1:12">
      <c r="A1199" s="4" t="s">
        <v>2653</v>
      </c>
      <c r="B1199" s="4" t="s">
        <v>2654</v>
      </c>
      <c r="C1199" s="4" t="s">
        <v>324</v>
      </c>
      <c r="D1199" s="4" t="s">
        <v>330</v>
      </c>
      <c r="E1199" s="4" t="s">
        <v>587</v>
      </c>
      <c r="F1199" s="13">
        <v>8</v>
      </c>
      <c r="G1199" s="13">
        <v>1</v>
      </c>
      <c r="H1199" s="4"/>
      <c r="I1199" s="4"/>
      <c r="J1199" s="4"/>
      <c r="K1199" s="4" t="s">
        <v>2650</v>
      </c>
      <c r="L1199" s="4"/>
    </row>
    <row r="1200" spans="1:12">
      <c r="A1200" s="4" t="s">
        <v>2655</v>
      </c>
      <c r="B1200" s="4" t="s">
        <v>2656</v>
      </c>
      <c r="C1200" s="4" t="s">
        <v>324</v>
      </c>
      <c r="D1200" s="4" t="s">
        <v>330</v>
      </c>
      <c r="E1200" s="4" t="s">
        <v>587</v>
      </c>
      <c r="F1200" s="13">
        <v>8</v>
      </c>
      <c r="G1200" s="13">
        <v>1</v>
      </c>
      <c r="H1200" s="4"/>
      <c r="I1200" s="4"/>
      <c r="J1200" s="4"/>
      <c r="K1200" s="4" t="s">
        <v>2650</v>
      </c>
      <c r="L1200" s="4"/>
    </row>
    <row r="1201" spans="1:12">
      <c r="A1201" s="4" t="s">
        <v>2657</v>
      </c>
      <c r="B1201" s="4" t="s">
        <v>2658</v>
      </c>
      <c r="C1201" s="4" t="s">
        <v>324</v>
      </c>
      <c r="D1201" s="4" t="s">
        <v>330</v>
      </c>
      <c r="E1201" s="4" t="s">
        <v>587</v>
      </c>
      <c r="F1201" s="13">
        <v>8</v>
      </c>
      <c r="G1201" s="13">
        <v>1</v>
      </c>
      <c r="H1201" s="4"/>
      <c r="I1201" s="4"/>
      <c r="J1201" s="4"/>
      <c r="K1201" s="4" t="s">
        <v>2650</v>
      </c>
      <c r="L1201" s="4" t="s">
        <v>881</v>
      </c>
    </row>
    <row r="1202" spans="1:12">
      <c r="A1202" s="4" t="s">
        <v>2650</v>
      </c>
      <c r="B1202" s="4" t="s">
        <v>2659</v>
      </c>
      <c r="C1202" s="4" t="s">
        <v>324</v>
      </c>
      <c r="D1202" s="4" t="s">
        <v>702</v>
      </c>
      <c r="E1202" s="4" t="s">
        <v>587</v>
      </c>
      <c r="F1202" s="13">
        <v>12</v>
      </c>
      <c r="G1202" s="13">
        <v>1</v>
      </c>
      <c r="H1202" s="4"/>
      <c r="I1202" s="4"/>
      <c r="J1202" s="4"/>
      <c r="K1202" s="4" t="s">
        <v>2510</v>
      </c>
      <c r="L1202" s="4"/>
    </row>
    <row r="1203" spans="1:12">
      <c r="A1203" s="4" t="s">
        <v>2660</v>
      </c>
      <c r="B1203" s="4" t="s">
        <v>2661</v>
      </c>
      <c r="C1203" s="4" t="s">
        <v>324</v>
      </c>
      <c r="D1203" s="4" t="s">
        <v>325</v>
      </c>
      <c r="E1203" s="4" t="s">
        <v>587</v>
      </c>
      <c r="F1203" s="13">
        <v>4</v>
      </c>
      <c r="G1203" s="13">
        <v>2</v>
      </c>
      <c r="H1203" s="4"/>
      <c r="I1203" s="4"/>
      <c r="J1203" s="4"/>
      <c r="K1203" s="4"/>
      <c r="L1203" s="4"/>
    </row>
    <row r="1204" spans="1:12">
      <c r="A1204" s="4" t="s">
        <v>2662</v>
      </c>
      <c r="B1204" s="4" t="s">
        <v>2663</v>
      </c>
      <c r="C1204" s="4" t="s">
        <v>324</v>
      </c>
      <c r="D1204" s="4" t="s">
        <v>330</v>
      </c>
      <c r="E1204" s="4" t="s">
        <v>587</v>
      </c>
      <c r="F1204" s="13">
        <v>8</v>
      </c>
      <c r="G1204" s="13">
        <v>1</v>
      </c>
      <c r="H1204" s="4"/>
      <c r="I1204" s="4"/>
      <c r="J1204" s="4"/>
      <c r="K1204" s="4" t="s">
        <v>2664</v>
      </c>
      <c r="L1204" s="4"/>
    </row>
    <row r="1205" spans="1:12">
      <c r="A1205" s="4" t="s">
        <v>2665</v>
      </c>
      <c r="B1205" s="4" t="s">
        <v>2666</v>
      </c>
      <c r="C1205" s="4" t="s">
        <v>324</v>
      </c>
      <c r="D1205" s="4" t="s">
        <v>330</v>
      </c>
      <c r="E1205" s="4" t="s">
        <v>587</v>
      </c>
      <c r="F1205" s="13">
        <v>8</v>
      </c>
      <c r="G1205" s="13">
        <v>1</v>
      </c>
      <c r="H1205" s="4"/>
      <c r="I1205" s="4"/>
      <c r="J1205" s="4"/>
      <c r="K1205" s="4" t="s">
        <v>2664</v>
      </c>
      <c r="L1205" s="4"/>
    </row>
    <row r="1206" spans="1:12">
      <c r="A1206" s="4" t="s">
        <v>2667</v>
      </c>
      <c r="B1206" s="4" t="s">
        <v>2668</v>
      </c>
      <c r="C1206" s="4" t="s">
        <v>324</v>
      </c>
      <c r="D1206" s="4" t="s">
        <v>330</v>
      </c>
      <c r="E1206" s="4" t="s">
        <v>587</v>
      </c>
      <c r="F1206" s="13">
        <v>8</v>
      </c>
      <c r="G1206" s="13">
        <v>1</v>
      </c>
      <c r="H1206" s="4"/>
      <c r="I1206" s="4"/>
      <c r="J1206" s="4"/>
      <c r="K1206" s="4" t="s">
        <v>2664</v>
      </c>
      <c r="L1206" s="4"/>
    </row>
    <row r="1207" spans="1:12">
      <c r="A1207" s="4" t="s">
        <v>2669</v>
      </c>
      <c r="B1207" s="4" t="s">
        <v>2670</v>
      </c>
      <c r="C1207" s="4" t="s">
        <v>324</v>
      </c>
      <c r="D1207" s="4" t="s">
        <v>330</v>
      </c>
      <c r="E1207" s="4" t="s">
        <v>587</v>
      </c>
      <c r="F1207" s="13">
        <v>8</v>
      </c>
      <c r="G1207" s="13">
        <v>1</v>
      </c>
      <c r="H1207" s="4"/>
      <c r="I1207" s="4"/>
      <c r="J1207" s="4"/>
      <c r="K1207" s="4" t="s">
        <v>2664</v>
      </c>
      <c r="L1207" s="4"/>
    </row>
    <row r="1208" spans="1:12">
      <c r="A1208" s="4" t="s">
        <v>2671</v>
      </c>
      <c r="B1208" s="4" t="s">
        <v>2672</v>
      </c>
      <c r="C1208" s="4" t="s">
        <v>324</v>
      </c>
      <c r="D1208" s="4" t="s">
        <v>330</v>
      </c>
      <c r="E1208" s="4" t="s">
        <v>587</v>
      </c>
      <c r="F1208" s="13">
        <v>8</v>
      </c>
      <c r="G1208" s="13">
        <v>1</v>
      </c>
      <c r="H1208" s="4"/>
      <c r="I1208" s="4"/>
      <c r="J1208" s="4"/>
      <c r="K1208" s="4" t="s">
        <v>2664</v>
      </c>
      <c r="L1208" s="4"/>
    </row>
    <row r="1209" spans="1:12">
      <c r="A1209" s="4" t="s">
        <v>2673</v>
      </c>
      <c r="B1209" s="4" t="s">
        <v>2674</v>
      </c>
      <c r="C1209" s="4" t="s">
        <v>324</v>
      </c>
      <c r="D1209" s="4" t="s">
        <v>330</v>
      </c>
      <c r="E1209" s="4" t="s">
        <v>587</v>
      </c>
      <c r="F1209" s="13">
        <v>8</v>
      </c>
      <c r="G1209" s="13">
        <v>1</v>
      </c>
      <c r="H1209" s="4"/>
      <c r="I1209" s="4"/>
      <c r="J1209" s="4"/>
      <c r="K1209" s="4" t="s">
        <v>2664</v>
      </c>
      <c r="L1209" s="4"/>
    </row>
    <row r="1210" spans="1:12">
      <c r="A1210" s="4" t="s">
        <v>2675</v>
      </c>
      <c r="B1210" s="4" t="s">
        <v>2676</v>
      </c>
      <c r="C1210" s="4" t="s">
        <v>324</v>
      </c>
      <c r="D1210" s="4" t="s">
        <v>330</v>
      </c>
      <c r="E1210" s="4" t="s">
        <v>587</v>
      </c>
      <c r="F1210" s="13">
        <v>8</v>
      </c>
      <c r="G1210" s="13">
        <v>1</v>
      </c>
      <c r="H1210" s="4"/>
      <c r="I1210" s="4"/>
      <c r="J1210" s="4"/>
      <c r="K1210" s="4" t="s">
        <v>2664</v>
      </c>
      <c r="L1210" s="4"/>
    </row>
    <row r="1211" spans="1:12">
      <c r="A1211" s="4" t="s">
        <v>2677</v>
      </c>
      <c r="B1211" s="4" t="s">
        <v>2678</v>
      </c>
      <c r="C1211" s="4" t="s">
        <v>324</v>
      </c>
      <c r="D1211" s="4" t="s">
        <v>330</v>
      </c>
      <c r="E1211" s="4" t="s">
        <v>587</v>
      </c>
      <c r="F1211" s="13">
        <v>8</v>
      </c>
      <c r="G1211" s="13">
        <v>1</v>
      </c>
      <c r="H1211" s="4"/>
      <c r="I1211" s="4"/>
      <c r="J1211" s="4"/>
      <c r="K1211" s="4" t="s">
        <v>2664</v>
      </c>
      <c r="L1211" s="4"/>
    </row>
    <row r="1212" spans="1:12">
      <c r="A1212" s="4" t="s">
        <v>2664</v>
      </c>
      <c r="B1212" s="4" t="s">
        <v>2679</v>
      </c>
      <c r="C1212" s="4" t="s">
        <v>324</v>
      </c>
      <c r="D1212" s="4" t="s">
        <v>702</v>
      </c>
      <c r="E1212" s="4" t="s">
        <v>587</v>
      </c>
      <c r="F1212" s="13">
        <v>12</v>
      </c>
      <c r="G1212" s="13">
        <v>1</v>
      </c>
      <c r="H1212" s="4"/>
      <c r="I1212" s="4"/>
      <c r="J1212" s="4"/>
      <c r="K1212" s="4" t="s">
        <v>2510</v>
      </c>
      <c r="L1212" s="4"/>
    </row>
    <row r="1213" spans="1:12">
      <c r="A1213" s="4" t="s">
        <v>2680</v>
      </c>
      <c r="B1213" s="4" t="s">
        <v>2681</v>
      </c>
      <c r="C1213" s="4" t="s">
        <v>324</v>
      </c>
      <c r="D1213" s="4" t="s">
        <v>325</v>
      </c>
      <c r="E1213" s="4" t="s">
        <v>587</v>
      </c>
      <c r="F1213" s="13">
        <v>4</v>
      </c>
      <c r="G1213" s="13">
        <v>2</v>
      </c>
      <c r="H1213" s="4"/>
      <c r="I1213" s="4"/>
      <c r="J1213" s="4"/>
      <c r="K1213" s="4"/>
      <c r="L1213" s="4"/>
    </row>
    <row r="1214" spans="1:12">
      <c r="A1214" s="4" t="s">
        <v>2682</v>
      </c>
      <c r="B1214" s="4" t="s">
        <v>2683</v>
      </c>
      <c r="C1214" s="4" t="s">
        <v>324</v>
      </c>
      <c r="D1214" s="4" t="s">
        <v>330</v>
      </c>
      <c r="E1214" s="4" t="s">
        <v>587</v>
      </c>
      <c r="F1214" s="13">
        <v>8</v>
      </c>
      <c r="G1214" s="13">
        <v>1</v>
      </c>
      <c r="H1214" s="4"/>
      <c r="I1214" s="4"/>
      <c r="J1214" s="4"/>
      <c r="K1214" s="4" t="s">
        <v>2684</v>
      </c>
      <c r="L1214" s="4"/>
    </row>
    <row r="1215" spans="1:12">
      <c r="A1215" s="4" t="s">
        <v>2685</v>
      </c>
      <c r="B1215" s="4" t="s">
        <v>2686</v>
      </c>
      <c r="C1215" s="4" t="s">
        <v>324</v>
      </c>
      <c r="D1215" s="4" t="s">
        <v>330</v>
      </c>
      <c r="E1215" s="4" t="s">
        <v>587</v>
      </c>
      <c r="F1215" s="13">
        <v>8</v>
      </c>
      <c r="G1215" s="13">
        <v>1</v>
      </c>
      <c r="H1215" s="4"/>
      <c r="I1215" s="4"/>
      <c r="J1215" s="4"/>
      <c r="K1215" s="4" t="s">
        <v>2684</v>
      </c>
      <c r="L1215" s="4"/>
    </row>
    <row r="1216" spans="1:12">
      <c r="A1216" s="4" t="s">
        <v>2687</v>
      </c>
      <c r="B1216" s="4" t="s">
        <v>2688</v>
      </c>
      <c r="C1216" s="4" t="s">
        <v>324</v>
      </c>
      <c r="D1216" s="4" t="s">
        <v>330</v>
      </c>
      <c r="E1216" s="4" t="s">
        <v>587</v>
      </c>
      <c r="F1216" s="13">
        <v>8</v>
      </c>
      <c r="G1216" s="13">
        <v>1</v>
      </c>
      <c r="H1216" s="4"/>
      <c r="I1216" s="4"/>
      <c r="J1216" s="4"/>
      <c r="K1216" s="4" t="s">
        <v>2684</v>
      </c>
      <c r="L1216" s="4"/>
    </row>
    <row r="1217" spans="1:12">
      <c r="A1217" s="4" t="s">
        <v>2689</v>
      </c>
      <c r="B1217" s="4" t="s">
        <v>2690</v>
      </c>
      <c r="C1217" s="4" t="s">
        <v>324</v>
      </c>
      <c r="D1217" s="4" t="s">
        <v>330</v>
      </c>
      <c r="E1217" s="4" t="s">
        <v>587</v>
      </c>
      <c r="F1217" s="13">
        <v>8</v>
      </c>
      <c r="G1217" s="13">
        <v>1</v>
      </c>
      <c r="H1217" s="4"/>
      <c r="I1217" s="4"/>
      <c r="J1217" s="4"/>
      <c r="K1217" s="4" t="s">
        <v>2684</v>
      </c>
      <c r="L1217" s="4"/>
    </row>
    <row r="1218" spans="1:12">
      <c r="A1218" s="4" t="s">
        <v>2691</v>
      </c>
      <c r="B1218" s="4" t="s">
        <v>2692</v>
      </c>
      <c r="C1218" s="4" t="s">
        <v>324</v>
      </c>
      <c r="D1218" s="4" t="s">
        <v>330</v>
      </c>
      <c r="E1218" s="4" t="s">
        <v>587</v>
      </c>
      <c r="F1218" s="13">
        <v>8</v>
      </c>
      <c r="G1218" s="13">
        <v>1</v>
      </c>
      <c r="H1218" s="4"/>
      <c r="I1218" s="4"/>
      <c r="J1218" s="4"/>
      <c r="K1218" s="4" t="s">
        <v>2684</v>
      </c>
      <c r="L1218" s="4"/>
    </row>
    <row r="1219" spans="1:12">
      <c r="A1219" s="4" t="s">
        <v>2693</v>
      </c>
      <c r="B1219" s="4" t="s">
        <v>2694</v>
      </c>
      <c r="C1219" s="4" t="s">
        <v>324</v>
      </c>
      <c r="D1219" s="4" t="s">
        <v>330</v>
      </c>
      <c r="E1219" s="4" t="s">
        <v>587</v>
      </c>
      <c r="F1219" s="13">
        <v>8</v>
      </c>
      <c r="G1219" s="13">
        <v>1</v>
      </c>
      <c r="H1219" s="4"/>
      <c r="I1219" s="4"/>
      <c r="J1219" s="4"/>
      <c r="K1219" s="4" t="s">
        <v>2684</v>
      </c>
      <c r="L1219" s="4"/>
    </row>
    <row r="1220" spans="1:12">
      <c r="A1220" s="4" t="s">
        <v>2695</v>
      </c>
      <c r="B1220" s="4" t="s">
        <v>2696</v>
      </c>
      <c r="C1220" s="4" t="s">
        <v>324</v>
      </c>
      <c r="D1220" s="4" t="s">
        <v>330</v>
      </c>
      <c r="E1220" s="4" t="s">
        <v>587</v>
      </c>
      <c r="F1220" s="13">
        <v>8</v>
      </c>
      <c r="G1220" s="13">
        <v>1</v>
      </c>
      <c r="H1220" s="4"/>
      <c r="I1220" s="4"/>
      <c r="J1220" s="4"/>
      <c r="K1220" s="4" t="s">
        <v>2684</v>
      </c>
      <c r="L1220" s="4"/>
    </row>
    <row r="1221" spans="1:12">
      <c r="A1221" s="4" t="s">
        <v>2697</v>
      </c>
      <c r="B1221" s="4" t="s">
        <v>2698</v>
      </c>
      <c r="C1221" s="4" t="s">
        <v>324</v>
      </c>
      <c r="D1221" s="4" t="s">
        <v>330</v>
      </c>
      <c r="E1221" s="4" t="s">
        <v>587</v>
      </c>
      <c r="F1221" s="13">
        <v>8</v>
      </c>
      <c r="G1221" s="13">
        <v>1</v>
      </c>
      <c r="H1221" s="4"/>
      <c r="I1221" s="4"/>
      <c r="J1221" s="4"/>
      <c r="K1221" s="4" t="s">
        <v>2684</v>
      </c>
      <c r="L1221" s="4"/>
    </row>
    <row r="1222" spans="1:12">
      <c r="A1222" s="4" t="s">
        <v>2699</v>
      </c>
      <c r="B1222" s="4" t="s">
        <v>2700</v>
      </c>
      <c r="C1222" s="4" t="s">
        <v>324</v>
      </c>
      <c r="D1222" s="4" t="s">
        <v>330</v>
      </c>
      <c r="E1222" s="4" t="s">
        <v>587</v>
      </c>
      <c r="F1222" s="13">
        <v>8</v>
      </c>
      <c r="G1222" s="13">
        <v>1</v>
      </c>
      <c r="H1222" s="4"/>
      <c r="I1222" s="4"/>
      <c r="J1222" s="4"/>
      <c r="K1222" s="4" t="s">
        <v>2684</v>
      </c>
      <c r="L1222" s="4"/>
    </row>
    <row r="1223" spans="1:12">
      <c r="A1223" s="4" t="s">
        <v>2701</v>
      </c>
      <c r="B1223" s="4" t="s">
        <v>106</v>
      </c>
      <c r="C1223" s="4" t="s">
        <v>324</v>
      </c>
      <c r="D1223" s="4" t="s">
        <v>330</v>
      </c>
      <c r="E1223" s="4" t="s">
        <v>587</v>
      </c>
      <c r="F1223" s="13">
        <v>8</v>
      </c>
      <c r="G1223" s="13">
        <v>1</v>
      </c>
      <c r="H1223" s="4"/>
      <c r="I1223" s="4"/>
      <c r="J1223" s="4"/>
      <c r="K1223" s="4" t="s">
        <v>2684</v>
      </c>
      <c r="L1223" s="4"/>
    </row>
    <row r="1224" spans="1:12">
      <c r="A1224" s="4" t="s">
        <v>2702</v>
      </c>
      <c r="B1224" s="4" t="s">
        <v>2703</v>
      </c>
      <c r="C1224" s="4" t="s">
        <v>324</v>
      </c>
      <c r="D1224" s="4" t="s">
        <v>330</v>
      </c>
      <c r="E1224" s="4" t="s">
        <v>587</v>
      </c>
      <c r="F1224" s="13">
        <v>8</v>
      </c>
      <c r="G1224" s="13">
        <v>1</v>
      </c>
      <c r="H1224" s="4"/>
      <c r="I1224" s="4"/>
      <c r="J1224" s="4"/>
      <c r="K1224" s="4" t="s">
        <v>2684</v>
      </c>
      <c r="L1224" s="4"/>
    </row>
    <row r="1225" spans="1:12">
      <c r="A1225" s="4" t="s">
        <v>2704</v>
      </c>
      <c r="B1225" s="4" t="s">
        <v>2656</v>
      </c>
      <c r="C1225" s="4" t="s">
        <v>324</v>
      </c>
      <c r="D1225" s="4" t="s">
        <v>330</v>
      </c>
      <c r="E1225" s="4" t="s">
        <v>587</v>
      </c>
      <c r="F1225" s="13">
        <v>8</v>
      </c>
      <c r="G1225" s="13">
        <v>1</v>
      </c>
      <c r="H1225" s="4"/>
      <c r="I1225" s="4"/>
      <c r="J1225" s="4"/>
      <c r="K1225" s="4" t="s">
        <v>2684</v>
      </c>
      <c r="L1225" s="4"/>
    </row>
    <row r="1226" spans="1:12">
      <c r="A1226" s="4" t="s">
        <v>2705</v>
      </c>
      <c r="B1226" s="4" t="s">
        <v>120</v>
      </c>
      <c r="C1226" s="4" t="s">
        <v>324</v>
      </c>
      <c r="D1226" s="4" t="s">
        <v>330</v>
      </c>
      <c r="E1226" s="4" t="s">
        <v>587</v>
      </c>
      <c r="F1226" s="13">
        <v>8</v>
      </c>
      <c r="G1226" s="13">
        <v>1</v>
      </c>
      <c r="H1226" s="4"/>
      <c r="I1226" s="4"/>
      <c r="J1226" s="4"/>
      <c r="K1226" s="4" t="s">
        <v>2684</v>
      </c>
      <c r="L1226" s="4"/>
    </row>
    <row r="1227" spans="1:12">
      <c r="A1227" s="4" t="s">
        <v>2706</v>
      </c>
      <c r="B1227" s="4" t="s">
        <v>2707</v>
      </c>
      <c r="C1227" s="4" t="s">
        <v>324</v>
      </c>
      <c r="D1227" s="4" t="s">
        <v>330</v>
      </c>
      <c r="E1227" s="4" t="s">
        <v>587</v>
      </c>
      <c r="F1227" s="13">
        <v>8</v>
      </c>
      <c r="G1227" s="13">
        <v>1</v>
      </c>
      <c r="H1227" s="4"/>
      <c r="I1227" s="4"/>
      <c r="J1227" s="4"/>
      <c r="K1227" s="4" t="s">
        <v>2684</v>
      </c>
      <c r="L1227" s="4"/>
    </row>
    <row r="1228" spans="1:12">
      <c r="A1228" s="4" t="s">
        <v>2708</v>
      </c>
      <c r="B1228" s="4" t="s">
        <v>2709</v>
      </c>
      <c r="C1228" s="4" t="s">
        <v>324</v>
      </c>
      <c r="D1228" s="4" t="s">
        <v>330</v>
      </c>
      <c r="E1228" s="4" t="s">
        <v>587</v>
      </c>
      <c r="F1228" s="13">
        <v>8</v>
      </c>
      <c r="G1228" s="13">
        <v>1</v>
      </c>
      <c r="H1228" s="4"/>
      <c r="I1228" s="4"/>
      <c r="J1228" s="4"/>
      <c r="K1228" s="4" t="s">
        <v>2684</v>
      </c>
      <c r="L1228" s="4"/>
    </row>
    <row r="1229" spans="1:12">
      <c r="A1229" s="4" t="s">
        <v>2710</v>
      </c>
      <c r="B1229" s="4" t="s">
        <v>2711</v>
      </c>
      <c r="C1229" s="4" t="s">
        <v>324</v>
      </c>
      <c r="D1229" s="4" t="s">
        <v>330</v>
      </c>
      <c r="E1229" s="4" t="s">
        <v>587</v>
      </c>
      <c r="F1229" s="13">
        <v>8</v>
      </c>
      <c r="G1229" s="13">
        <v>1</v>
      </c>
      <c r="H1229" s="4"/>
      <c r="I1229" s="4"/>
      <c r="J1229" s="4"/>
      <c r="K1229" s="4" t="s">
        <v>2684</v>
      </c>
      <c r="L1229" s="4"/>
    </row>
    <row r="1230" spans="1:12">
      <c r="A1230" s="4" t="s">
        <v>2712</v>
      </c>
      <c r="B1230" s="4" t="s">
        <v>2713</v>
      </c>
      <c r="C1230" s="4" t="s">
        <v>324</v>
      </c>
      <c r="D1230" s="4" t="s">
        <v>330</v>
      </c>
      <c r="E1230" s="4" t="s">
        <v>587</v>
      </c>
      <c r="F1230" s="13">
        <v>8</v>
      </c>
      <c r="G1230" s="13">
        <v>1</v>
      </c>
      <c r="H1230" s="4"/>
      <c r="I1230" s="4"/>
      <c r="J1230" s="4"/>
      <c r="K1230" s="4" t="s">
        <v>2684</v>
      </c>
      <c r="L1230" s="4" t="s">
        <v>2714</v>
      </c>
    </row>
    <row r="1231" spans="1:12">
      <c r="A1231" s="4" t="s">
        <v>2715</v>
      </c>
      <c r="B1231" s="4" t="s">
        <v>2716</v>
      </c>
      <c r="C1231" s="4" t="s">
        <v>324</v>
      </c>
      <c r="D1231" s="4" t="s">
        <v>330</v>
      </c>
      <c r="E1231" s="4" t="s">
        <v>587</v>
      </c>
      <c r="F1231" s="13">
        <v>8</v>
      </c>
      <c r="G1231" s="13">
        <v>1</v>
      </c>
      <c r="H1231" s="4"/>
      <c r="I1231" s="4"/>
      <c r="J1231" s="4"/>
      <c r="K1231" s="4" t="s">
        <v>2684</v>
      </c>
      <c r="L1231" s="4" t="s">
        <v>2714</v>
      </c>
    </row>
    <row r="1232" spans="1:12">
      <c r="A1232" s="4" t="s">
        <v>2717</v>
      </c>
      <c r="B1232" s="4" t="s">
        <v>2718</v>
      </c>
      <c r="C1232" s="4" t="s">
        <v>324</v>
      </c>
      <c r="D1232" s="4" t="s">
        <v>330</v>
      </c>
      <c r="E1232" s="4" t="s">
        <v>587</v>
      </c>
      <c r="F1232" s="13">
        <v>8</v>
      </c>
      <c r="G1232" s="13">
        <v>1</v>
      </c>
      <c r="H1232" s="4"/>
      <c r="I1232" s="4"/>
      <c r="J1232" s="4"/>
      <c r="K1232" s="4" t="s">
        <v>2684</v>
      </c>
      <c r="L1232" s="4"/>
    </row>
    <row r="1233" spans="1:12">
      <c r="A1233" s="4" t="s">
        <v>2719</v>
      </c>
      <c r="B1233" s="4" t="s">
        <v>2720</v>
      </c>
      <c r="C1233" s="4" t="s">
        <v>324</v>
      </c>
      <c r="D1233" s="4" t="s">
        <v>330</v>
      </c>
      <c r="E1233" s="4" t="s">
        <v>587</v>
      </c>
      <c r="F1233" s="13">
        <v>8</v>
      </c>
      <c r="G1233" s="13">
        <v>1</v>
      </c>
      <c r="H1233" s="4"/>
      <c r="I1233" s="4"/>
      <c r="J1233" s="4"/>
      <c r="K1233" s="4" t="s">
        <v>2684</v>
      </c>
      <c r="L1233" s="4"/>
    </row>
    <row r="1234" spans="1:12">
      <c r="A1234" s="4" t="s">
        <v>2721</v>
      </c>
      <c r="B1234" s="4" t="s">
        <v>2722</v>
      </c>
      <c r="C1234" s="4" t="s">
        <v>324</v>
      </c>
      <c r="D1234" s="4" t="s">
        <v>330</v>
      </c>
      <c r="E1234" s="4" t="s">
        <v>587</v>
      </c>
      <c r="F1234" s="13">
        <v>8</v>
      </c>
      <c r="G1234" s="13">
        <v>1</v>
      </c>
      <c r="H1234" s="4"/>
      <c r="I1234" s="4"/>
      <c r="J1234" s="4"/>
      <c r="K1234" s="4" t="s">
        <v>2684</v>
      </c>
      <c r="L1234" s="4"/>
    </row>
    <row r="1235" spans="1:12">
      <c r="A1235" s="4" t="s">
        <v>2723</v>
      </c>
      <c r="B1235" s="4" t="s">
        <v>2724</v>
      </c>
      <c r="C1235" s="4" t="s">
        <v>324</v>
      </c>
      <c r="D1235" s="4" t="s">
        <v>330</v>
      </c>
      <c r="E1235" s="4" t="s">
        <v>587</v>
      </c>
      <c r="F1235" s="13">
        <v>8</v>
      </c>
      <c r="G1235" s="13">
        <v>1</v>
      </c>
      <c r="H1235" s="4"/>
      <c r="I1235" s="4"/>
      <c r="J1235" s="4"/>
      <c r="K1235" s="4" t="s">
        <v>2684</v>
      </c>
      <c r="L1235" s="4"/>
    </row>
    <row r="1236" spans="1:12">
      <c r="A1236" s="4" t="s">
        <v>2725</v>
      </c>
      <c r="B1236" s="4" t="s">
        <v>2726</v>
      </c>
      <c r="C1236" s="4" t="s">
        <v>324</v>
      </c>
      <c r="D1236" s="4" t="s">
        <v>330</v>
      </c>
      <c r="E1236" s="4" t="s">
        <v>587</v>
      </c>
      <c r="F1236" s="13">
        <v>8</v>
      </c>
      <c r="G1236" s="13">
        <v>1</v>
      </c>
      <c r="H1236" s="4"/>
      <c r="I1236" s="4"/>
      <c r="J1236" s="4"/>
      <c r="K1236" s="4" t="s">
        <v>2684</v>
      </c>
      <c r="L1236" s="4"/>
    </row>
    <row r="1237" spans="1:12">
      <c r="A1237" s="4" t="s">
        <v>2684</v>
      </c>
      <c r="B1237" s="4" t="s">
        <v>2727</v>
      </c>
      <c r="C1237" s="4" t="s">
        <v>324</v>
      </c>
      <c r="D1237" s="4" t="s">
        <v>702</v>
      </c>
      <c r="E1237" s="4" t="s">
        <v>587</v>
      </c>
      <c r="F1237" s="13">
        <v>12</v>
      </c>
      <c r="G1237" s="13">
        <v>1</v>
      </c>
      <c r="H1237" s="4"/>
      <c r="I1237" s="4"/>
      <c r="J1237" s="4"/>
      <c r="K1237" s="4" t="s">
        <v>2510</v>
      </c>
      <c r="L1237" s="4"/>
    </row>
    <row r="1238" spans="1:12">
      <c r="A1238" s="4" t="s">
        <v>2728</v>
      </c>
      <c r="B1238" s="4" t="s">
        <v>2729</v>
      </c>
      <c r="C1238" s="4" t="s">
        <v>324</v>
      </c>
      <c r="D1238" s="4" t="s">
        <v>325</v>
      </c>
      <c r="E1238" s="4" t="s">
        <v>587</v>
      </c>
      <c r="F1238" s="13">
        <v>4</v>
      </c>
      <c r="G1238" s="13">
        <v>2</v>
      </c>
      <c r="H1238" s="4"/>
      <c r="I1238" s="4"/>
      <c r="J1238" s="4"/>
      <c r="K1238" s="4"/>
      <c r="L1238" s="4"/>
    </row>
    <row r="1239" spans="1:12">
      <c r="A1239" s="4" t="s">
        <v>2730</v>
      </c>
      <c r="B1239" s="4" t="s">
        <v>2731</v>
      </c>
      <c r="C1239" s="4" t="s">
        <v>324</v>
      </c>
      <c r="D1239" s="4" t="s">
        <v>330</v>
      </c>
      <c r="E1239" s="4" t="s">
        <v>587</v>
      </c>
      <c r="F1239" s="13">
        <v>8</v>
      </c>
      <c r="G1239" s="13">
        <v>1</v>
      </c>
      <c r="H1239" s="4"/>
      <c r="I1239" s="4"/>
      <c r="J1239" s="4"/>
      <c r="K1239" s="4" t="s">
        <v>2732</v>
      </c>
      <c r="L1239" s="4"/>
    </row>
    <row r="1240" spans="1:12">
      <c r="A1240" s="4" t="s">
        <v>2733</v>
      </c>
      <c r="B1240" s="4" t="s">
        <v>74</v>
      </c>
      <c r="C1240" s="4" t="s">
        <v>324</v>
      </c>
      <c r="D1240" s="4" t="s">
        <v>330</v>
      </c>
      <c r="E1240" s="4" t="s">
        <v>587</v>
      </c>
      <c r="F1240" s="13">
        <v>8</v>
      </c>
      <c r="G1240" s="13">
        <v>1</v>
      </c>
      <c r="H1240" s="4"/>
      <c r="I1240" s="4"/>
      <c r="J1240" s="4"/>
      <c r="K1240" s="4" t="s">
        <v>2732</v>
      </c>
      <c r="L1240" s="4"/>
    </row>
    <row r="1241" spans="1:12">
      <c r="A1241" s="4" t="s">
        <v>2734</v>
      </c>
      <c r="B1241" s="4" t="s">
        <v>2735</v>
      </c>
      <c r="C1241" s="4" t="s">
        <v>324</v>
      </c>
      <c r="D1241" s="4" t="s">
        <v>330</v>
      </c>
      <c r="E1241" s="4" t="s">
        <v>587</v>
      </c>
      <c r="F1241" s="13">
        <v>8</v>
      </c>
      <c r="G1241" s="13">
        <v>1</v>
      </c>
      <c r="H1241" s="4"/>
      <c r="I1241" s="4"/>
      <c r="J1241" s="4"/>
      <c r="K1241" s="4" t="s">
        <v>2732</v>
      </c>
      <c r="L1241" s="4"/>
    </row>
    <row r="1242" spans="1:12">
      <c r="A1242" s="4" t="s">
        <v>2736</v>
      </c>
      <c r="B1242" s="4" t="s">
        <v>2737</v>
      </c>
      <c r="C1242" s="4" t="s">
        <v>324</v>
      </c>
      <c r="D1242" s="4" t="s">
        <v>330</v>
      </c>
      <c r="E1242" s="4" t="s">
        <v>587</v>
      </c>
      <c r="F1242" s="13">
        <v>8</v>
      </c>
      <c r="G1242" s="13">
        <v>1</v>
      </c>
      <c r="H1242" s="4"/>
      <c r="I1242" s="4"/>
      <c r="J1242" s="4"/>
      <c r="K1242" s="4" t="s">
        <v>2732</v>
      </c>
      <c r="L1242" s="4"/>
    </row>
    <row r="1243" spans="1:12">
      <c r="A1243" s="4" t="s">
        <v>2732</v>
      </c>
      <c r="B1243" s="4" t="s">
        <v>2738</v>
      </c>
      <c r="C1243" s="4" t="s">
        <v>324</v>
      </c>
      <c r="D1243" s="4" t="s">
        <v>702</v>
      </c>
      <c r="E1243" s="4" t="s">
        <v>587</v>
      </c>
      <c r="F1243" s="13">
        <v>12</v>
      </c>
      <c r="G1243" s="13">
        <v>1</v>
      </c>
      <c r="H1243" s="4"/>
      <c r="I1243" s="4"/>
      <c r="J1243" s="4"/>
      <c r="K1243" s="4" t="s">
        <v>2510</v>
      </c>
      <c r="L1243" s="4"/>
    </row>
    <row r="1244" spans="1:12">
      <c r="A1244" s="4" t="s">
        <v>2739</v>
      </c>
      <c r="B1244" s="4" t="s">
        <v>2740</v>
      </c>
      <c r="C1244" s="4" t="s">
        <v>324</v>
      </c>
      <c r="D1244" s="4" t="s">
        <v>325</v>
      </c>
      <c r="E1244" s="4" t="s">
        <v>587</v>
      </c>
      <c r="F1244" s="13">
        <v>8</v>
      </c>
      <c r="G1244" s="13">
        <v>2</v>
      </c>
      <c r="H1244" s="4"/>
      <c r="I1244" s="4"/>
      <c r="J1244" s="4"/>
      <c r="K1244" s="4"/>
      <c r="L1244" s="4"/>
    </row>
    <row r="1245" spans="1:12">
      <c r="A1245" s="4" t="s">
        <v>2741</v>
      </c>
      <c r="B1245" s="4" t="s">
        <v>2742</v>
      </c>
      <c r="C1245" s="4" t="s">
        <v>324</v>
      </c>
      <c r="D1245" s="4" t="s">
        <v>325</v>
      </c>
      <c r="E1245" s="4" t="s">
        <v>587</v>
      </c>
      <c r="F1245" s="13">
        <v>8</v>
      </c>
      <c r="G1245" s="13">
        <v>2</v>
      </c>
      <c r="H1245" s="4"/>
      <c r="I1245" s="4"/>
      <c r="J1245" s="4"/>
      <c r="K1245" s="4"/>
      <c r="L1245" s="4"/>
    </row>
    <row r="1246" spans="1:12">
      <c r="A1246" s="4" t="s">
        <v>2743</v>
      </c>
      <c r="B1246" s="4" t="s">
        <v>2744</v>
      </c>
      <c r="C1246" s="4" t="s">
        <v>324</v>
      </c>
      <c r="D1246" s="4" t="s">
        <v>330</v>
      </c>
      <c r="E1246" s="4" t="s">
        <v>587</v>
      </c>
      <c r="F1246" s="13">
        <v>10</v>
      </c>
      <c r="G1246" s="13">
        <v>1</v>
      </c>
      <c r="H1246" s="4"/>
      <c r="I1246" s="4"/>
      <c r="J1246" s="4"/>
      <c r="K1246" s="4" t="s">
        <v>2745</v>
      </c>
      <c r="L1246" s="4"/>
    </row>
    <row r="1247" spans="1:12">
      <c r="A1247" s="4" t="s">
        <v>2746</v>
      </c>
      <c r="B1247" s="4" t="s">
        <v>2747</v>
      </c>
      <c r="C1247" s="4" t="s">
        <v>324</v>
      </c>
      <c r="D1247" s="4" t="s">
        <v>330</v>
      </c>
      <c r="E1247" s="4" t="s">
        <v>587</v>
      </c>
      <c r="F1247" s="13">
        <v>10</v>
      </c>
      <c r="G1247" s="13">
        <v>1</v>
      </c>
      <c r="H1247" s="4"/>
      <c r="I1247" s="4"/>
      <c r="J1247" s="4"/>
      <c r="K1247" s="4" t="s">
        <v>2745</v>
      </c>
      <c r="L1247" s="4"/>
    </row>
    <row r="1248" spans="1:12">
      <c r="A1248" s="4" t="s">
        <v>2745</v>
      </c>
      <c r="B1248" s="4" t="s">
        <v>2748</v>
      </c>
      <c r="C1248" s="4" t="s">
        <v>324</v>
      </c>
      <c r="D1248" s="4" t="s">
        <v>702</v>
      </c>
      <c r="E1248" s="4" t="s">
        <v>587</v>
      </c>
      <c r="F1248" s="13">
        <v>12</v>
      </c>
      <c r="G1248" s="13">
        <v>1</v>
      </c>
      <c r="H1248" s="4"/>
      <c r="I1248" s="4"/>
      <c r="J1248" s="4"/>
      <c r="K1248" s="4" t="s">
        <v>2749</v>
      </c>
      <c r="L1248" s="4"/>
    </row>
    <row r="1249" spans="1:12">
      <c r="A1249" s="4" t="s">
        <v>2750</v>
      </c>
      <c r="B1249" s="4" t="s">
        <v>2751</v>
      </c>
      <c r="C1249" s="4" t="s">
        <v>324</v>
      </c>
      <c r="D1249" s="4" t="s">
        <v>330</v>
      </c>
      <c r="E1249" s="4" t="s">
        <v>587</v>
      </c>
      <c r="F1249" s="13">
        <v>10</v>
      </c>
      <c r="G1249" s="13">
        <v>1</v>
      </c>
      <c r="H1249" s="4"/>
      <c r="I1249" s="4"/>
      <c r="J1249" s="4"/>
      <c r="K1249" s="4" t="s">
        <v>2749</v>
      </c>
      <c r="L1249" s="4"/>
    </row>
    <row r="1250" spans="1:12">
      <c r="A1250" s="4" t="s">
        <v>2752</v>
      </c>
      <c r="B1250" s="4" t="s">
        <v>2753</v>
      </c>
      <c r="C1250" s="4" t="s">
        <v>324</v>
      </c>
      <c r="D1250" s="4" t="s">
        <v>330</v>
      </c>
      <c r="E1250" s="4" t="s">
        <v>587</v>
      </c>
      <c r="F1250" s="13">
        <v>10</v>
      </c>
      <c r="G1250" s="13">
        <v>1</v>
      </c>
      <c r="H1250" s="4"/>
      <c r="I1250" s="4"/>
      <c r="J1250" s="4"/>
      <c r="K1250" s="4" t="s">
        <v>2749</v>
      </c>
      <c r="L1250" s="4"/>
    </row>
    <row r="1251" spans="1:12">
      <c r="A1251" s="4" t="s">
        <v>2754</v>
      </c>
      <c r="B1251" s="4" t="s">
        <v>2755</v>
      </c>
      <c r="C1251" s="4" t="s">
        <v>324</v>
      </c>
      <c r="D1251" s="4" t="s">
        <v>330</v>
      </c>
      <c r="E1251" s="4" t="s">
        <v>587</v>
      </c>
      <c r="F1251" s="13">
        <v>10</v>
      </c>
      <c r="G1251" s="13">
        <v>1</v>
      </c>
      <c r="H1251" s="4"/>
      <c r="I1251" s="4"/>
      <c r="J1251" s="4"/>
      <c r="K1251" s="4" t="s">
        <v>2749</v>
      </c>
      <c r="L1251" s="4" t="s">
        <v>2756</v>
      </c>
    </row>
    <row r="1252" spans="1:12">
      <c r="A1252" s="4" t="s">
        <v>2757</v>
      </c>
      <c r="B1252" s="4" t="s">
        <v>2758</v>
      </c>
      <c r="C1252" s="4" t="s">
        <v>324</v>
      </c>
      <c r="D1252" s="4" t="s">
        <v>330</v>
      </c>
      <c r="E1252" s="4" t="s">
        <v>587</v>
      </c>
      <c r="F1252" s="13">
        <v>10</v>
      </c>
      <c r="G1252" s="13">
        <v>1</v>
      </c>
      <c r="H1252" s="4"/>
      <c r="I1252" s="4"/>
      <c r="J1252" s="4"/>
      <c r="K1252" s="4" t="s">
        <v>2749</v>
      </c>
      <c r="L1252" s="4"/>
    </row>
    <row r="1253" spans="1:12">
      <c r="A1253" s="4" t="s">
        <v>2759</v>
      </c>
      <c r="B1253" s="4" t="s">
        <v>2760</v>
      </c>
      <c r="C1253" s="4" t="s">
        <v>324</v>
      </c>
      <c r="D1253" s="4" t="s">
        <v>330</v>
      </c>
      <c r="E1253" s="4" t="s">
        <v>587</v>
      </c>
      <c r="F1253" s="13">
        <v>10</v>
      </c>
      <c r="G1253" s="13">
        <v>1</v>
      </c>
      <c r="H1253" s="4"/>
      <c r="I1253" s="4"/>
      <c r="J1253" s="4"/>
      <c r="K1253" s="4" t="s">
        <v>2749</v>
      </c>
      <c r="L1253" s="4"/>
    </row>
    <row r="1254" spans="1:12">
      <c r="A1254" s="4" t="s">
        <v>2761</v>
      </c>
      <c r="B1254" s="4" t="s">
        <v>2762</v>
      </c>
      <c r="C1254" s="4" t="s">
        <v>324</v>
      </c>
      <c r="D1254" s="4" t="s">
        <v>330</v>
      </c>
      <c r="E1254" s="4" t="s">
        <v>587</v>
      </c>
      <c r="F1254" s="13">
        <v>10</v>
      </c>
      <c r="G1254" s="13">
        <v>1</v>
      </c>
      <c r="H1254" s="4"/>
      <c r="I1254" s="4"/>
      <c r="J1254" s="4"/>
      <c r="K1254" s="4" t="s">
        <v>2749</v>
      </c>
      <c r="L1254" s="4"/>
    </row>
    <row r="1255" spans="1:12">
      <c r="A1255" s="4" t="s">
        <v>2763</v>
      </c>
      <c r="B1255" s="4" t="s">
        <v>2764</v>
      </c>
      <c r="C1255" s="4" t="s">
        <v>324</v>
      </c>
      <c r="D1255" s="4" t="s">
        <v>330</v>
      </c>
      <c r="E1255" s="4" t="s">
        <v>587</v>
      </c>
      <c r="F1255" s="13">
        <v>10</v>
      </c>
      <c r="G1255" s="13">
        <v>1</v>
      </c>
      <c r="H1255" s="4"/>
      <c r="I1255" s="4"/>
      <c r="J1255" s="4"/>
      <c r="K1255" s="4" t="s">
        <v>2749</v>
      </c>
      <c r="L1255" s="4"/>
    </row>
    <row r="1256" spans="1:12">
      <c r="A1256" s="4" t="s">
        <v>2765</v>
      </c>
      <c r="B1256" s="4" t="s">
        <v>2766</v>
      </c>
      <c r="C1256" s="4" t="s">
        <v>324</v>
      </c>
      <c r="D1256" s="4" t="s">
        <v>330</v>
      </c>
      <c r="E1256" s="4" t="s">
        <v>587</v>
      </c>
      <c r="F1256" s="13">
        <v>10</v>
      </c>
      <c r="G1256" s="13">
        <v>1</v>
      </c>
      <c r="H1256" s="4"/>
      <c r="I1256" s="4"/>
      <c r="J1256" s="4"/>
      <c r="K1256" s="4" t="s">
        <v>2749</v>
      </c>
      <c r="L1256" s="4"/>
    </row>
    <row r="1257" spans="1:12">
      <c r="A1257" s="4" t="s">
        <v>2767</v>
      </c>
      <c r="B1257" s="4" t="s">
        <v>2768</v>
      </c>
      <c r="C1257" s="4" t="s">
        <v>324</v>
      </c>
      <c r="D1257" s="4" t="s">
        <v>330</v>
      </c>
      <c r="E1257" s="4" t="s">
        <v>587</v>
      </c>
      <c r="F1257" s="13">
        <v>10</v>
      </c>
      <c r="G1257" s="13">
        <v>1</v>
      </c>
      <c r="H1257" s="4"/>
      <c r="I1257" s="4"/>
      <c r="J1257" s="4"/>
      <c r="K1257" s="4" t="s">
        <v>2749</v>
      </c>
      <c r="L1257" s="4"/>
    </row>
    <row r="1258" spans="1:12">
      <c r="A1258" s="4" t="s">
        <v>2749</v>
      </c>
      <c r="B1258" s="4" t="s">
        <v>2769</v>
      </c>
      <c r="C1258" s="4" t="s">
        <v>324</v>
      </c>
      <c r="D1258" s="4" t="s">
        <v>702</v>
      </c>
      <c r="E1258" s="4" t="s">
        <v>587</v>
      </c>
      <c r="F1258" s="13">
        <v>12</v>
      </c>
      <c r="G1258" s="13">
        <v>1</v>
      </c>
      <c r="H1258" s="4"/>
      <c r="I1258" s="4"/>
      <c r="J1258" s="4"/>
      <c r="K1258" s="4" t="s">
        <v>2510</v>
      </c>
      <c r="L1258" s="4"/>
    </row>
    <row r="1259" spans="1:12">
      <c r="A1259" s="4" t="s">
        <v>2510</v>
      </c>
      <c r="B1259" s="4" t="s">
        <v>2770</v>
      </c>
      <c r="C1259" s="4" t="s">
        <v>324</v>
      </c>
      <c r="D1259" s="4" t="s">
        <v>702</v>
      </c>
      <c r="E1259" s="4" t="s">
        <v>587</v>
      </c>
      <c r="F1259" s="13">
        <v>4</v>
      </c>
      <c r="G1259" s="13">
        <v>2</v>
      </c>
      <c r="H1259" s="4"/>
      <c r="I1259" s="4"/>
      <c r="J1259" s="4"/>
      <c r="K1259" s="4" t="s">
        <v>2503</v>
      </c>
      <c r="L1259" s="4"/>
    </row>
    <row r="1260" spans="1:12">
      <c r="A1260" s="4" t="s">
        <v>2503</v>
      </c>
      <c r="B1260" s="4" t="s">
        <v>2771</v>
      </c>
      <c r="C1260" s="4" t="s">
        <v>801</v>
      </c>
      <c r="D1260" s="4" t="s">
        <v>702</v>
      </c>
      <c r="E1260" s="4" t="s">
        <v>587</v>
      </c>
      <c r="F1260" s="13">
        <v>4</v>
      </c>
      <c r="G1260" s="13">
        <v>2</v>
      </c>
      <c r="H1260" s="4"/>
      <c r="I1260" s="4"/>
      <c r="J1260" s="4"/>
      <c r="K1260" s="4" t="s">
        <v>2772</v>
      </c>
      <c r="L1260" s="4"/>
    </row>
    <row r="1261" spans="1:12">
      <c r="A1261" s="4" t="s">
        <v>2773</v>
      </c>
      <c r="B1261" s="4" t="s">
        <v>2774</v>
      </c>
      <c r="C1261" s="4" t="s">
        <v>324</v>
      </c>
      <c r="D1261" s="4" t="s">
        <v>325</v>
      </c>
      <c r="E1261" s="4" t="s">
        <v>587</v>
      </c>
      <c r="F1261" s="13">
        <v>4</v>
      </c>
      <c r="G1261" s="13">
        <v>2</v>
      </c>
      <c r="H1261" s="4"/>
      <c r="I1261" s="4"/>
      <c r="J1261" s="4"/>
      <c r="K1261" s="4"/>
      <c r="L1261" s="4"/>
    </row>
    <row r="1262" spans="1:12">
      <c r="A1262" s="4" t="s">
        <v>2775</v>
      </c>
      <c r="B1262" s="4" t="s">
        <v>2776</v>
      </c>
      <c r="C1262" s="4" t="s">
        <v>324</v>
      </c>
      <c r="D1262" s="4" t="s">
        <v>330</v>
      </c>
      <c r="E1262" s="4" t="s">
        <v>587</v>
      </c>
      <c r="F1262" s="13">
        <v>8</v>
      </c>
      <c r="G1262" s="13">
        <v>1</v>
      </c>
      <c r="H1262" s="4"/>
      <c r="I1262" s="4"/>
      <c r="J1262" s="4"/>
      <c r="K1262" s="4" t="s">
        <v>2777</v>
      </c>
      <c r="L1262" s="4"/>
    </row>
    <row r="1263" spans="1:12">
      <c r="A1263" s="4" t="s">
        <v>2778</v>
      </c>
      <c r="B1263" s="4" t="s">
        <v>2208</v>
      </c>
      <c r="C1263" s="4" t="s">
        <v>324</v>
      </c>
      <c r="D1263" s="4" t="s">
        <v>330</v>
      </c>
      <c r="E1263" s="4" t="s">
        <v>587</v>
      </c>
      <c r="F1263" s="13">
        <v>0</v>
      </c>
      <c r="G1263" s="13">
        <v>1</v>
      </c>
      <c r="H1263" s="4"/>
      <c r="I1263" s="4"/>
      <c r="J1263" s="4"/>
      <c r="K1263" s="4"/>
      <c r="L1263" s="4"/>
    </row>
    <row r="1264" spans="1:12">
      <c r="A1264" s="4" t="s">
        <v>2779</v>
      </c>
      <c r="B1264" s="4" t="s">
        <v>2780</v>
      </c>
      <c r="C1264" s="4" t="s">
        <v>324</v>
      </c>
      <c r="D1264" s="4" t="s">
        <v>330</v>
      </c>
      <c r="E1264" s="4" t="s">
        <v>587</v>
      </c>
      <c r="F1264" s="13">
        <v>8</v>
      </c>
      <c r="G1264" s="13">
        <v>1</v>
      </c>
      <c r="H1264" s="4"/>
      <c r="I1264" s="4"/>
      <c r="J1264" s="4"/>
      <c r="K1264" s="4" t="s">
        <v>2777</v>
      </c>
      <c r="L1264" s="4"/>
    </row>
    <row r="1265" spans="1:12">
      <c r="A1265" s="4" t="s">
        <v>2781</v>
      </c>
      <c r="B1265" s="4" t="s">
        <v>2782</v>
      </c>
      <c r="C1265" s="4" t="s">
        <v>324</v>
      </c>
      <c r="D1265" s="4" t="s">
        <v>330</v>
      </c>
      <c r="E1265" s="4" t="s">
        <v>587</v>
      </c>
      <c r="F1265" s="13">
        <v>8</v>
      </c>
      <c r="G1265" s="13">
        <v>1</v>
      </c>
      <c r="H1265" s="4"/>
      <c r="I1265" s="4"/>
      <c r="J1265" s="4"/>
      <c r="K1265" s="4"/>
      <c r="L1265" s="4"/>
    </row>
    <row r="1266" spans="1:12">
      <c r="A1266" s="4" t="s">
        <v>2783</v>
      </c>
      <c r="B1266" s="4" t="s">
        <v>2784</v>
      </c>
      <c r="C1266" s="4" t="s">
        <v>324</v>
      </c>
      <c r="D1266" s="4" t="s">
        <v>330</v>
      </c>
      <c r="E1266" s="4" t="s">
        <v>587</v>
      </c>
      <c r="F1266" s="13">
        <v>8</v>
      </c>
      <c r="G1266" s="13">
        <v>1</v>
      </c>
      <c r="H1266" s="4"/>
      <c r="I1266" s="4"/>
      <c r="J1266" s="4"/>
      <c r="K1266" s="4"/>
      <c r="L1266" s="4"/>
    </row>
    <row r="1267" spans="1:12">
      <c r="A1267" s="4" t="s">
        <v>2785</v>
      </c>
      <c r="B1267" s="4" t="s">
        <v>2786</v>
      </c>
      <c r="C1267" s="4" t="s">
        <v>324</v>
      </c>
      <c r="D1267" s="4" t="s">
        <v>330</v>
      </c>
      <c r="E1267" s="4" t="s">
        <v>587</v>
      </c>
      <c r="F1267" s="13">
        <v>8</v>
      </c>
      <c r="G1267" s="13">
        <v>1</v>
      </c>
      <c r="H1267" s="4"/>
      <c r="I1267" s="4"/>
      <c r="J1267" s="4"/>
      <c r="K1267" s="4"/>
      <c r="L1267" s="4"/>
    </row>
    <row r="1268" spans="1:12">
      <c r="A1268" s="4" t="s">
        <v>2787</v>
      </c>
      <c r="B1268" s="4" t="s">
        <v>2788</v>
      </c>
      <c r="C1268" s="4" t="s">
        <v>801</v>
      </c>
      <c r="D1268" s="4" t="s">
        <v>330</v>
      </c>
      <c r="E1268" s="4" t="s">
        <v>326</v>
      </c>
      <c r="F1268" s="13">
        <v>1</v>
      </c>
      <c r="G1268" s="13">
        <v>1</v>
      </c>
      <c r="H1268" s="4"/>
      <c r="I1268" s="4"/>
      <c r="J1268" s="4"/>
      <c r="K1268" s="4" t="s">
        <v>254</v>
      </c>
      <c r="L1268" s="4" t="s">
        <v>683</v>
      </c>
    </row>
    <row r="1269" spans="1:12">
      <c r="A1269" s="4" t="s">
        <v>2789</v>
      </c>
      <c r="B1269" s="4" t="s">
        <v>2790</v>
      </c>
      <c r="C1269" s="4" t="s">
        <v>324</v>
      </c>
      <c r="D1269" s="4" t="s">
        <v>330</v>
      </c>
      <c r="E1269" s="4" t="s">
        <v>587</v>
      </c>
      <c r="F1269" s="13">
        <v>8</v>
      </c>
      <c r="G1269" s="13">
        <v>1</v>
      </c>
      <c r="H1269" s="4"/>
      <c r="I1269" s="4"/>
      <c r="J1269" s="4"/>
      <c r="K1269" s="4" t="s">
        <v>2777</v>
      </c>
      <c r="L1269" s="4"/>
    </row>
    <row r="1270" spans="1:12">
      <c r="A1270" s="4" t="s">
        <v>2791</v>
      </c>
      <c r="B1270" s="4" t="s">
        <v>2792</v>
      </c>
      <c r="C1270" s="4" t="s">
        <v>324</v>
      </c>
      <c r="D1270" s="4" t="s">
        <v>330</v>
      </c>
      <c r="E1270" s="4" t="s">
        <v>587</v>
      </c>
      <c r="F1270" s="13">
        <v>8</v>
      </c>
      <c r="G1270" s="13">
        <v>1</v>
      </c>
      <c r="H1270" s="4"/>
      <c r="I1270" s="4"/>
      <c r="J1270" s="4"/>
      <c r="K1270" s="4" t="s">
        <v>2777</v>
      </c>
      <c r="L1270" s="4"/>
    </row>
    <row r="1271" spans="1:12">
      <c r="A1271" s="4" t="s">
        <v>2793</v>
      </c>
      <c r="B1271" s="4" t="s">
        <v>2794</v>
      </c>
      <c r="C1271" s="4" t="s">
        <v>324</v>
      </c>
      <c r="D1271" s="4" t="s">
        <v>330</v>
      </c>
      <c r="E1271" s="4" t="s">
        <v>587</v>
      </c>
      <c r="F1271" s="13">
        <v>8</v>
      </c>
      <c r="G1271" s="13">
        <v>1</v>
      </c>
      <c r="H1271" s="4"/>
      <c r="I1271" s="4"/>
      <c r="J1271" s="4"/>
      <c r="K1271" s="4" t="s">
        <v>2777</v>
      </c>
      <c r="L1271" s="4"/>
    </row>
    <row r="1272" spans="1:12">
      <c r="A1272" s="4" t="s">
        <v>2795</v>
      </c>
      <c r="B1272" s="4" t="s">
        <v>2796</v>
      </c>
      <c r="C1272" s="4" t="s">
        <v>324</v>
      </c>
      <c r="D1272" s="4" t="s">
        <v>330</v>
      </c>
      <c r="E1272" s="4" t="s">
        <v>587</v>
      </c>
      <c r="F1272" s="13">
        <v>8</v>
      </c>
      <c r="G1272" s="13">
        <v>1</v>
      </c>
      <c r="H1272" s="4"/>
      <c r="I1272" s="4"/>
      <c r="J1272" s="4"/>
      <c r="K1272" s="4" t="s">
        <v>2777</v>
      </c>
      <c r="L1272" s="4"/>
    </row>
    <row r="1273" spans="1:12">
      <c r="A1273" s="4" t="s">
        <v>2797</v>
      </c>
      <c r="B1273" s="4" t="s">
        <v>2798</v>
      </c>
      <c r="C1273" s="4" t="s">
        <v>324</v>
      </c>
      <c r="D1273" s="4" t="s">
        <v>330</v>
      </c>
      <c r="E1273" s="4" t="s">
        <v>587</v>
      </c>
      <c r="F1273" s="13">
        <v>8</v>
      </c>
      <c r="G1273" s="13">
        <v>1</v>
      </c>
      <c r="H1273" s="4"/>
      <c r="I1273" s="4"/>
      <c r="J1273" s="4"/>
      <c r="K1273" s="4" t="s">
        <v>2777</v>
      </c>
      <c r="L1273" s="4"/>
    </row>
    <row r="1274" spans="1:12">
      <c r="A1274" s="4" t="s">
        <v>2799</v>
      </c>
      <c r="B1274" s="4" t="s">
        <v>2800</v>
      </c>
      <c r="C1274" s="4" t="s">
        <v>324</v>
      </c>
      <c r="D1274" s="4" t="s">
        <v>330</v>
      </c>
      <c r="E1274" s="4" t="s">
        <v>587</v>
      </c>
      <c r="F1274" s="13">
        <v>8</v>
      </c>
      <c r="G1274" s="13">
        <v>1</v>
      </c>
      <c r="H1274" s="4"/>
      <c r="I1274" s="4"/>
      <c r="J1274" s="4"/>
      <c r="K1274" s="4" t="s">
        <v>2777</v>
      </c>
      <c r="L1274" s="4"/>
    </row>
    <row r="1275" spans="1:12">
      <c r="A1275" s="4" t="s">
        <v>2801</v>
      </c>
      <c r="B1275" s="4" t="s">
        <v>786</v>
      </c>
      <c r="C1275" s="4" t="s">
        <v>324</v>
      </c>
      <c r="D1275" s="4" t="s">
        <v>330</v>
      </c>
      <c r="E1275" s="4" t="s">
        <v>587</v>
      </c>
      <c r="F1275" s="13">
        <v>8</v>
      </c>
      <c r="G1275" s="13">
        <v>1</v>
      </c>
      <c r="H1275" s="4"/>
      <c r="I1275" s="4"/>
      <c r="J1275" s="4"/>
      <c r="K1275" s="4" t="s">
        <v>2777</v>
      </c>
      <c r="L1275" s="4"/>
    </row>
    <row r="1276" spans="1:12">
      <c r="A1276" s="4" t="s">
        <v>2802</v>
      </c>
      <c r="B1276" s="4" t="s">
        <v>2803</v>
      </c>
      <c r="C1276" s="4" t="s">
        <v>324</v>
      </c>
      <c r="D1276" s="4" t="s">
        <v>330</v>
      </c>
      <c r="E1276" s="4" t="s">
        <v>587</v>
      </c>
      <c r="F1276" s="13">
        <v>8</v>
      </c>
      <c r="G1276" s="13">
        <v>1</v>
      </c>
      <c r="H1276" s="4"/>
      <c r="I1276" s="4"/>
      <c r="J1276" s="4"/>
      <c r="K1276" s="4" t="s">
        <v>2777</v>
      </c>
      <c r="L1276" s="4"/>
    </row>
    <row r="1277" spans="1:12">
      <c r="A1277" s="4" t="s">
        <v>2804</v>
      </c>
      <c r="B1277" s="4" t="s">
        <v>2805</v>
      </c>
      <c r="C1277" s="4" t="s">
        <v>324</v>
      </c>
      <c r="D1277" s="4" t="s">
        <v>330</v>
      </c>
      <c r="E1277" s="4" t="s">
        <v>587</v>
      </c>
      <c r="F1277" s="13">
        <v>8</v>
      </c>
      <c r="G1277" s="13">
        <v>1</v>
      </c>
      <c r="H1277" s="4"/>
      <c r="I1277" s="4"/>
      <c r="J1277" s="4"/>
      <c r="K1277" s="4" t="s">
        <v>2777</v>
      </c>
      <c r="L1277" s="4"/>
    </row>
    <row r="1278" spans="1:12">
      <c r="A1278" s="4" t="s">
        <v>2806</v>
      </c>
      <c r="B1278" s="4" t="s">
        <v>2807</v>
      </c>
      <c r="C1278" s="4" t="s">
        <v>324</v>
      </c>
      <c r="D1278" s="4" t="s">
        <v>330</v>
      </c>
      <c r="E1278" s="4" t="s">
        <v>587</v>
      </c>
      <c r="F1278" s="13">
        <v>8</v>
      </c>
      <c r="G1278" s="13">
        <v>1</v>
      </c>
      <c r="H1278" s="4"/>
      <c r="I1278" s="4"/>
      <c r="J1278" s="4"/>
      <c r="K1278" s="4" t="s">
        <v>2777</v>
      </c>
      <c r="L1278" s="4"/>
    </row>
    <row r="1279" spans="1:12">
      <c r="A1279" s="4" t="s">
        <v>2808</v>
      </c>
      <c r="B1279" s="4" t="s">
        <v>2809</v>
      </c>
      <c r="C1279" s="4" t="s">
        <v>324</v>
      </c>
      <c r="D1279" s="4" t="s">
        <v>330</v>
      </c>
      <c r="E1279" s="4" t="s">
        <v>587</v>
      </c>
      <c r="F1279" s="13">
        <v>8</v>
      </c>
      <c r="G1279" s="13">
        <v>1</v>
      </c>
      <c r="H1279" s="4"/>
      <c r="I1279" s="4"/>
      <c r="J1279" s="4"/>
      <c r="K1279" s="4" t="s">
        <v>2777</v>
      </c>
      <c r="L1279" s="4"/>
    </row>
    <row r="1280" spans="1:12">
      <c r="A1280" s="4" t="s">
        <v>2810</v>
      </c>
      <c r="B1280" s="4" t="s">
        <v>2811</v>
      </c>
      <c r="C1280" s="4" t="s">
        <v>324</v>
      </c>
      <c r="D1280" s="4" t="s">
        <v>330</v>
      </c>
      <c r="E1280" s="4" t="s">
        <v>587</v>
      </c>
      <c r="F1280" s="13">
        <v>8</v>
      </c>
      <c r="G1280" s="13">
        <v>1</v>
      </c>
      <c r="H1280" s="4"/>
      <c r="I1280" s="4"/>
      <c r="J1280" s="4"/>
      <c r="K1280" s="4" t="s">
        <v>2777</v>
      </c>
      <c r="L1280" s="4"/>
    </row>
    <row r="1281" spans="1:12">
      <c r="A1281" s="4" t="s">
        <v>2812</v>
      </c>
      <c r="B1281" s="4" t="s">
        <v>2813</v>
      </c>
      <c r="C1281" s="4" t="s">
        <v>324</v>
      </c>
      <c r="D1281" s="4" t="s">
        <v>330</v>
      </c>
      <c r="E1281" s="4" t="s">
        <v>587</v>
      </c>
      <c r="F1281" s="13">
        <v>8</v>
      </c>
      <c r="G1281" s="13">
        <v>1</v>
      </c>
      <c r="H1281" s="4"/>
      <c r="I1281" s="4"/>
      <c r="J1281" s="4"/>
      <c r="K1281" s="4" t="s">
        <v>2777</v>
      </c>
      <c r="L1281" s="4"/>
    </row>
    <row r="1282" spans="1:12">
      <c r="A1282" s="4" t="s">
        <v>2814</v>
      </c>
      <c r="B1282" s="4" t="s">
        <v>2815</v>
      </c>
      <c r="C1282" s="4" t="s">
        <v>324</v>
      </c>
      <c r="D1282" s="4" t="s">
        <v>330</v>
      </c>
      <c r="E1282" s="4" t="s">
        <v>587</v>
      </c>
      <c r="F1282" s="13">
        <v>8</v>
      </c>
      <c r="G1282" s="13">
        <v>1</v>
      </c>
      <c r="H1282" s="4"/>
      <c r="I1282" s="4"/>
      <c r="J1282" s="4"/>
      <c r="K1282" s="4" t="s">
        <v>2777</v>
      </c>
      <c r="L1282" s="4"/>
    </row>
    <row r="1283" spans="1:12">
      <c r="A1283" s="4" t="s">
        <v>2816</v>
      </c>
      <c r="B1283" s="4" t="s">
        <v>2817</v>
      </c>
      <c r="C1283" s="4" t="s">
        <v>324</v>
      </c>
      <c r="D1283" s="4" t="s">
        <v>330</v>
      </c>
      <c r="E1283" s="4" t="s">
        <v>587</v>
      </c>
      <c r="F1283" s="13">
        <v>8</v>
      </c>
      <c r="G1283" s="13">
        <v>1</v>
      </c>
      <c r="H1283" s="4"/>
      <c r="I1283" s="4"/>
      <c r="J1283" s="4"/>
      <c r="K1283" s="4" t="s">
        <v>2777</v>
      </c>
      <c r="L1283" s="4"/>
    </row>
    <row r="1284" spans="1:12">
      <c r="A1284" s="4" t="s">
        <v>2818</v>
      </c>
      <c r="B1284" s="4" t="s">
        <v>2819</v>
      </c>
      <c r="C1284" s="4" t="s">
        <v>324</v>
      </c>
      <c r="D1284" s="4" t="s">
        <v>330</v>
      </c>
      <c r="E1284" s="4" t="s">
        <v>587</v>
      </c>
      <c r="F1284" s="13">
        <v>8</v>
      </c>
      <c r="G1284" s="13">
        <v>1</v>
      </c>
      <c r="H1284" s="4"/>
      <c r="I1284" s="4"/>
      <c r="J1284" s="4"/>
      <c r="K1284" s="4" t="s">
        <v>2777</v>
      </c>
      <c r="L1284" s="4"/>
    </row>
    <row r="1285" spans="1:12">
      <c r="A1285" s="4" t="s">
        <v>2820</v>
      </c>
      <c r="B1285" s="4" t="s">
        <v>2821</v>
      </c>
      <c r="C1285" s="4" t="s">
        <v>324</v>
      </c>
      <c r="D1285" s="4" t="s">
        <v>330</v>
      </c>
      <c r="E1285" s="4" t="s">
        <v>587</v>
      </c>
      <c r="F1285" s="13">
        <v>8</v>
      </c>
      <c r="G1285" s="13">
        <v>1</v>
      </c>
      <c r="H1285" s="4"/>
      <c r="I1285" s="4"/>
      <c r="J1285" s="4"/>
      <c r="K1285" s="4" t="s">
        <v>2777</v>
      </c>
      <c r="L1285" s="4"/>
    </row>
    <row r="1286" spans="1:12">
      <c r="A1286" s="4" t="s">
        <v>2822</v>
      </c>
      <c r="B1286" s="4" t="s">
        <v>2823</v>
      </c>
      <c r="C1286" s="4" t="s">
        <v>324</v>
      </c>
      <c r="D1286" s="4" t="s">
        <v>330</v>
      </c>
      <c r="E1286" s="4" t="s">
        <v>587</v>
      </c>
      <c r="F1286" s="13">
        <v>8</v>
      </c>
      <c r="G1286" s="13">
        <v>1</v>
      </c>
      <c r="H1286" s="4"/>
      <c r="I1286" s="4"/>
      <c r="J1286" s="4"/>
      <c r="K1286" s="4" t="s">
        <v>2777</v>
      </c>
      <c r="L1286" s="4"/>
    </row>
    <row r="1287" spans="1:12">
      <c r="A1287" s="4" t="s">
        <v>2824</v>
      </c>
      <c r="B1287" s="4" t="s">
        <v>2825</v>
      </c>
      <c r="C1287" s="4" t="s">
        <v>324</v>
      </c>
      <c r="D1287" s="4" t="s">
        <v>330</v>
      </c>
      <c r="E1287" s="4" t="s">
        <v>587</v>
      </c>
      <c r="F1287" s="13">
        <v>8</v>
      </c>
      <c r="G1287" s="13">
        <v>1</v>
      </c>
      <c r="H1287" s="4"/>
      <c r="I1287" s="4"/>
      <c r="J1287" s="4"/>
      <c r="K1287" s="4" t="s">
        <v>2777</v>
      </c>
      <c r="L1287" s="4"/>
    </row>
    <row r="1288" spans="1:12">
      <c r="A1288" s="4" t="s">
        <v>2826</v>
      </c>
      <c r="B1288" s="4" t="s">
        <v>2827</v>
      </c>
      <c r="C1288" s="4" t="s">
        <v>324</v>
      </c>
      <c r="D1288" s="4" t="s">
        <v>330</v>
      </c>
      <c r="E1288" s="4" t="s">
        <v>587</v>
      </c>
      <c r="F1288" s="13">
        <v>8</v>
      </c>
      <c r="G1288" s="13">
        <v>1</v>
      </c>
      <c r="H1288" s="4"/>
      <c r="I1288" s="4"/>
      <c r="J1288" s="4"/>
      <c r="K1288" s="4" t="s">
        <v>2777</v>
      </c>
      <c r="L1288" s="4"/>
    </row>
    <row r="1289" spans="1:12">
      <c r="A1289" s="4" t="s">
        <v>2828</v>
      </c>
      <c r="B1289" s="4" t="s">
        <v>2829</v>
      </c>
      <c r="C1289" s="4" t="s">
        <v>324</v>
      </c>
      <c r="D1289" s="4" t="s">
        <v>330</v>
      </c>
      <c r="E1289" s="4" t="s">
        <v>587</v>
      </c>
      <c r="F1289" s="13">
        <v>8</v>
      </c>
      <c r="G1289" s="13">
        <v>1</v>
      </c>
      <c r="H1289" s="4"/>
      <c r="I1289" s="4"/>
      <c r="J1289" s="4"/>
      <c r="K1289" s="4" t="s">
        <v>2777</v>
      </c>
      <c r="L1289" s="4"/>
    </row>
    <row r="1290" spans="1:12">
      <c r="A1290" s="4" t="s">
        <v>2830</v>
      </c>
      <c r="B1290" s="4" t="s">
        <v>2831</v>
      </c>
      <c r="C1290" s="4" t="s">
        <v>324</v>
      </c>
      <c r="D1290" s="4" t="s">
        <v>330</v>
      </c>
      <c r="E1290" s="4" t="s">
        <v>587</v>
      </c>
      <c r="F1290" s="13">
        <v>8</v>
      </c>
      <c r="G1290" s="13">
        <v>1</v>
      </c>
      <c r="H1290" s="4"/>
      <c r="I1290" s="4"/>
      <c r="J1290" s="4"/>
      <c r="K1290" s="4" t="s">
        <v>2777</v>
      </c>
      <c r="L1290" s="4"/>
    </row>
    <row r="1291" spans="1:12">
      <c r="A1291" s="4" t="s">
        <v>2832</v>
      </c>
      <c r="B1291" s="4" t="s">
        <v>2833</v>
      </c>
      <c r="C1291" s="4" t="s">
        <v>324</v>
      </c>
      <c r="D1291" s="4" t="s">
        <v>330</v>
      </c>
      <c r="E1291" s="4" t="s">
        <v>587</v>
      </c>
      <c r="F1291" s="13">
        <v>8</v>
      </c>
      <c r="G1291" s="13">
        <v>1</v>
      </c>
      <c r="H1291" s="4"/>
      <c r="I1291" s="4"/>
      <c r="J1291" s="4"/>
      <c r="K1291" s="4" t="s">
        <v>2777</v>
      </c>
      <c r="L1291" s="4"/>
    </row>
    <row r="1292" spans="1:12">
      <c r="A1292" s="4" t="s">
        <v>2834</v>
      </c>
      <c r="B1292" s="4" t="s">
        <v>2835</v>
      </c>
      <c r="C1292" s="4" t="s">
        <v>324</v>
      </c>
      <c r="D1292" s="4" t="s">
        <v>330</v>
      </c>
      <c r="E1292" s="4" t="s">
        <v>587</v>
      </c>
      <c r="F1292" s="13">
        <v>8</v>
      </c>
      <c r="G1292" s="13">
        <v>1</v>
      </c>
      <c r="H1292" s="4"/>
      <c r="I1292" s="4"/>
      <c r="J1292" s="4"/>
      <c r="K1292" s="4" t="s">
        <v>2777</v>
      </c>
      <c r="L1292" s="4"/>
    </row>
    <row r="1293" spans="1:12">
      <c r="A1293" s="4" t="s">
        <v>2836</v>
      </c>
      <c r="B1293" s="4" t="s">
        <v>2837</v>
      </c>
      <c r="C1293" s="4" t="s">
        <v>324</v>
      </c>
      <c r="D1293" s="4" t="s">
        <v>330</v>
      </c>
      <c r="E1293" s="4" t="s">
        <v>587</v>
      </c>
      <c r="F1293" s="13">
        <v>8</v>
      </c>
      <c r="G1293" s="13">
        <v>1</v>
      </c>
      <c r="H1293" s="4"/>
      <c r="I1293" s="4"/>
      <c r="J1293" s="4"/>
      <c r="K1293" s="4" t="s">
        <v>2777</v>
      </c>
      <c r="L1293" s="4"/>
    </row>
    <row r="1294" spans="1:12">
      <c r="A1294" s="4" t="s">
        <v>2838</v>
      </c>
      <c r="B1294" s="4" t="s">
        <v>2839</v>
      </c>
      <c r="C1294" s="4" t="s">
        <v>324</v>
      </c>
      <c r="D1294" s="4" t="s">
        <v>330</v>
      </c>
      <c r="E1294" s="4" t="s">
        <v>587</v>
      </c>
      <c r="F1294" s="13">
        <v>8</v>
      </c>
      <c r="G1294" s="13">
        <v>1</v>
      </c>
      <c r="H1294" s="4"/>
      <c r="I1294" s="4"/>
      <c r="J1294" s="4"/>
      <c r="K1294" s="4" t="s">
        <v>2777</v>
      </c>
      <c r="L1294" s="4"/>
    </row>
    <row r="1295" spans="1:12">
      <c r="A1295" s="4" t="s">
        <v>2840</v>
      </c>
      <c r="B1295" s="4" t="s">
        <v>2841</v>
      </c>
      <c r="C1295" s="4" t="s">
        <v>324</v>
      </c>
      <c r="D1295" s="4" t="s">
        <v>330</v>
      </c>
      <c r="E1295" s="4" t="s">
        <v>587</v>
      </c>
      <c r="F1295" s="13">
        <v>8</v>
      </c>
      <c r="G1295" s="13">
        <v>1</v>
      </c>
      <c r="H1295" s="4"/>
      <c r="I1295" s="4"/>
      <c r="J1295" s="4"/>
      <c r="K1295" s="4" t="s">
        <v>2777</v>
      </c>
      <c r="L1295" s="4"/>
    </row>
    <row r="1296" spans="1:12">
      <c r="A1296" s="4" t="s">
        <v>2842</v>
      </c>
      <c r="B1296" s="4" t="s">
        <v>2843</v>
      </c>
      <c r="C1296" s="4" t="s">
        <v>324</v>
      </c>
      <c r="D1296" s="4" t="s">
        <v>330</v>
      </c>
      <c r="E1296" s="4" t="s">
        <v>587</v>
      </c>
      <c r="F1296" s="13">
        <v>8</v>
      </c>
      <c r="G1296" s="13">
        <v>1</v>
      </c>
      <c r="H1296" s="4"/>
      <c r="I1296" s="4"/>
      <c r="J1296" s="4"/>
      <c r="K1296" s="4" t="s">
        <v>2777</v>
      </c>
      <c r="L1296" s="4"/>
    </row>
    <row r="1297" spans="1:12">
      <c r="A1297" s="4" t="s">
        <v>2844</v>
      </c>
      <c r="B1297" s="4" t="s">
        <v>2845</v>
      </c>
      <c r="C1297" s="4" t="s">
        <v>324</v>
      </c>
      <c r="D1297" s="4" t="s">
        <v>330</v>
      </c>
      <c r="E1297" s="4" t="s">
        <v>587</v>
      </c>
      <c r="F1297" s="13">
        <v>8</v>
      </c>
      <c r="G1297" s="13">
        <v>1</v>
      </c>
      <c r="H1297" s="4"/>
      <c r="I1297" s="4"/>
      <c r="J1297" s="4"/>
      <c r="K1297" s="4" t="s">
        <v>2777</v>
      </c>
      <c r="L1297" s="4"/>
    </row>
    <row r="1298" spans="1:12">
      <c r="A1298" s="4" t="s">
        <v>2846</v>
      </c>
      <c r="B1298" s="4" t="s">
        <v>104</v>
      </c>
      <c r="C1298" s="4" t="s">
        <v>324</v>
      </c>
      <c r="D1298" s="4" t="s">
        <v>330</v>
      </c>
      <c r="E1298" s="4" t="s">
        <v>587</v>
      </c>
      <c r="F1298" s="13">
        <v>8</v>
      </c>
      <c r="G1298" s="13">
        <v>1</v>
      </c>
      <c r="H1298" s="4"/>
      <c r="I1298" s="4"/>
      <c r="J1298" s="4"/>
      <c r="K1298" s="4" t="s">
        <v>2777</v>
      </c>
      <c r="L1298" s="4"/>
    </row>
    <row r="1299" spans="1:12">
      <c r="A1299" s="4" t="s">
        <v>2847</v>
      </c>
      <c r="B1299" s="4" t="s">
        <v>2848</v>
      </c>
      <c r="C1299" s="4" t="s">
        <v>324</v>
      </c>
      <c r="D1299" s="4" t="s">
        <v>330</v>
      </c>
      <c r="E1299" s="4" t="s">
        <v>587</v>
      </c>
      <c r="F1299" s="13">
        <v>8</v>
      </c>
      <c r="G1299" s="13">
        <v>1</v>
      </c>
      <c r="H1299" s="4"/>
      <c r="I1299" s="4"/>
      <c r="J1299" s="4"/>
      <c r="K1299" s="4" t="s">
        <v>2777</v>
      </c>
      <c r="L1299" s="4"/>
    </row>
    <row r="1300" spans="1:12">
      <c r="A1300" s="4" t="s">
        <v>2849</v>
      </c>
      <c r="B1300" s="4" t="s">
        <v>2850</v>
      </c>
      <c r="C1300" s="4" t="s">
        <v>324</v>
      </c>
      <c r="D1300" s="4" t="s">
        <v>330</v>
      </c>
      <c r="E1300" s="4" t="s">
        <v>587</v>
      </c>
      <c r="F1300" s="13">
        <v>8</v>
      </c>
      <c r="G1300" s="13">
        <v>1</v>
      </c>
      <c r="H1300" s="4"/>
      <c r="I1300" s="4"/>
      <c r="J1300" s="4"/>
      <c r="K1300" s="4" t="s">
        <v>2777</v>
      </c>
      <c r="L1300" s="4"/>
    </row>
    <row r="1301" spans="1:12">
      <c r="A1301" s="4" t="s">
        <v>2851</v>
      </c>
      <c r="B1301" s="4" t="s">
        <v>2852</v>
      </c>
      <c r="C1301" s="4" t="s">
        <v>324</v>
      </c>
      <c r="D1301" s="4" t="s">
        <v>330</v>
      </c>
      <c r="E1301" s="4" t="s">
        <v>587</v>
      </c>
      <c r="F1301" s="13">
        <v>8</v>
      </c>
      <c r="G1301" s="13">
        <v>1</v>
      </c>
      <c r="H1301" s="4"/>
      <c r="I1301" s="4"/>
      <c r="J1301" s="4"/>
      <c r="K1301" s="4" t="s">
        <v>2777</v>
      </c>
      <c r="L1301" s="4"/>
    </row>
    <row r="1302" spans="1:12">
      <c r="A1302" s="4" t="s">
        <v>2853</v>
      </c>
      <c r="B1302" s="4" t="s">
        <v>2854</v>
      </c>
      <c r="C1302" s="4" t="s">
        <v>324</v>
      </c>
      <c r="D1302" s="4" t="s">
        <v>330</v>
      </c>
      <c r="E1302" s="4" t="s">
        <v>587</v>
      </c>
      <c r="F1302" s="13">
        <v>8</v>
      </c>
      <c r="G1302" s="13">
        <v>1</v>
      </c>
      <c r="H1302" s="4"/>
      <c r="I1302" s="4"/>
      <c r="J1302" s="4"/>
      <c r="K1302" s="4" t="s">
        <v>2777</v>
      </c>
      <c r="L1302" s="4"/>
    </row>
    <row r="1303" spans="1:12">
      <c r="A1303" s="4" t="s">
        <v>2855</v>
      </c>
      <c r="B1303" s="4" t="s">
        <v>2856</v>
      </c>
      <c r="C1303" s="4" t="s">
        <v>324</v>
      </c>
      <c r="D1303" s="4" t="s">
        <v>330</v>
      </c>
      <c r="E1303" s="4" t="s">
        <v>587</v>
      </c>
      <c r="F1303" s="13">
        <v>8</v>
      </c>
      <c r="G1303" s="13">
        <v>1</v>
      </c>
      <c r="H1303" s="4"/>
      <c r="I1303" s="4"/>
      <c r="J1303" s="4"/>
      <c r="K1303" s="4" t="s">
        <v>2777</v>
      </c>
      <c r="L1303" s="4"/>
    </row>
    <row r="1304" spans="1:12">
      <c r="A1304" s="4" t="s">
        <v>2857</v>
      </c>
      <c r="B1304" s="4" t="s">
        <v>2858</v>
      </c>
      <c r="C1304" s="4" t="s">
        <v>324</v>
      </c>
      <c r="D1304" s="4" t="s">
        <v>330</v>
      </c>
      <c r="E1304" s="4" t="s">
        <v>587</v>
      </c>
      <c r="F1304" s="13">
        <v>8</v>
      </c>
      <c r="G1304" s="13">
        <v>1</v>
      </c>
      <c r="H1304" s="4"/>
      <c r="I1304" s="4"/>
      <c r="J1304" s="4"/>
      <c r="K1304" s="4" t="s">
        <v>2777</v>
      </c>
      <c r="L1304" s="4"/>
    </row>
    <row r="1305" spans="1:12">
      <c r="A1305" s="4" t="s">
        <v>2859</v>
      </c>
      <c r="B1305" s="4" t="s">
        <v>792</v>
      </c>
      <c r="C1305" s="4" t="s">
        <v>324</v>
      </c>
      <c r="D1305" s="4" t="s">
        <v>330</v>
      </c>
      <c r="E1305" s="4" t="s">
        <v>587</v>
      </c>
      <c r="F1305" s="13">
        <v>8</v>
      </c>
      <c r="G1305" s="13">
        <v>1</v>
      </c>
      <c r="H1305" s="4"/>
      <c r="I1305" s="4"/>
      <c r="J1305" s="4"/>
      <c r="K1305" s="4" t="s">
        <v>2777</v>
      </c>
      <c r="L1305" s="4"/>
    </row>
    <row r="1306" spans="1:12">
      <c r="A1306" s="4" t="s">
        <v>2860</v>
      </c>
      <c r="B1306" s="4" t="s">
        <v>2861</v>
      </c>
      <c r="C1306" s="4" t="s">
        <v>324</v>
      </c>
      <c r="D1306" s="4" t="s">
        <v>330</v>
      </c>
      <c r="E1306" s="4" t="s">
        <v>587</v>
      </c>
      <c r="F1306" s="13">
        <v>8</v>
      </c>
      <c r="G1306" s="13">
        <v>1</v>
      </c>
      <c r="H1306" s="4"/>
      <c r="I1306" s="4"/>
      <c r="J1306" s="4"/>
      <c r="K1306" s="4" t="s">
        <v>2777</v>
      </c>
      <c r="L1306" s="4"/>
    </row>
    <row r="1307" spans="1:12">
      <c r="A1307" s="4" t="s">
        <v>2862</v>
      </c>
      <c r="B1307" s="4" t="s">
        <v>2863</v>
      </c>
      <c r="C1307" s="4" t="s">
        <v>324</v>
      </c>
      <c r="D1307" s="4" t="s">
        <v>330</v>
      </c>
      <c r="E1307" s="4" t="s">
        <v>587</v>
      </c>
      <c r="F1307" s="13">
        <v>8</v>
      </c>
      <c r="G1307" s="13">
        <v>1</v>
      </c>
      <c r="H1307" s="4"/>
      <c r="I1307" s="4"/>
      <c r="J1307" s="4"/>
      <c r="K1307" s="4" t="s">
        <v>2777</v>
      </c>
      <c r="L1307" s="4"/>
    </row>
    <row r="1308" spans="1:12">
      <c r="A1308" s="4" t="s">
        <v>2864</v>
      </c>
      <c r="B1308" s="4" t="s">
        <v>2865</v>
      </c>
      <c r="C1308" s="4" t="s">
        <v>801</v>
      </c>
      <c r="D1308" s="4" t="s">
        <v>330</v>
      </c>
      <c r="E1308" s="4" t="s">
        <v>587</v>
      </c>
      <c r="F1308" s="13">
        <v>8</v>
      </c>
      <c r="G1308" s="13">
        <v>1</v>
      </c>
      <c r="H1308" s="4"/>
      <c r="I1308" s="4"/>
      <c r="J1308" s="4"/>
      <c r="K1308" s="4" t="s">
        <v>2777</v>
      </c>
      <c r="L1308" s="4"/>
    </row>
    <row r="1309" spans="1:12">
      <c r="A1309" s="4" t="s">
        <v>2866</v>
      </c>
      <c r="B1309" s="4" t="s">
        <v>2867</v>
      </c>
      <c r="C1309" s="4" t="s">
        <v>324</v>
      </c>
      <c r="D1309" s="4" t="s">
        <v>330</v>
      </c>
      <c r="E1309" s="4" t="s">
        <v>587</v>
      </c>
      <c r="F1309" s="13">
        <v>8</v>
      </c>
      <c r="G1309" s="13">
        <v>1</v>
      </c>
      <c r="H1309" s="4"/>
      <c r="I1309" s="4"/>
      <c r="J1309" s="4"/>
      <c r="K1309" s="4" t="s">
        <v>2777</v>
      </c>
      <c r="L1309" s="4" t="s">
        <v>683</v>
      </c>
    </row>
    <row r="1310" spans="1:12">
      <c r="A1310" s="4" t="s">
        <v>2777</v>
      </c>
      <c r="B1310" s="4" t="s">
        <v>2868</v>
      </c>
      <c r="C1310" s="4" t="s">
        <v>324</v>
      </c>
      <c r="D1310" s="4" t="s">
        <v>702</v>
      </c>
      <c r="E1310" s="4" t="s">
        <v>587</v>
      </c>
      <c r="F1310" s="13">
        <v>12</v>
      </c>
      <c r="G1310" s="13">
        <v>1</v>
      </c>
      <c r="H1310" s="4"/>
      <c r="I1310" s="4"/>
      <c r="J1310" s="4"/>
      <c r="K1310" s="4" t="s">
        <v>2869</v>
      </c>
      <c r="L1310" s="4"/>
    </row>
    <row r="1311" spans="1:12">
      <c r="A1311" s="4" t="s">
        <v>2870</v>
      </c>
      <c r="B1311" s="4" t="s">
        <v>2871</v>
      </c>
      <c r="C1311" s="4" t="s">
        <v>324</v>
      </c>
      <c r="D1311" s="4" t="s">
        <v>325</v>
      </c>
      <c r="E1311" s="4" t="s">
        <v>587</v>
      </c>
      <c r="F1311" s="13">
        <v>4</v>
      </c>
      <c r="G1311" s="13">
        <v>2</v>
      </c>
      <c r="H1311" s="4"/>
      <c r="I1311" s="4"/>
      <c r="J1311" s="4"/>
      <c r="K1311" s="4"/>
      <c r="L1311" s="4"/>
    </row>
    <row r="1312" spans="1:12">
      <c r="A1312" s="4" t="s">
        <v>2872</v>
      </c>
      <c r="B1312" s="4" t="s">
        <v>2873</v>
      </c>
      <c r="C1312" s="4" t="s">
        <v>324</v>
      </c>
      <c r="D1312" s="4" t="s">
        <v>330</v>
      </c>
      <c r="E1312" s="4" t="s">
        <v>587</v>
      </c>
      <c r="F1312" s="13">
        <v>8</v>
      </c>
      <c r="G1312" s="13">
        <v>1</v>
      </c>
      <c r="H1312" s="4"/>
      <c r="I1312" s="4"/>
      <c r="J1312" s="4"/>
      <c r="K1312" s="4" t="s">
        <v>2874</v>
      </c>
      <c r="L1312" s="4"/>
    </row>
    <row r="1313" spans="1:12">
      <c r="A1313" s="4" t="s">
        <v>2875</v>
      </c>
      <c r="B1313" s="4" t="s">
        <v>2876</v>
      </c>
      <c r="C1313" s="4" t="s">
        <v>324</v>
      </c>
      <c r="D1313" s="4" t="s">
        <v>330</v>
      </c>
      <c r="E1313" s="4" t="s">
        <v>587</v>
      </c>
      <c r="F1313" s="13">
        <v>8</v>
      </c>
      <c r="G1313" s="13">
        <v>1</v>
      </c>
      <c r="H1313" s="4"/>
      <c r="I1313" s="4"/>
      <c r="J1313" s="4"/>
      <c r="K1313" s="4" t="s">
        <v>2874</v>
      </c>
      <c r="L1313" s="4"/>
    </row>
    <row r="1314" spans="1:12">
      <c r="A1314" s="4" t="s">
        <v>2877</v>
      </c>
      <c r="B1314" s="4" t="s">
        <v>2878</v>
      </c>
      <c r="C1314" s="4" t="s">
        <v>324</v>
      </c>
      <c r="D1314" s="4" t="s">
        <v>330</v>
      </c>
      <c r="E1314" s="4" t="s">
        <v>587</v>
      </c>
      <c r="F1314" s="13">
        <v>8</v>
      </c>
      <c r="G1314" s="13">
        <v>1</v>
      </c>
      <c r="H1314" s="4"/>
      <c r="I1314" s="4"/>
      <c r="J1314" s="4"/>
      <c r="K1314" s="4" t="s">
        <v>2874</v>
      </c>
      <c r="L1314" s="4"/>
    </row>
    <row r="1315" spans="1:12">
      <c r="A1315" s="4" t="s">
        <v>2879</v>
      </c>
      <c r="B1315" s="4" t="s">
        <v>2880</v>
      </c>
      <c r="C1315" s="4" t="s">
        <v>324</v>
      </c>
      <c r="D1315" s="4" t="s">
        <v>330</v>
      </c>
      <c r="E1315" s="4" t="s">
        <v>587</v>
      </c>
      <c r="F1315" s="13">
        <v>8</v>
      </c>
      <c r="G1315" s="13">
        <v>1</v>
      </c>
      <c r="H1315" s="4"/>
      <c r="I1315" s="4"/>
      <c r="J1315" s="4"/>
      <c r="K1315" s="4" t="s">
        <v>2874</v>
      </c>
      <c r="L1315" s="4"/>
    </row>
    <row r="1316" spans="1:12">
      <c r="A1316" s="4" t="s">
        <v>2874</v>
      </c>
      <c r="B1316" s="4" t="s">
        <v>2881</v>
      </c>
      <c r="C1316" s="4" t="s">
        <v>324</v>
      </c>
      <c r="D1316" s="4" t="s">
        <v>702</v>
      </c>
      <c r="E1316" s="4" t="s">
        <v>587</v>
      </c>
      <c r="F1316" s="13">
        <v>12</v>
      </c>
      <c r="G1316" s="13">
        <v>1</v>
      </c>
      <c r="H1316" s="4"/>
      <c r="I1316" s="4"/>
      <c r="J1316" s="4"/>
      <c r="K1316" s="4" t="s">
        <v>2869</v>
      </c>
      <c r="L1316" s="4"/>
    </row>
    <row r="1317" spans="1:12">
      <c r="A1317" s="4" t="s">
        <v>2882</v>
      </c>
      <c r="B1317" s="4" t="s">
        <v>2883</v>
      </c>
      <c r="C1317" s="4" t="s">
        <v>324</v>
      </c>
      <c r="D1317" s="4" t="s">
        <v>330</v>
      </c>
      <c r="E1317" s="4" t="s">
        <v>587</v>
      </c>
      <c r="F1317" s="13">
        <v>8</v>
      </c>
      <c r="G1317" s="13">
        <v>2</v>
      </c>
      <c r="H1317" s="4"/>
      <c r="I1317" s="4"/>
      <c r="J1317" s="4"/>
      <c r="K1317" s="4" t="s">
        <v>2869</v>
      </c>
      <c r="L1317" s="4"/>
    </row>
    <row r="1318" spans="1:12">
      <c r="A1318" s="4" t="s">
        <v>2884</v>
      </c>
      <c r="B1318" s="4" t="s">
        <v>2885</v>
      </c>
      <c r="C1318" s="4" t="s">
        <v>324</v>
      </c>
      <c r="D1318" s="4" t="s">
        <v>330</v>
      </c>
      <c r="E1318" s="4" t="s">
        <v>587</v>
      </c>
      <c r="F1318" s="13">
        <v>8</v>
      </c>
      <c r="G1318" s="13">
        <v>2</v>
      </c>
      <c r="H1318" s="4"/>
      <c r="I1318" s="4"/>
      <c r="J1318" s="4"/>
      <c r="K1318" s="4" t="s">
        <v>2869</v>
      </c>
      <c r="L1318" s="4"/>
    </row>
    <row r="1319" spans="1:12">
      <c r="A1319" s="4" t="s">
        <v>2886</v>
      </c>
      <c r="B1319" s="4" t="s">
        <v>2887</v>
      </c>
      <c r="C1319" s="4" t="s">
        <v>324</v>
      </c>
      <c r="D1319" s="4" t="s">
        <v>330</v>
      </c>
      <c r="E1319" s="4" t="s">
        <v>587</v>
      </c>
      <c r="F1319" s="13">
        <v>8</v>
      </c>
      <c r="G1319" s="13">
        <v>2</v>
      </c>
      <c r="H1319" s="4"/>
      <c r="I1319" s="4"/>
      <c r="J1319" s="4"/>
      <c r="K1319" s="4" t="s">
        <v>2869</v>
      </c>
      <c r="L1319" s="4"/>
    </row>
    <row r="1320" spans="1:12">
      <c r="A1320" s="4" t="s">
        <v>2888</v>
      </c>
      <c r="B1320" s="4" t="s">
        <v>2889</v>
      </c>
      <c r="C1320" s="4" t="s">
        <v>324</v>
      </c>
      <c r="D1320" s="4" t="s">
        <v>330</v>
      </c>
      <c r="E1320" s="4" t="s">
        <v>587</v>
      </c>
      <c r="F1320" s="13">
        <v>8</v>
      </c>
      <c r="G1320" s="13">
        <v>2</v>
      </c>
      <c r="H1320" s="4"/>
      <c r="I1320" s="4"/>
      <c r="J1320" s="4"/>
      <c r="K1320" s="4" t="s">
        <v>2869</v>
      </c>
      <c r="L1320" s="4"/>
    </row>
    <row r="1321" spans="1:12">
      <c r="A1321" s="4" t="s">
        <v>2890</v>
      </c>
      <c r="B1321" s="4" t="s">
        <v>2891</v>
      </c>
      <c r="C1321" s="4" t="s">
        <v>324</v>
      </c>
      <c r="D1321" s="4" t="s">
        <v>330</v>
      </c>
      <c r="E1321" s="4" t="s">
        <v>587</v>
      </c>
      <c r="F1321" s="13">
        <v>8</v>
      </c>
      <c r="G1321" s="13">
        <v>2</v>
      </c>
      <c r="H1321" s="4"/>
      <c r="I1321" s="4"/>
      <c r="J1321" s="4"/>
      <c r="K1321" s="4" t="s">
        <v>2869</v>
      </c>
      <c r="L1321" s="4"/>
    </row>
    <row r="1322" spans="1:12">
      <c r="A1322" s="4" t="s">
        <v>2892</v>
      </c>
      <c r="B1322" s="4" t="s">
        <v>2893</v>
      </c>
      <c r="C1322" s="4" t="s">
        <v>324</v>
      </c>
      <c r="D1322" s="4" t="s">
        <v>330</v>
      </c>
      <c r="E1322" s="4" t="s">
        <v>587</v>
      </c>
      <c r="F1322" s="13">
        <v>8</v>
      </c>
      <c r="G1322" s="13">
        <v>2</v>
      </c>
      <c r="H1322" s="4"/>
      <c r="I1322" s="4"/>
      <c r="J1322" s="4"/>
      <c r="K1322" s="4" t="s">
        <v>2869</v>
      </c>
      <c r="L1322" s="4" t="s">
        <v>683</v>
      </c>
    </row>
    <row r="1323" spans="1:12">
      <c r="A1323" s="4" t="s">
        <v>2894</v>
      </c>
      <c r="B1323" s="4" t="s">
        <v>2895</v>
      </c>
      <c r="C1323" s="4" t="s">
        <v>324</v>
      </c>
      <c r="D1323" s="4" t="s">
        <v>330</v>
      </c>
      <c r="E1323" s="4" t="s">
        <v>587</v>
      </c>
      <c r="F1323" s="13">
        <v>8</v>
      </c>
      <c r="G1323" s="13">
        <v>1</v>
      </c>
      <c r="H1323" s="4"/>
      <c r="I1323" s="4"/>
      <c r="J1323" s="4"/>
      <c r="K1323" s="4" t="s">
        <v>2869</v>
      </c>
      <c r="L1323" s="4"/>
    </row>
    <row r="1324" spans="1:12">
      <c r="A1324" s="4" t="s">
        <v>2869</v>
      </c>
      <c r="B1324" s="4" t="s">
        <v>2896</v>
      </c>
      <c r="C1324" s="4" t="s">
        <v>324</v>
      </c>
      <c r="D1324" s="4" t="s">
        <v>702</v>
      </c>
      <c r="E1324" s="4" t="s">
        <v>587</v>
      </c>
      <c r="F1324" s="13">
        <v>16</v>
      </c>
      <c r="G1324" s="13">
        <v>2</v>
      </c>
      <c r="H1324" s="4"/>
      <c r="I1324" s="4"/>
      <c r="J1324" s="4"/>
      <c r="K1324" s="4" t="s">
        <v>2772</v>
      </c>
      <c r="L1324" s="4"/>
    </row>
    <row r="1325" spans="1:12">
      <c r="A1325" s="4" t="s">
        <v>2897</v>
      </c>
      <c r="B1325" s="4" t="s">
        <v>2898</v>
      </c>
      <c r="C1325" s="4" t="s">
        <v>801</v>
      </c>
      <c r="D1325" s="4" t="s">
        <v>325</v>
      </c>
      <c r="E1325" s="4" t="s">
        <v>587</v>
      </c>
      <c r="F1325" s="13">
        <v>4</v>
      </c>
      <c r="G1325" s="13">
        <v>2</v>
      </c>
      <c r="H1325" s="4"/>
      <c r="I1325" s="4"/>
      <c r="J1325" s="4"/>
      <c r="K1325" s="4"/>
      <c r="L1325" s="4"/>
    </row>
    <row r="1326" spans="1:12">
      <c r="A1326" s="4" t="s">
        <v>2899</v>
      </c>
      <c r="B1326" s="4" t="s">
        <v>2900</v>
      </c>
      <c r="C1326" s="4" t="s">
        <v>801</v>
      </c>
      <c r="D1326" s="4" t="s">
        <v>330</v>
      </c>
      <c r="E1326" s="4" t="s">
        <v>587</v>
      </c>
      <c r="F1326" s="13">
        <v>8</v>
      </c>
      <c r="G1326" s="13">
        <v>1</v>
      </c>
      <c r="H1326" s="4"/>
      <c r="I1326" s="4"/>
      <c r="J1326" s="4"/>
      <c r="K1326" s="4" t="s">
        <v>2901</v>
      </c>
      <c r="L1326" s="4"/>
    </row>
    <row r="1327" spans="1:12">
      <c r="A1327" s="4" t="s">
        <v>2902</v>
      </c>
      <c r="B1327" s="4" t="s">
        <v>2476</v>
      </c>
      <c r="C1327" s="4" t="s">
        <v>801</v>
      </c>
      <c r="D1327" s="4" t="s">
        <v>330</v>
      </c>
      <c r="E1327" s="4" t="s">
        <v>587</v>
      </c>
      <c r="F1327" s="13">
        <v>8</v>
      </c>
      <c r="G1327" s="13">
        <v>1</v>
      </c>
      <c r="H1327" s="4"/>
      <c r="I1327" s="4"/>
      <c r="J1327" s="4"/>
      <c r="K1327" s="4" t="s">
        <v>2901</v>
      </c>
      <c r="L1327" s="4"/>
    </row>
    <row r="1328" spans="1:12">
      <c r="A1328" s="4" t="s">
        <v>2903</v>
      </c>
      <c r="B1328" s="4" t="s">
        <v>2904</v>
      </c>
      <c r="C1328" s="4" t="s">
        <v>801</v>
      </c>
      <c r="D1328" s="4" t="s">
        <v>330</v>
      </c>
      <c r="E1328" s="4" t="s">
        <v>587</v>
      </c>
      <c r="F1328" s="13">
        <v>8</v>
      </c>
      <c r="G1328" s="13">
        <v>1</v>
      </c>
      <c r="H1328" s="4"/>
      <c r="I1328" s="4"/>
      <c r="J1328" s="4"/>
      <c r="K1328" s="4" t="s">
        <v>2901</v>
      </c>
      <c r="L1328" s="4"/>
    </row>
    <row r="1329" spans="1:12">
      <c r="A1329" s="4" t="s">
        <v>2905</v>
      </c>
      <c r="B1329" s="4" t="s">
        <v>2906</v>
      </c>
      <c r="C1329" s="4" t="s">
        <v>801</v>
      </c>
      <c r="D1329" s="4" t="s">
        <v>330</v>
      </c>
      <c r="E1329" s="4" t="s">
        <v>587</v>
      </c>
      <c r="F1329" s="13">
        <v>8</v>
      </c>
      <c r="G1329" s="13">
        <v>1</v>
      </c>
      <c r="H1329" s="4"/>
      <c r="I1329" s="4"/>
      <c r="J1329" s="4"/>
      <c r="K1329" s="4" t="s">
        <v>2901</v>
      </c>
      <c r="L1329" s="4"/>
    </row>
    <row r="1330" spans="1:12">
      <c r="A1330" s="4" t="s">
        <v>2907</v>
      </c>
      <c r="B1330" s="4" t="s">
        <v>2908</v>
      </c>
      <c r="C1330" s="4" t="s">
        <v>801</v>
      </c>
      <c r="D1330" s="4" t="s">
        <v>330</v>
      </c>
      <c r="E1330" s="4" t="s">
        <v>587</v>
      </c>
      <c r="F1330" s="13">
        <v>8</v>
      </c>
      <c r="G1330" s="13">
        <v>1</v>
      </c>
      <c r="H1330" s="4"/>
      <c r="I1330" s="4"/>
      <c r="J1330" s="4"/>
      <c r="K1330" s="4" t="s">
        <v>2901</v>
      </c>
      <c r="L1330" s="4"/>
    </row>
    <row r="1331" spans="1:12">
      <c r="A1331" s="4" t="s">
        <v>2901</v>
      </c>
      <c r="B1331" s="4" t="s">
        <v>2909</v>
      </c>
      <c r="C1331" s="4" t="s">
        <v>801</v>
      </c>
      <c r="D1331" s="4" t="s">
        <v>702</v>
      </c>
      <c r="E1331" s="4" t="s">
        <v>587</v>
      </c>
      <c r="F1331" s="13">
        <v>12</v>
      </c>
      <c r="G1331" s="13">
        <v>1</v>
      </c>
      <c r="H1331" s="4"/>
      <c r="I1331" s="4"/>
      <c r="J1331" s="4"/>
      <c r="K1331" s="4" t="s">
        <v>2772</v>
      </c>
      <c r="L1331" s="4"/>
    </row>
    <row r="1332" spans="1:12">
      <c r="A1332" s="4" t="s">
        <v>2772</v>
      </c>
      <c r="B1332" s="4" t="s">
        <v>2910</v>
      </c>
      <c r="C1332" s="4" t="s">
        <v>801</v>
      </c>
      <c r="D1332" s="4" t="s">
        <v>702</v>
      </c>
      <c r="E1332" s="4" t="s">
        <v>587</v>
      </c>
      <c r="F1332" s="13">
        <v>4</v>
      </c>
      <c r="G1332" s="13">
        <v>2</v>
      </c>
      <c r="H1332" s="4"/>
      <c r="I1332" s="4"/>
      <c r="J1332" s="4"/>
      <c r="K1332" s="4"/>
      <c r="L1332" s="4"/>
    </row>
    <row r="1333" spans="1:12">
      <c r="A1333" s="14" t="s">
        <v>1009</v>
      </c>
      <c r="B1333" s="14" t="s">
        <v>2911</v>
      </c>
      <c r="C1333" s="14" t="s">
        <v>324</v>
      </c>
      <c r="D1333" s="14" t="s">
        <v>702</v>
      </c>
      <c r="E1333" s="14" t="s">
        <v>326</v>
      </c>
      <c r="F1333" s="15">
        <v>4</v>
      </c>
      <c r="G1333" s="15">
        <v>3</v>
      </c>
      <c r="H1333" s="14"/>
      <c r="I1333" s="14"/>
      <c r="J1333" s="14"/>
      <c r="K1333" s="14"/>
      <c r="L1333" s="14"/>
    </row>
    <row r="1334" spans="1:12">
      <c r="A1334" s="16"/>
      <c r="B1334" s="16"/>
      <c r="C1334" s="16"/>
      <c r="D1334" s="16"/>
      <c r="E1334" s="16"/>
      <c r="F1334" s="17"/>
      <c r="G1334" s="17"/>
      <c r="H1334" s="16"/>
      <c r="I1334" s="16"/>
      <c r="J1334" s="16"/>
      <c r="K1334" s="16"/>
      <c r="L1334" s="16"/>
    </row>
  </sheetData>
  <mergeCells count="2">
    <mergeCell ref="A1:L1"/>
    <mergeCell ref="A2:L2"/>
  </mergeCells>
  <hyperlinks>
    <hyperlink ref="A7" r:id="rId1" xr:uid="{74A541F2-59DF-4ECD-A33D-C8519ACBB51B}"/>
    <hyperlink ref="A8" r:id="rId2" xr:uid="{71F004C3-8BEF-461B-93D6-1D58D266E180}"/>
    <hyperlink ref="A9" r:id="rId3" xr:uid="{8B42F359-474F-42E2-BEC1-6CB5E7A4A77E}"/>
    <hyperlink ref="A10" r:id="rId4" xr:uid="{4792601A-DAD3-4BDE-AA3D-F12B1C9C96FD}"/>
    <hyperlink ref="A11" r:id="rId5" xr:uid="{60D94964-A536-4C95-A27A-2B8CCEBBD9E9}"/>
    <hyperlink ref="A12" r:id="rId6" xr:uid="{F42A6823-FB92-4784-9AC4-6B0718DA87F3}"/>
    <hyperlink ref="A13" r:id="rId7" xr:uid="{7A0471EC-BB23-4D4F-96CC-F43ED1F4AF5C}"/>
    <hyperlink ref="A14" r:id="rId8" xr:uid="{D0F7F634-C36F-44DD-A334-F2657F534F8C}"/>
    <hyperlink ref="A15" r:id="rId9" xr:uid="{5B54911C-3B64-4C4D-8AD9-E5573CBC805C}"/>
    <hyperlink ref="A16" r:id="rId10" xr:uid="{9396F4AC-060D-4D49-81F4-F1187EDA6B7B}"/>
    <hyperlink ref="A17" r:id="rId11" xr:uid="{ED3757F8-E5D3-48B8-9F7E-34BD7A4F1A5F}"/>
    <hyperlink ref="A18" r:id="rId12" xr:uid="{EE0E9DB5-8446-4560-B2CE-6BD074D30986}"/>
    <hyperlink ref="A19" r:id="rId13" xr:uid="{9E5A0CCA-DC26-480F-8ECB-2B659D01DCA7}"/>
    <hyperlink ref="A20" r:id="rId14" xr:uid="{8EEB3D1D-D243-41DC-8D57-E929F54E8EBC}"/>
    <hyperlink ref="A21" r:id="rId15" xr:uid="{145B98C0-3774-4232-9D2E-A091A966242C}"/>
    <hyperlink ref="A22" r:id="rId16" xr:uid="{62803D74-BA55-4B59-9F4E-83DC5323B4BB}"/>
    <hyperlink ref="A23" r:id="rId17" xr:uid="{A7497BD3-C21D-43A0-B621-3AAC78EFA7F4}"/>
    <hyperlink ref="A24" r:id="rId18" xr:uid="{123E0212-D185-4752-8C26-E3CF2CE6E5A1}"/>
    <hyperlink ref="A25" r:id="rId19" xr:uid="{1ABF6E02-5AE6-46F1-82FE-68C13CCB4971}"/>
    <hyperlink ref="A26" r:id="rId20" xr:uid="{7397A5D2-8540-4247-B2F3-CDDB19BE784F}"/>
    <hyperlink ref="A27" r:id="rId21" xr:uid="{5DEC2CD8-4C42-4ED7-AFA9-8A5AB7A9B1C8}"/>
    <hyperlink ref="A28" r:id="rId22" xr:uid="{5287DE8F-7C0D-4DC3-A32B-9139D2E81A4F}"/>
    <hyperlink ref="A29" r:id="rId23" xr:uid="{C3D0335A-B8CF-46DF-B83E-FAC4B2D8ADAB}"/>
    <hyperlink ref="A30" r:id="rId24" xr:uid="{282974AF-6694-469C-BB5B-0DD4C56A469F}"/>
    <hyperlink ref="A31" r:id="rId25" xr:uid="{8B072B70-590C-4407-87B3-80AEE830ABAF}"/>
    <hyperlink ref="A32" r:id="rId26" xr:uid="{2FAA3F61-1935-4489-868E-CFFAF162882A}"/>
    <hyperlink ref="A33" r:id="rId27" xr:uid="{8FC7BB61-D716-4181-841C-83A0B7DFEB5D}"/>
    <hyperlink ref="A34" r:id="rId28" xr:uid="{BA9BABD0-0FAE-4C0B-8B41-10B82557A88B}"/>
    <hyperlink ref="A35" r:id="rId29" xr:uid="{257CA824-23AD-449B-8AAC-044D048961EC}"/>
    <hyperlink ref="A36" r:id="rId30" xr:uid="{75ECFEFA-F484-47AC-A635-E4F74008925D}"/>
    <hyperlink ref="A37" r:id="rId31" xr:uid="{8F3862A7-2E2C-4A3A-8A56-FA443EBA3842}"/>
    <hyperlink ref="A38" r:id="rId32" xr:uid="{AC70ED71-4EDC-47E5-8862-A042201AD7EE}"/>
    <hyperlink ref="A39" r:id="rId33" xr:uid="{93B9A7CC-6516-4381-A5B3-861E1408595C}"/>
    <hyperlink ref="A40" r:id="rId34" xr:uid="{8E578CD8-EB2B-4081-99B4-3E2854A27880}"/>
    <hyperlink ref="A41" r:id="rId35" xr:uid="{B2C9CBE7-3F36-4DFF-BA6C-7CEFE91573C6}"/>
    <hyperlink ref="A42" r:id="rId36" xr:uid="{398AB777-B136-400B-AEB1-373F4D80C45C}"/>
    <hyperlink ref="A43" r:id="rId37" xr:uid="{F95A6FB3-EF5D-4918-953F-5278F747E841}"/>
    <hyperlink ref="A44" r:id="rId38" xr:uid="{15C4FE9D-75EC-45F6-AD26-62A8C0F94DD1}"/>
    <hyperlink ref="A45" r:id="rId39" xr:uid="{46043496-8A83-43E1-87FE-898767D5A048}"/>
    <hyperlink ref="A46" r:id="rId40" xr:uid="{A87B7B27-F167-42D6-916C-2F47EAC24C51}"/>
    <hyperlink ref="A47" r:id="rId41" xr:uid="{134E3268-EF28-4765-BD51-FDF60984517D}"/>
    <hyperlink ref="A48" r:id="rId42" xr:uid="{957129D3-7C3A-4E86-B92C-60EBE24DDC2E}"/>
    <hyperlink ref="A49" r:id="rId43" xr:uid="{A259755D-C244-4DB4-AAB5-110CA8CBCA77}"/>
    <hyperlink ref="A50" r:id="rId44" xr:uid="{48971924-3F18-4BB3-B63B-C4EBB1EC6D5A}"/>
    <hyperlink ref="A51" r:id="rId45" xr:uid="{D5CB0BD9-3C2F-43E7-8932-48C1071EC6DC}"/>
    <hyperlink ref="A52" r:id="rId46" xr:uid="{B66F71E1-63F6-487A-B868-D821A632AB71}"/>
    <hyperlink ref="A53" r:id="rId47" xr:uid="{978107FF-5A73-4C88-80F8-E97246CE6B63}"/>
    <hyperlink ref="A54" r:id="rId48" xr:uid="{81F23571-9394-4427-B0C5-F8DF2E33063B}"/>
    <hyperlink ref="A55" r:id="rId49" xr:uid="{463A6364-FF4F-4296-B01C-F22D4A2BB6D5}"/>
    <hyperlink ref="A56" r:id="rId50" xr:uid="{093936DA-CB38-4D4B-A988-CC53CB38DE85}"/>
    <hyperlink ref="A57" r:id="rId51" xr:uid="{914B750C-42EA-4748-A238-8E56831243E1}"/>
    <hyperlink ref="A58" r:id="rId52" xr:uid="{5CE21638-5DDC-4208-ACE3-0A469A22AC05}"/>
    <hyperlink ref="A59" r:id="rId53" xr:uid="{00453FAC-BDF7-4E76-8A32-1E0A840F782E}"/>
    <hyperlink ref="A60" r:id="rId54" xr:uid="{6411DEDD-9555-4FBA-9A4F-13F9C99707CD}"/>
    <hyperlink ref="A61" r:id="rId55" xr:uid="{2C87D2CA-2DD6-44D1-9011-E8B6B4A9EC9E}"/>
    <hyperlink ref="A62" r:id="rId56" xr:uid="{23F1462D-8220-4F45-B8CC-7629CCDDE558}"/>
    <hyperlink ref="A63" r:id="rId57" xr:uid="{8ED28966-6E34-4F35-A85C-956F881CD5CE}"/>
    <hyperlink ref="A64" r:id="rId58" xr:uid="{94F4AB56-F561-4295-B1FD-DAFCFB48802A}"/>
    <hyperlink ref="A65" r:id="rId59" xr:uid="{E545958B-B6A3-466B-A15E-86B34100137B}"/>
    <hyperlink ref="A66" r:id="rId60" xr:uid="{5B369F0D-0E73-4F11-AE45-10A047187378}"/>
    <hyperlink ref="A67" r:id="rId61" xr:uid="{135A52B9-8AB8-4D3C-9687-757AD8EF80C3}"/>
    <hyperlink ref="A68" r:id="rId62" xr:uid="{898D67A9-0C03-4CC9-8273-396DD1F80B0A}"/>
    <hyperlink ref="A69" r:id="rId63" xr:uid="{49700012-7D68-4A9C-8003-D0A13A034D10}"/>
    <hyperlink ref="A70" r:id="rId64" xr:uid="{588E2515-331F-4CBF-84AD-D74A9C3109FD}"/>
    <hyperlink ref="A71" r:id="rId65" xr:uid="{35BE8AB8-0B5F-4773-8CBF-98706032EE21}"/>
    <hyperlink ref="A72" r:id="rId66" xr:uid="{7DB0D179-1CF6-46AD-9176-52B8C8BFBFFB}"/>
    <hyperlink ref="A73" r:id="rId67" xr:uid="{D3666373-3E34-49D6-B1B5-27D2996DC7B8}"/>
    <hyperlink ref="A74" r:id="rId68" xr:uid="{DD6B484A-D1EC-45E6-A029-8F69EEA2CC67}"/>
    <hyperlink ref="A75" r:id="rId69" xr:uid="{B57E3FA1-E441-4EF5-8D6D-8E1B8C05353E}"/>
    <hyperlink ref="A76" r:id="rId70" xr:uid="{647931ED-A19E-46C3-BA13-B60C4311EE52}"/>
    <hyperlink ref="A77" r:id="rId71" xr:uid="{0DD07CF8-C364-417A-9043-936B1A2F37A3}"/>
    <hyperlink ref="A78" r:id="rId72" xr:uid="{08566C83-ED39-44C2-B569-CB76E354B86A}"/>
    <hyperlink ref="A79" r:id="rId73" xr:uid="{316EBC20-28A5-4C8D-825A-58B37A534402}"/>
    <hyperlink ref="A80" r:id="rId74" xr:uid="{BCC53FED-2052-4EC3-96ED-D898B908EAE0}"/>
    <hyperlink ref="A81" r:id="rId75" xr:uid="{65FB1990-5A96-48E2-B16C-ABEB80F0E511}"/>
    <hyperlink ref="A82" r:id="rId76" xr:uid="{4ABBBAD8-BF84-4C73-9C16-C51EE4A73A4F}"/>
    <hyperlink ref="A83" r:id="rId77" xr:uid="{C2D5AC70-BE57-4730-97F3-AEE7495374A3}"/>
    <hyperlink ref="A84" r:id="rId78" xr:uid="{E4F2471D-4407-44B4-A923-FB7216F190F0}"/>
    <hyperlink ref="A85" r:id="rId79" xr:uid="{0D47B0CF-76A6-4051-8064-345119E97022}"/>
    <hyperlink ref="A86" r:id="rId80" xr:uid="{885A0945-0DA4-47AE-BAEB-2ED08CF7A70A}"/>
    <hyperlink ref="A87" r:id="rId81" xr:uid="{E13D3234-3603-4C47-90E3-E2A90B5CB82D}"/>
    <hyperlink ref="A88" r:id="rId82" xr:uid="{29687506-7A16-4428-8616-AED352497603}"/>
    <hyperlink ref="A89" r:id="rId83" xr:uid="{EF73526D-09C7-495F-8116-9C5A7B8FF3D0}"/>
    <hyperlink ref="A90" r:id="rId84" xr:uid="{9905F9E0-50A8-45E6-8614-6151743E1762}"/>
    <hyperlink ref="A91" r:id="rId85" xr:uid="{5C338E05-70A9-41D2-8F37-E8D8C0027C7B}"/>
    <hyperlink ref="A92" r:id="rId86" xr:uid="{706729D7-3185-4A17-AE11-7335A8F82974}"/>
    <hyperlink ref="A93" r:id="rId87" xr:uid="{75F2F52A-A719-44B6-B632-811E395D7C22}"/>
    <hyperlink ref="A94" r:id="rId88" xr:uid="{0334B871-8D97-43E0-8E2E-2A1E3B9922F6}"/>
    <hyperlink ref="A95" r:id="rId89" xr:uid="{A6D06052-AA4E-4394-93DC-DE42C449C001}"/>
    <hyperlink ref="A96" r:id="rId90" xr:uid="{69564670-699C-4777-880F-7E415735FFD2}"/>
    <hyperlink ref="A97" r:id="rId91" xr:uid="{4F3BEE50-5477-45AC-9151-757CE42F199F}"/>
    <hyperlink ref="A98" r:id="rId92" xr:uid="{41FE1ECD-5C94-4D5B-8676-B8E39C37A484}"/>
    <hyperlink ref="A99" r:id="rId93" xr:uid="{E5E8C05A-D665-4277-BA82-FA13868266FF}"/>
    <hyperlink ref="A100" r:id="rId94" xr:uid="{E59721E6-B2B8-4A86-96D6-4508688ABB8A}"/>
    <hyperlink ref="A101" r:id="rId95" xr:uid="{6820837A-5050-44E1-8FFD-78DA40797476}"/>
    <hyperlink ref="A102" r:id="rId96" xr:uid="{B8EE9783-2A45-4918-8311-81DEBCE83EA8}"/>
    <hyperlink ref="A103" r:id="rId97" xr:uid="{FFABF4EF-AE52-41B8-92B9-5071182AA6BA}"/>
    <hyperlink ref="A104" r:id="rId98" xr:uid="{BF5A0FF0-EB25-467A-937F-483041887FDF}"/>
    <hyperlink ref="A105" r:id="rId99" xr:uid="{1DC5FDA8-ED4C-407A-8210-11E08F93E400}"/>
    <hyperlink ref="A106" r:id="rId100" xr:uid="{29282E19-8D6A-4B38-AFA4-CFD6845DFC2F}"/>
    <hyperlink ref="A107" r:id="rId101" xr:uid="{BD83E43F-879E-4191-BEB7-BF05C6B0D47E}"/>
    <hyperlink ref="A108" r:id="rId102" xr:uid="{5B380602-CD07-43A0-BF6E-B7E71BD5E41E}"/>
    <hyperlink ref="A109" r:id="rId103" xr:uid="{CD817E0C-5FA8-438C-96E4-7A96BBBF3D7F}"/>
    <hyperlink ref="A110" r:id="rId104" xr:uid="{24C17A47-355E-49B4-BF46-1796D4DC9BC9}"/>
    <hyperlink ref="A111" r:id="rId105" xr:uid="{7C183397-49C8-44B3-B240-3E6A4B69ABB3}"/>
    <hyperlink ref="A112" r:id="rId106" xr:uid="{58B527E2-92B8-49B8-9203-38D44CF75FA4}"/>
    <hyperlink ref="A113" r:id="rId107" xr:uid="{F95C0425-D775-4BF1-8A01-E72D7E7948B5}"/>
    <hyperlink ref="A114" r:id="rId108" xr:uid="{9E1189A7-A851-4C67-8547-5568A5FE144B}"/>
    <hyperlink ref="A115" r:id="rId109" xr:uid="{B68AA9F8-4FAF-433C-9F7C-CA67D4311B9C}"/>
    <hyperlink ref="A116" r:id="rId110" xr:uid="{2A9F898B-ECCE-4D57-9DBF-F9F755D4559E}"/>
    <hyperlink ref="A117" r:id="rId111" xr:uid="{F1592F98-893C-4D71-A642-45AD0D167F6E}"/>
    <hyperlink ref="A118" r:id="rId112" xr:uid="{031B7DBC-851C-4E0A-9FC8-91238471669C}"/>
    <hyperlink ref="A119" r:id="rId113" xr:uid="{F240CB88-958E-4A38-B321-A9BA7850FA27}"/>
    <hyperlink ref="A120" r:id="rId114" xr:uid="{B24A8930-F0FB-4416-A492-04FCE53439D0}"/>
    <hyperlink ref="A121" r:id="rId115" xr:uid="{DA106EDB-BC06-4AEA-B2AD-3BFC139A097D}"/>
    <hyperlink ref="A122" r:id="rId116" xr:uid="{DF9212AC-556F-4E3D-82D7-F845C6FA48B6}"/>
    <hyperlink ref="A123" r:id="rId117" xr:uid="{B6B38C2B-60B4-44DD-BB1E-F329CE7591CE}"/>
    <hyperlink ref="A124" r:id="rId118" xr:uid="{C3C600B8-8574-42B9-B9E6-66859E97D4EE}"/>
    <hyperlink ref="A125" r:id="rId119" xr:uid="{CE130330-E602-40CC-94E5-2B9D24F8B86F}"/>
    <hyperlink ref="A126" r:id="rId120" xr:uid="{D02D7619-6F89-4E4C-AE64-EC8FD73F8D85}"/>
    <hyperlink ref="A127" r:id="rId121" xr:uid="{62487D10-55C4-4DBB-B005-954651FF1611}"/>
    <hyperlink ref="A128" r:id="rId122" xr:uid="{D9358B1C-F825-450A-892E-C03B9CF5DBD6}"/>
    <hyperlink ref="A129" r:id="rId123" xr:uid="{9E86DA3F-73DC-49E9-A92E-2C2577A254E9}"/>
    <hyperlink ref="A130" r:id="rId124" xr:uid="{F612E73A-E0D9-4C3B-B9D1-2C70E75DE4F8}"/>
    <hyperlink ref="A131" r:id="rId125" xr:uid="{FA021A20-0615-4E5E-91A5-17D1AC90EB06}"/>
    <hyperlink ref="A132" r:id="rId126" xr:uid="{475306FA-4B63-4F80-8CD2-4AF04739D6C9}"/>
    <hyperlink ref="A133" r:id="rId127" xr:uid="{C81946B6-7D5F-4BDF-BBC3-30B23FE63CFD}"/>
    <hyperlink ref="A134" r:id="rId128" xr:uid="{42BC5714-0B65-44EF-B59B-E87D8F32FAA6}"/>
    <hyperlink ref="A135" r:id="rId129" xr:uid="{F95A57F4-8812-4A44-8E1B-760509ECCCAA}"/>
    <hyperlink ref="A136" r:id="rId130" xr:uid="{E70C0235-C8B7-4D23-AD1A-6A74C2AA5EBF}"/>
    <hyperlink ref="A137" r:id="rId131" xr:uid="{7153F858-99EC-4ABE-8311-FADE6D656EEF}"/>
    <hyperlink ref="A138" r:id="rId132" xr:uid="{F9CB7280-CB13-4E4A-BE2B-3E86841C8AC0}"/>
    <hyperlink ref="A139" r:id="rId133" xr:uid="{F3B7B62B-4F09-4216-A9E7-17AA6B5BB8BB}"/>
    <hyperlink ref="A140" r:id="rId134" xr:uid="{0E3EF2D9-806D-40ED-AA8B-FEC926E01898}"/>
    <hyperlink ref="A141" r:id="rId135" xr:uid="{390272B8-35FC-4B43-BFFE-C18E7FAD6361}"/>
    <hyperlink ref="A142" r:id="rId136" xr:uid="{7DC61216-F24C-4608-882E-28DBA7B0480E}"/>
    <hyperlink ref="A143" r:id="rId137" xr:uid="{A14462BB-C4AF-4256-83EB-5378CD87D95D}"/>
    <hyperlink ref="A144" r:id="rId138" xr:uid="{E7B16DCB-FDF1-4F0A-B6D5-7FC1FD5F66A5}"/>
    <hyperlink ref="A145" r:id="rId139" xr:uid="{1E2D48D4-68B7-405A-8621-C0DFF8316201}"/>
    <hyperlink ref="A146" r:id="rId140" xr:uid="{FC151EB2-516D-45F8-B5CB-5596A7468117}"/>
    <hyperlink ref="A147" r:id="rId141" xr:uid="{B5EEA13B-E9E1-463C-9F9F-93C703577365}"/>
    <hyperlink ref="A148" r:id="rId142" xr:uid="{2E5FBA30-B141-4C76-8FEC-55371F360C39}"/>
    <hyperlink ref="A149" r:id="rId143" xr:uid="{B0A02CED-199A-4A82-884A-D468266FCFA2}"/>
    <hyperlink ref="A150" r:id="rId144" xr:uid="{7A6EC12E-4908-4B39-95E6-7E3D38446C8F}"/>
    <hyperlink ref="A151" r:id="rId145" xr:uid="{2D847681-1824-44BB-A981-1F418F23D9F0}"/>
    <hyperlink ref="A152" r:id="rId146" xr:uid="{2405A818-BB2C-4093-BBC0-6D2CCAB5E6FB}"/>
    <hyperlink ref="A153" r:id="rId147" xr:uid="{32228595-5B15-450E-A50D-ECFD61F49721}"/>
    <hyperlink ref="A154" r:id="rId148" xr:uid="{D4C4DB18-FFC4-4244-8E78-56F42D0BA9E2}"/>
    <hyperlink ref="A155" r:id="rId149" xr:uid="{25A13BB3-5E32-49DE-A3D3-F637DF5B5BB7}"/>
    <hyperlink ref="A156" r:id="rId150" xr:uid="{44C524FE-6464-47CC-8D94-761D367C1105}"/>
    <hyperlink ref="A157" r:id="rId151" xr:uid="{13535B5B-561A-45FD-A12F-EDF5BC2ED8F5}"/>
    <hyperlink ref="A158" r:id="rId152" xr:uid="{5C5AFB67-A14D-47BC-B6E4-24C0FB50A883}"/>
    <hyperlink ref="A159" r:id="rId153" xr:uid="{D364F128-5143-49CA-A4E5-F39B74D13416}"/>
    <hyperlink ref="A160" r:id="rId154" xr:uid="{27F7498E-E1D6-4B24-86C5-C5A4077804B9}"/>
    <hyperlink ref="A161" r:id="rId155" xr:uid="{764B29B6-F0CA-448D-BA4D-8B78FFB3E75A}"/>
    <hyperlink ref="A162" r:id="rId156" xr:uid="{24424B16-F82E-4B67-9F2C-53A387BFE64A}"/>
    <hyperlink ref="A163" r:id="rId157" xr:uid="{4F0FA0B0-DC83-49FC-80F2-E3C2F2358C6E}"/>
    <hyperlink ref="A164" r:id="rId158" xr:uid="{1D87247E-12D2-4C92-8872-CFFDC01C400C}"/>
    <hyperlink ref="A165" r:id="rId159" xr:uid="{8537C94D-BACC-4086-99D6-2E851E74DC29}"/>
    <hyperlink ref="A166" r:id="rId160" xr:uid="{355A8C20-85D0-4490-BCBB-DF3498DD28CF}"/>
    <hyperlink ref="A167" r:id="rId161" xr:uid="{85A59F2C-2C9D-4142-A610-C354ED54F4A8}"/>
    <hyperlink ref="A168" r:id="rId162" xr:uid="{4FB260BB-5DC1-4593-AED3-632C5ED4E116}"/>
    <hyperlink ref="A169" r:id="rId163" xr:uid="{91BCC18F-17D8-4B9B-A3EC-ED3B8DE57A38}"/>
    <hyperlink ref="A170" r:id="rId164" xr:uid="{541E4751-92EC-4966-82BF-1C5C463BACFA}"/>
    <hyperlink ref="A171" r:id="rId165" xr:uid="{869F6F79-CDE1-49BA-A435-108359263EF3}"/>
    <hyperlink ref="A172" r:id="rId166" xr:uid="{208FBED7-549F-4A0F-AEAD-58167BEFD23B}"/>
    <hyperlink ref="A173" r:id="rId167" xr:uid="{915C3846-DA97-4FF0-B6EF-C27ECF8D3FCE}"/>
    <hyperlink ref="A174" r:id="rId168" xr:uid="{914B748C-BD00-4C60-B6EF-9968540D5A18}"/>
    <hyperlink ref="A175" r:id="rId169" xr:uid="{C7943932-9BC9-470B-A784-C8D313FE257C}"/>
    <hyperlink ref="A176" r:id="rId170" xr:uid="{95637D66-6317-449A-A8BB-E91DFAB58AE1}"/>
    <hyperlink ref="A177" r:id="rId171" xr:uid="{3039A18D-B547-4463-A8EA-CB912B679F3A}"/>
    <hyperlink ref="A178" r:id="rId172" xr:uid="{FF062A13-7B03-4F15-A918-0DDC76897F3E}"/>
    <hyperlink ref="A179" r:id="rId173" xr:uid="{569E30F5-8E9C-42E8-9B7C-1B5CB5B240B8}"/>
    <hyperlink ref="A180" r:id="rId174" xr:uid="{1A28B2F4-72B1-4789-86B0-3331B2DDCD19}"/>
    <hyperlink ref="A181" r:id="rId175" xr:uid="{AAA58D48-4DAB-4779-9599-75D31EDAC6E3}"/>
    <hyperlink ref="A182" r:id="rId176" xr:uid="{709936BC-FCFE-495C-B5B1-E28CEEA3281A}"/>
    <hyperlink ref="A183" r:id="rId177" xr:uid="{ACF7F74D-E0EE-4386-A152-763AF03C66F3}"/>
    <hyperlink ref="A184" r:id="rId178" xr:uid="{604ED878-18A7-4C6A-8F48-997BC5738F2B}"/>
    <hyperlink ref="A185" r:id="rId179" xr:uid="{3019A33D-84DF-4A30-B3DA-1D52DF4404D8}"/>
    <hyperlink ref="A186" r:id="rId180" xr:uid="{08F6105D-3E33-42E3-A158-F5B764E5FF2A}"/>
    <hyperlink ref="A187" r:id="rId181" xr:uid="{88FD564E-F66B-4CD9-8B7B-4F7495A562E9}"/>
    <hyperlink ref="A188" r:id="rId182" xr:uid="{8749AF76-8DFD-43BA-A6B1-6F1D27F74FF5}"/>
    <hyperlink ref="A189" r:id="rId183" xr:uid="{C8FB3005-7883-4CE2-A1DE-864E3EFF8462}"/>
    <hyperlink ref="A190" r:id="rId184" xr:uid="{DEF7F3C6-82AA-4271-AC7C-9A28496CFB50}"/>
    <hyperlink ref="A191" r:id="rId185" xr:uid="{7F475DD7-AC33-4031-8BA4-6B81F925538E}"/>
    <hyperlink ref="A192" r:id="rId186" xr:uid="{00815B07-78F2-4006-AF11-BE973BEE913D}"/>
    <hyperlink ref="A193" r:id="rId187" xr:uid="{FADC446A-FDD2-4980-9D2A-19BE77988306}"/>
    <hyperlink ref="A194" r:id="rId188" xr:uid="{CCD762AA-5485-4180-AF24-6D29AB012CB5}"/>
    <hyperlink ref="A195" r:id="rId189" xr:uid="{09F5DDFC-D8AC-4692-A0D0-A13A0A5CA837}"/>
    <hyperlink ref="A196" r:id="rId190" xr:uid="{96643B1B-E0C3-43ED-B386-2FC7BE4CC1A3}"/>
    <hyperlink ref="A197" r:id="rId191" xr:uid="{D841011B-02B6-47F6-8AD4-4935ED479BC1}"/>
    <hyperlink ref="A198" r:id="rId192" xr:uid="{305C5CB0-8B03-4074-A390-C86B98A95C6B}"/>
    <hyperlink ref="A199" r:id="rId193" xr:uid="{DFDB2617-A131-4168-BD29-8B01C6CCC8AE}"/>
    <hyperlink ref="A200" r:id="rId194" xr:uid="{DBE8B294-F1D0-452F-973C-9530E3CB06F8}"/>
    <hyperlink ref="A201" r:id="rId195" xr:uid="{8DDA8F1A-1D15-4469-AFD8-5F619024AD39}"/>
    <hyperlink ref="A202" r:id="rId196" xr:uid="{3A95C861-2272-4092-953A-5AD362A36F9D}"/>
    <hyperlink ref="A203" r:id="rId197" xr:uid="{EA9F6378-8B7C-41A0-8B49-A94B340F6F6C}"/>
    <hyperlink ref="A204" r:id="rId198" xr:uid="{03550865-B06C-443D-B5B3-6B3D0D61C748}"/>
    <hyperlink ref="A205" r:id="rId199" xr:uid="{1E175EAC-029B-4EE1-962B-ADBC16347C97}"/>
    <hyperlink ref="A206" r:id="rId200" xr:uid="{4F84A42E-4FCB-4429-B394-FA6C469B3B2F}"/>
    <hyperlink ref="A207" r:id="rId201" xr:uid="{2EE36D63-263C-4816-AD2E-3D80D3757924}"/>
    <hyperlink ref="A208" r:id="rId202" xr:uid="{E8528665-06F2-4AA2-A201-0F81DB2ADCBC}"/>
    <hyperlink ref="A209" r:id="rId203" xr:uid="{C587009F-13FE-4B6D-8EBB-A6459DC1BF3C}"/>
    <hyperlink ref="A210" r:id="rId204" xr:uid="{2BC0E846-1280-477A-8DDF-2B91F3529AFA}"/>
    <hyperlink ref="A211" r:id="rId205" xr:uid="{EE48C166-385B-4D00-B4B7-BAA48A991C0B}"/>
    <hyperlink ref="A212" r:id="rId206" xr:uid="{1F23FFD1-5306-4ED3-8C21-30ACE6E0A306}"/>
    <hyperlink ref="A213" r:id="rId207" xr:uid="{E22DF460-D954-418A-BED4-051A47280F46}"/>
    <hyperlink ref="A214" r:id="rId208" xr:uid="{2F5C8768-B9C0-408A-BEE1-DEEB56963D3D}"/>
    <hyperlink ref="A215" r:id="rId209" xr:uid="{81752E5F-85AC-49FC-B8EE-A318FE618295}"/>
    <hyperlink ref="A216" r:id="rId210" xr:uid="{5BC11414-FADB-4C3B-8F29-99B94F6AF722}"/>
    <hyperlink ref="A217" r:id="rId211" xr:uid="{040E3886-4DC2-477E-994F-FA721819299A}"/>
    <hyperlink ref="A218" r:id="rId212" xr:uid="{86F8062D-EBE8-4484-BEE1-1F2E9008E525}"/>
    <hyperlink ref="A219" r:id="rId213" xr:uid="{C6771042-4C7F-48BF-90DD-CD5D1FE734FC}"/>
    <hyperlink ref="A220" r:id="rId214" xr:uid="{15D35FDE-6CB8-40FA-A7AF-C76C49DA4FA1}"/>
    <hyperlink ref="A221" r:id="rId215" xr:uid="{D32E5E97-E936-4F7A-8E63-83E22D8463F6}"/>
    <hyperlink ref="A222" r:id="rId216" xr:uid="{5B178406-0A95-488A-A1ED-8B84A5E1ED8A}"/>
    <hyperlink ref="A223" r:id="rId217" xr:uid="{3EF62438-3B01-4BD9-A26C-AEA655BD75B0}"/>
    <hyperlink ref="A224" r:id="rId218" xr:uid="{635478B3-92FA-40C1-9C06-3C9B592CC95C}"/>
    <hyperlink ref="A225" r:id="rId219" xr:uid="{0FE519DB-4700-4847-B88C-94EAEC4F93BF}"/>
    <hyperlink ref="A226" r:id="rId220" xr:uid="{7BC710FC-EC0B-4AF2-BA99-DB76791DA9E4}"/>
    <hyperlink ref="A227" r:id="rId221" xr:uid="{96414B23-E3CE-47AF-8BD0-C5C4EC190193}"/>
    <hyperlink ref="A228" r:id="rId222" xr:uid="{2BEBD3A7-B941-4ACA-9A99-4A3784A92968}"/>
    <hyperlink ref="A229" r:id="rId223" xr:uid="{71D99E0D-7F5A-4F5E-834F-1DAA0F06B26D}"/>
    <hyperlink ref="A230" r:id="rId224" xr:uid="{3995DB5C-A29B-42AA-8084-47DCC5819401}"/>
    <hyperlink ref="A231" r:id="rId225" xr:uid="{6F2EE195-922B-49C9-94A8-14627D6636F7}"/>
    <hyperlink ref="A232" r:id="rId226" xr:uid="{B5063DB1-C3E1-4A8B-951D-E014C75738B6}"/>
    <hyperlink ref="A233" r:id="rId227" xr:uid="{9DE5595B-9FDC-4E52-8DB1-68B9DD24991E}"/>
    <hyperlink ref="A234" r:id="rId228" xr:uid="{9CA15128-9530-463B-A5E2-A92957CED5CB}"/>
    <hyperlink ref="A235" r:id="rId229" xr:uid="{D92087E8-F7AE-4090-B0F9-64679E830C85}"/>
    <hyperlink ref="A236" r:id="rId230" xr:uid="{6BF54B95-C02B-4D4D-9018-5D2F2D9685F2}"/>
    <hyperlink ref="A237" r:id="rId231" xr:uid="{637E9C2B-97E0-4650-8BD4-5D6C10988E3D}"/>
    <hyperlink ref="A238" r:id="rId232" xr:uid="{85462F75-B5B7-4047-A5EF-9BE85DADF85D}"/>
    <hyperlink ref="A239" r:id="rId233" xr:uid="{5BC7E3E2-08A7-47D9-866D-8F21C43E174D}"/>
    <hyperlink ref="A240" r:id="rId234" xr:uid="{2F25D21C-AED0-4FFF-8F04-D26B46A9460E}"/>
    <hyperlink ref="A241" r:id="rId235" xr:uid="{BB657512-32F3-41B0-BDEC-504E8BB47487}"/>
    <hyperlink ref="A242" r:id="rId236" xr:uid="{FCF46F94-206E-4785-81AB-BEDD329CE8CF}"/>
    <hyperlink ref="A243" r:id="rId237" xr:uid="{D29A5B2E-5456-4F50-BDAC-8DEBF26418CB}"/>
    <hyperlink ref="A244" r:id="rId238" xr:uid="{587239E8-FC7A-4B76-9295-9DC3E1B45DB0}"/>
    <hyperlink ref="A245" r:id="rId239" xr:uid="{C589BA02-318A-48D8-A936-ECA1E4E146D8}"/>
    <hyperlink ref="A246" r:id="rId240" xr:uid="{C1B13243-1240-4089-AAF6-13CCD91BFA66}"/>
    <hyperlink ref="A247" r:id="rId241" xr:uid="{D677BA12-F54A-4865-B547-3C3AEA3DED57}"/>
    <hyperlink ref="A248" r:id="rId242" xr:uid="{FA2FC92A-D00E-4176-8C22-C8CDC8B3E4F0}"/>
    <hyperlink ref="A249" r:id="rId243" xr:uid="{2E0D21B8-7B74-4AE9-8571-50876FDF4795}"/>
    <hyperlink ref="A250" r:id="rId244" xr:uid="{95BA5BCB-5D72-4D1D-834D-0C3139AEC6C1}"/>
    <hyperlink ref="A251" r:id="rId245" xr:uid="{420BBBAF-E2B3-45A7-887F-E666107D4176}"/>
    <hyperlink ref="A252" r:id="rId246" xr:uid="{F963106B-6A13-49CF-A86A-9BF2A0DD612B}"/>
    <hyperlink ref="A253" r:id="rId247" xr:uid="{097067B7-FC9B-4850-B279-E50FFD411161}"/>
    <hyperlink ref="A254" r:id="rId248" xr:uid="{C6C07B0A-EEDA-4783-9FD0-9FE9ACCAC40D}"/>
    <hyperlink ref="A255" r:id="rId249" xr:uid="{1A0B7C68-9CD7-4281-ACD8-EC28730D0FAE}"/>
    <hyperlink ref="A256" r:id="rId250" xr:uid="{44FEC636-0B99-48C3-A018-F333AA2900B1}"/>
    <hyperlink ref="A257" r:id="rId251" xr:uid="{F2C20F21-4A10-41F9-A11D-94B233D32E67}"/>
    <hyperlink ref="A258" r:id="rId252" xr:uid="{F5E82339-3162-4F71-BEC7-5FCD000DBD23}"/>
    <hyperlink ref="A259" r:id="rId253" xr:uid="{2D0B75E8-E48D-4F97-A0B2-D24B409245B7}"/>
    <hyperlink ref="A260" r:id="rId254" xr:uid="{83C75693-CF3F-4CBC-ADF5-17500715AA3A}"/>
    <hyperlink ref="A261" r:id="rId255" xr:uid="{319A5E90-49B5-4305-9AE2-FAD7D79A04A5}"/>
    <hyperlink ref="A262" r:id="rId256" xr:uid="{BC989C9C-CB38-4880-BAEB-407C35DFABE3}"/>
    <hyperlink ref="A263" r:id="rId257" xr:uid="{F739C4D0-01EC-4EB6-9041-0007CE8E56D5}"/>
    <hyperlink ref="A264" r:id="rId258" xr:uid="{6A019D43-B8A2-456D-B163-226482CE0F84}"/>
    <hyperlink ref="A265" r:id="rId259" xr:uid="{79DD1D79-C15D-4535-8F28-E32051EBE94C}"/>
    <hyperlink ref="A266" r:id="rId260" xr:uid="{8D09CC17-7B1F-46AB-B8F8-D333EADB9647}"/>
    <hyperlink ref="A267" r:id="rId261" xr:uid="{E7E67D06-9C48-4751-BFDC-3C5E7C019913}"/>
    <hyperlink ref="A268" r:id="rId262" xr:uid="{7B41EEEB-AD6F-4D69-B29E-7CF6A20C3E43}"/>
    <hyperlink ref="A269" r:id="rId263" xr:uid="{AA5081AC-5843-449C-BED7-D86D7A356B15}"/>
    <hyperlink ref="A270" r:id="rId264" xr:uid="{64E532E5-5EAD-42E2-914F-C8E5926CC596}"/>
    <hyperlink ref="A271" r:id="rId265" xr:uid="{6118B53B-6F44-4E80-83D8-8837090EAC49}"/>
    <hyperlink ref="A272" r:id="rId266" xr:uid="{B1AE0B79-2B12-4DCC-BCCB-825817203631}"/>
    <hyperlink ref="A273" r:id="rId267" xr:uid="{3400FD3E-E96E-4353-B0D2-A1CF031105FE}"/>
    <hyperlink ref="A274" r:id="rId268" xr:uid="{A8087E7C-5FDA-4DCE-8BEF-0A8F6A11BF2D}"/>
    <hyperlink ref="A275" r:id="rId269" xr:uid="{CFA6CC8B-1C57-4F66-BBC8-6D8B09704C26}"/>
    <hyperlink ref="A276" r:id="rId270" xr:uid="{1AB4BDC6-36E1-4D80-BF36-5D4F33CBBCC4}"/>
    <hyperlink ref="A277" r:id="rId271" xr:uid="{6C92CC98-E19F-4C1D-95A9-5D0B8C5FED6A}"/>
    <hyperlink ref="A278" r:id="rId272" xr:uid="{E0B0EC64-D881-4886-8F67-480D45BDEE97}"/>
    <hyperlink ref="A279" r:id="rId273" xr:uid="{7E0BC92E-4A7A-43E2-A41D-ED4A2C6B3451}"/>
    <hyperlink ref="A280" r:id="rId274" xr:uid="{ACD64CD3-132F-480B-8661-6B7B70C67243}"/>
    <hyperlink ref="A281" r:id="rId275" xr:uid="{7E09E43D-1482-4AAA-9983-81E97D23A70A}"/>
    <hyperlink ref="A282" r:id="rId276" xr:uid="{E4A7689B-9A15-4A33-A0A7-9E84B6B4EB37}"/>
    <hyperlink ref="A283" r:id="rId277" xr:uid="{47FFBD9B-1EB9-4C37-BB61-C13873B81773}"/>
    <hyperlink ref="A284" r:id="rId278" xr:uid="{B577538A-254E-4959-A0FF-C41AFB4F236A}"/>
    <hyperlink ref="A285" r:id="rId279" xr:uid="{79A9194A-C9CD-47B1-B0D6-8A4536D37C1B}"/>
    <hyperlink ref="A286" r:id="rId280" xr:uid="{A202B681-7822-4C71-AA21-A377ED6FADAA}"/>
    <hyperlink ref="A287" r:id="rId281" xr:uid="{B563A3F9-A7C8-4282-A589-6D284FEA9DBB}"/>
    <hyperlink ref="A288" r:id="rId282" xr:uid="{AF2FE759-9D93-4058-8E49-BC5AD8A60093}"/>
    <hyperlink ref="A289" r:id="rId283" xr:uid="{76A3042A-7D75-44FF-BEEB-A3F2F262CFD7}"/>
    <hyperlink ref="A290" r:id="rId284" xr:uid="{5366400E-D580-4DB7-BC1A-C2941A7667AA}"/>
    <hyperlink ref="A291" r:id="rId285" xr:uid="{DCA65237-541F-40C2-8544-2E829C4D7AA6}"/>
    <hyperlink ref="A292" r:id="rId286" xr:uid="{774243C9-A114-42DF-9F6B-190B7A84D6D9}"/>
    <hyperlink ref="A293" r:id="rId287" xr:uid="{4167A14B-5390-44CE-8CF7-05A0FBAF6734}"/>
    <hyperlink ref="A294" r:id="rId288" xr:uid="{EF2FD64C-1185-4905-9844-FDBA430AD80A}"/>
    <hyperlink ref="A295" r:id="rId289" xr:uid="{CDEF78A9-3189-4F30-A8B0-26F1FA78EDB6}"/>
    <hyperlink ref="A296" r:id="rId290" xr:uid="{81E43C63-D4AD-45BE-8223-D8599A65D2C7}"/>
    <hyperlink ref="A297" r:id="rId291" xr:uid="{58C7201D-0EEF-49DC-8C51-99763AC5BD45}"/>
    <hyperlink ref="A298" r:id="rId292" xr:uid="{5BFDA1F2-41CC-492A-8E11-163038BDB546}"/>
    <hyperlink ref="A299" r:id="rId293" xr:uid="{1EE9513C-0AEA-46F3-9F17-435D7B3D2E54}"/>
    <hyperlink ref="A300" r:id="rId294" xr:uid="{5BE45180-24EF-43BF-93C1-56BD3CFE6BA7}"/>
    <hyperlink ref="A301" r:id="rId295" xr:uid="{CA35BAF6-58B7-41E8-A66B-44ADDE303660}"/>
    <hyperlink ref="A302" r:id="rId296" xr:uid="{CD2AE445-EB87-45DE-83E6-CB6D026E6664}"/>
    <hyperlink ref="A303" r:id="rId297" xr:uid="{2704D290-BC91-4F0D-A7CF-CF496AD428DB}"/>
    <hyperlink ref="A304" r:id="rId298" xr:uid="{DDD79773-479C-45D7-8B7C-C546CECD464F}"/>
    <hyperlink ref="A305" r:id="rId299" xr:uid="{7EED8370-84DF-4748-90A8-9B2C2D059275}"/>
    <hyperlink ref="A306" r:id="rId300" xr:uid="{A9A69B47-DE2F-420A-845E-06FD3283BEA1}"/>
    <hyperlink ref="A307" r:id="rId301" xr:uid="{25DC2805-BBD1-493D-9E3F-F8301BC5CFD5}"/>
    <hyperlink ref="A308" r:id="rId302" xr:uid="{F7A77A8A-91BD-425C-AAEE-49E2695AFBCD}"/>
    <hyperlink ref="A309" r:id="rId303" xr:uid="{94E6A0C6-DF93-4CBB-BD94-9E3BA07CEA26}"/>
    <hyperlink ref="A310" r:id="rId304" xr:uid="{1965B8CE-3FC7-469D-B055-ED3C62AA1D9E}"/>
    <hyperlink ref="A311" r:id="rId305" xr:uid="{A851FF91-007C-450A-BD89-49B640F9C861}"/>
    <hyperlink ref="A312" r:id="rId306" xr:uid="{E117C9E5-CF9B-4930-9860-BD2590E089DA}"/>
    <hyperlink ref="A313" r:id="rId307" xr:uid="{739B2DF1-1FE7-43EB-85A7-D730B57C1AF1}"/>
    <hyperlink ref="A314" r:id="rId308" xr:uid="{47A42CFE-EEA5-4659-B2CD-AC377344DF22}"/>
    <hyperlink ref="A315" r:id="rId309" xr:uid="{7D954429-069E-4D5A-B16C-6FF479C1E99A}"/>
    <hyperlink ref="A316" r:id="rId310" xr:uid="{A4323379-5399-458F-8386-D513D810984C}"/>
    <hyperlink ref="A317" r:id="rId311" xr:uid="{B72FA8DA-D527-4CE6-94A4-F2E92C8AABA8}"/>
    <hyperlink ref="A318" r:id="rId312" xr:uid="{EBC9E53F-C315-4EBF-AB57-4F250B2ED6A9}"/>
    <hyperlink ref="A319" r:id="rId313" xr:uid="{0CEB09E1-47A2-49E8-82E6-165440EB2DFE}"/>
    <hyperlink ref="A320" r:id="rId314" xr:uid="{13A22F12-E425-4B89-8347-6BF945DCF377}"/>
    <hyperlink ref="A321" r:id="rId315" xr:uid="{565D7299-8930-4E6B-8F63-C3522A2B9834}"/>
    <hyperlink ref="A322" r:id="rId316" xr:uid="{F07A1CB0-DB94-48EE-919B-92A1F8C9BCA9}"/>
    <hyperlink ref="A323" r:id="rId317" xr:uid="{A31DCC07-99C3-43EB-8A4D-D67729AF5F77}"/>
    <hyperlink ref="A324" r:id="rId318" xr:uid="{C6C76B87-F4D3-41BE-95A3-04211C17E4A2}"/>
    <hyperlink ref="A325" r:id="rId319" xr:uid="{C0733BA8-FE5A-4FA0-B0F3-D58BE9C01673}"/>
    <hyperlink ref="A326" r:id="rId320" xr:uid="{8FDA32E3-036B-4CEF-889F-75606E92110A}"/>
    <hyperlink ref="A327" r:id="rId321" xr:uid="{371BD24D-D585-48EA-8E97-7C9FC1614090}"/>
    <hyperlink ref="A328" r:id="rId322" xr:uid="{DE3D3B68-ACBF-4707-9D16-DB1CF0CB88AA}"/>
    <hyperlink ref="A329" r:id="rId323" xr:uid="{B8A0EA3F-1648-4F6E-8461-C4A60E40F066}"/>
    <hyperlink ref="A330" r:id="rId324" xr:uid="{2435D99D-0DCB-464E-BDEE-6BCA92E17ECA}"/>
    <hyperlink ref="A331" r:id="rId325" xr:uid="{E08EA70F-4334-4171-82F0-769728CC02E9}"/>
    <hyperlink ref="A332" r:id="rId326" xr:uid="{D0858B4F-B8DD-458D-B7EA-DBE0468F17FC}"/>
    <hyperlink ref="A333" r:id="rId327" xr:uid="{8AD59435-B0C2-4ABC-8A0A-E5ABDB220A33}"/>
    <hyperlink ref="A334" r:id="rId328" xr:uid="{5E550B1A-1E1B-449F-8151-26F42E847B5C}"/>
    <hyperlink ref="A335" r:id="rId329" xr:uid="{5DD2BAAC-BC51-4945-A912-F8C3B2E0B97C}"/>
    <hyperlink ref="A336" r:id="rId330" xr:uid="{78017CAF-41E7-4668-9A14-25210561CA86}"/>
    <hyperlink ref="A337" r:id="rId331" xr:uid="{8FBB8D2C-2F77-4008-A7BB-B85AAA1FB772}"/>
    <hyperlink ref="A338" r:id="rId332" xr:uid="{18895A2C-3263-41B7-A73E-7739C3ABF812}"/>
    <hyperlink ref="A339" r:id="rId333" xr:uid="{68C01D50-10B3-4712-BF55-AE7E51B616EE}"/>
    <hyperlink ref="A340" r:id="rId334" xr:uid="{186EF098-9A39-460F-BFE0-363CDECAC5F4}"/>
    <hyperlink ref="A341" r:id="rId335" xr:uid="{2931FA06-1163-4132-AE05-2D74132ABDAF}"/>
    <hyperlink ref="A342" r:id="rId336" xr:uid="{3B081C8B-D24C-47B9-A650-2EFEEA941E0D}"/>
    <hyperlink ref="A343" r:id="rId337" xr:uid="{6B1159C7-0B5E-4383-A8F4-6A39E37D4B76}"/>
    <hyperlink ref="A344" r:id="rId338" xr:uid="{0C9169F8-9E9B-4F79-B3F2-723FCAA2EA17}"/>
    <hyperlink ref="A345" r:id="rId339" xr:uid="{66DAF40D-21C8-4D06-94E8-6B4372E6C743}"/>
    <hyperlink ref="A346" r:id="rId340" xr:uid="{1BCD5037-C4B1-4EEA-9E4A-BD7DBA614DA6}"/>
    <hyperlink ref="A347" r:id="rId341" xr:uid="{264D79A5-6FFC-41CA-81FC-C563E7DA31A8}"/>
    <hyperlink ref="A348" r:id="rId342" xr:uid="{583F1E3E-8C75-4C03-A06B-5D96DED8BDC3}"/>
    <hyperlink ref="A349" r:id="rId343" xr:uid="{462299DA-0CAA-4253-9A94-DD1023F7794B}"/>
    <hyperlink ref="A350" r:id="rId344" xr:uid="{102AAA55-98E3-4AF9-B0B8-F651F7CCEC7D}"/>
    <hyperlink ref="A351" r:id="rId345" xr:uid="{81B57F86-2133-4BF4-8C55-8864521EB20B}"/>
    <hyperlink ref="A352" r:id="rId346" xr:uid="{720E74E1-6B75-4B39-B36C-9FA7DBE5B378}"/>
    <hyperlink ref="A353" r:id="rId347" xr:uid="{C78AF7DA-534F-44CF-9188-8D235FCEFC95}"/>
    <hyperlink ref="A354" r:id="rId348" xr:uid="{F03443C6-ACE6-41B3-994D-F87D52A17568}"/>
    <hyperlink ref="A355" r:id="rId349" xr:uid="{CC044655-647E-41A7-B382-3F6A587E56A5}"/>
    <hyperlink ref="A356" r:id="rId350" xr:uid="{CEDAD8D5-92BA-440D-9A82-3EF5384A5954}"/>
    <hyperlink ref="A357" r:id="rId351" xr:uid="{882E6E7B-9B37-4FE0-9950-26290E497E9B}"/>
    <hyperlink ref="A358" r:id="rId352" xr:uid="{475E8082-CD41-43C2-85EF-9687A27D606A}"/>
    <hyperlink ref="A359" r:id="rId353" xr:uid="{5D7EE282-72AD-4AE0-A789-494FE6848FC7}"/>
    <hyperlink ref="A360" r:id="rId354" xr:uid="{B0DD84B7-7349-4604-A0EC-D409AB3F77B7}"/>
    <hyperlink ref="A361" r:id="rId355" xr:uid="{02316702-2984-4DB1-A1C6-9A50D0510B43}"/>
    <hyperlink ref="A362" r:id="rId356" xr:uid="{940791D1-B9FB-46B1-9D45-6BFA4BA0F4C1}"/>
    <hyperlink ref="A363" r:id="rId357" xr:uid="{69593B1B-F504-4726-989F-61DB5985D856}"/>
    <hyperlink ref="A364" r:id="rId358" xr:uid="{4F528A74-20BB-4691-BBE3-DFC2B85C3F3A}"/>
    <hyperlink ref="A365" r:id="rId359" xr:uid="{317F8E4A-993D-4876-B139-8A53531835FD}"/>
    <hyperlink ref="A366" r:id="rId360" xr:uid="{2EA4F5E8-F276-408C-A733-016F0D22835A}"/>
    <hyperlink ref="A367" r:id="rId361" xr:uid="{306D2C09-E7A8-4B15-877E-96CADA427449}"/>
    <hyperlink ref="A368" r:id="rId362" xr:uid="{921F1973-D199-4884-8578-CC9B7B9D7ED5}"/>
    <hyperlink ref="A369" r:id="rId363" xr:uid="{772DC480-B2FA-40C8-80CB-9A7F28BD7E1F}"/>
    <hyperlink ref="A370" r:id="rId364" xr:uid="{DA1DEB93-A9F3-4EAB-BE86-C48F28B3EF27}"/>
    <hyperlink ref="A371" r:id="rId365" xr:uid="{4127BD41-7890-4F67-882C-4BED47BF9A62}"/>
    <hyperlink ref="A372" r:id="rId366" xr:uid="{5F2B9CAD-85CC-4B9A-AB31-E86BB80064CD}"/>
    <hyperlink ref="A373" r:id="rId367" xr:uid="{52C0CC3F-047A-4F3C-8737-ED3CA2D2FC59}"/>
    <hyperlink ref="A374" r:id="rId368" xr:uid="{25BECF82-514F-4E15-8176-D8F670405839}"/>
    <hyperlink ref="A375" r:id="rId369" xr:uid="{855790DB-D8E7-4E9F-8A07-CCE5B93BCC61}"/>
    <hyperlink ref="A376" r:id="rId370" xr:uid="{595BCA93-8358-4B22-9D91-C862465B2C39}"/>
    <hyperlink ref="A377" r:id="rId371" xr:uid="{29871E02-B0E9-4CD1-929D-234BD29A625A}"/>
    <hyperlink ref="A378" r:id="rId372" xr:uid="{0BAF8363-7ACD-4817-AD8E-A79D4C5DE6D3}"/>
    <hyperlink ref="A379" r:id="rId373" xr:uid="{C64B83B6-767A-42C7-B83C-746AB6C7AD31}"/>
    <hyperlink ref="A380" r:id="rId374" xr:uid="{E32333D3-6479-4075-8031-A4E40229721B}"/>
    <hyperlink ref="A381" r:id="rId375" xr:uid="{152EF4AD-415D-48D3-A6A9-ECFCBD886277}"/>
    <hyperlink ref="A382" r:id="rId376" xr:uid="{8798D40E-1CB8-4435-9E80-1F426E273B1A}"/>
    <hyperlink ref="A383" r:id="rId377" xr:uid="{A4C04FC2-9877-428A-854F-B1E6B5632447}"/>
    <hyperlink ref="A384" r:id="rId378" xr:uid="{CBF7BE34-FAA3-41C5-87F3-76E691284A69}"/>
    <hyperlink ref="A385" r:id="rId379" xr:uid="{78898238-91FC-4969-9B0C-30A55E8D9D8E}"/>
    <hyperlink ref="A386" r:id="rId380" xr:uid="{BF442231-D5F4-4F82-B35D-9355497275B3}"/>
    <hyperlink ref="A387" r:id="rId381" xr:uid="{34BA8721-BD29-4246-A412-A0821804E7E2}"/>
    <hyperlink ref="A388" r:id="rId382" xr:uid="{E212E0CA-6FD6-4E9E-9CEA-4658CC56FF8D}"/>
    <hyperlink ref="A389" r:id="rId383" xr:uid="{9BEA7386-6856-4417-83A6-F3A4D68C8F16}"/>
    <hyperlink ref="A390" r:id="rId384" xr:uid="{4A74CA33-5F2C-4D5F-A61F-AF1DD78EE5BE}"/>
    <hyperlink ref="A391" r:id="rId385" xr:uid="{EDAD6CA4-4A4E-4817-BA53-E1D505D7B39B}"/>
    <hyperlink ref="A392" r:id="rId386" xr:uid="{96DC71F6-8C63-4148-8505-3EA5361D7BF2}"/>
    <hyperlink ref="A393" r:id="rId387" xr:uid="{9EE54D86-E5DF-40DE-903F-8F69849E31DD}"/>
    <hyperlink ref="A394" r:id="rId388" xr:uid="{B6F3B5EA-1C7D-4D80-B423-E9D24DF2FE3C}"/>
    <hyperlink ref="A395" r:id="rId389" xr:uid="{CA68141A-0E12-4E49-99FE-2EA231726D59}"/>
    <hyperlink ref="A396" r:id="rId390" xr:uid="{AEEAF2E5-C911-4248-A2F4-BB317CF94746}"/>
    <hyperlink ref="A397" r:id="rId391" xr:uid="{6951EF53-CF6E-4A94-BFFC-5BBC7908AEB0}"/>
    <hyperlink ref="A398" r:id="rId392" xr:uid="{4B183FA4-170B-4EAD-A5D0-12A4BF4D8355}"/>
    <hyperlink ref="A399" r:id="rId393" xr:uid="{29B6A6EE-8BF1-493F-9B42-AE7AD3E2ED10}"/>
    <hyperlink ref="A400" r:id="rId394" xr:uid="{A7946AD5-1E54-4006-A274-7E4A368F313B}"/>
    <hyperlink ref="A401" r:id="rId395" xr:uid="{5E6AF6CF-1429-4C96-9E10-4D95C963AD78}"/>
    <hyperlink ref="A402" r:id="rId396" xr:uid="{5C0D7CD1-9892-4415-9BBE-F09B807E7297}"/>
    <hyperlink ref="A403" r:id="rId397" xr:uid="{CE1F2B15-3C0E-4BF6-82EF-847C4CA49A1B}"/>
    <hyperlink ref="A404" r:id="rId398" xr:uid="{B2A94B2E-555E-49AF-91B5-F8C08A57E0EC}"/>
    <hyperlink ref="A405" r:id="rId399" xr:uid="{DF9FCB89-D7D3-4FFA-8172-DF9734DDC373}"/>
    <hyperlink ref="A406" r:id="rId400" xr:uid="{132E3EF5-03ED-4E5E-AFFC-08601A36408C}"/>
    <hyperlink ref="A407" r:id="rId401" xr:uid="{97EFF48D-4A6D-4C84-B8AD-E865B38FA383}"/>
    <hyperlink ref="A408" r:id="rId402" xr:uid="{7A69C92F-9B84-4D03-AC6D-207CBC43E23A}"/>
    <hyperlink ref="A409" r:id="rId403" xr:uid="{3B2FD558-8467-4430-92D3-9F63AC76E8CE}"/>
    <hyperlink ref="A410" r:id="rId404" xr:uid="{A6995DF8-3F83-4564-8D8A-54273F559CA1}"/>
    <hyperlink ref="A411" r:id="rId405" xr:uid="{5C10DEB5-5311-42BA-B81C-71E60F5AD8A2}"/>
    <hyperlink ref="A412" r:id="rId406" xr:uid="{CE7CEDF7-9571-4DE7-8F5D-869F5D5B2005}"/>
    <hyperlink ref="A413" r:id="rId407" xr:uid="{8D665455-4CE7-4F2D-BD26-8CB1E769731D}"/>
    <hyperlink ref="A414" r:id="rId408" xr:uid="{443B3B92-7C33-476A-9C21-2D72208017F2}"/>
    <hyperlink ref="A415" r:id="rId409" xr:uid="{E1EB3D8E-C444-4196-BFFA-64B7620D0043}"/>
    <hyperlink ref="A416" r:id="rId410" xr:uid="{49F74261-31E6-45F8-A4C6-897DC259CE76}"/>
    <hyperlink ref="A417" r:id="rId411" xr:uid="{F3097C98-D10C-4882-9FD6-DA83E888C7FD}"/>
    <hyperlink ref="A418" r:id="rId412" xr:uid="{6421E3E2-3B84-482A-8457-288792629E1F}"/>
    <hyperlink ref="A419" r:id="rId413" xr:uid="{120B5495-2CF1-4E39-88F9-549C715C6CE4}"/>
    <hyperlink ref="A420" r:id="rId414" xr:uid="{B69EDE31-8DEF-4153-9BED-04B20E17F338}"/>
    <hyperlink ref="A421" r:id="rId415" xr:uid="{48CF1C14-F0FC-4A45-A2F3-E7E2E5C6D873}"/>
    <hyperlink ref="A422" r:id="rId416" xr:uid="{37B283EE-429F-4AE0-9DBD-2C48A3690D77}"/>
    <hyperlink ref="A423" r:id="rId417" xr:uid="{A828D2D6-F9CF-4613-90AE-F2593AB0742F}"/>
    <hyperlink ref="A424" r:id="rId418" xr:uid="{0D1163F7-63DE-41AE-A3A4-87DB78F17375}"/>
    <hyperlink ref="A425" r:id="rId419" xr:uid="{EDD4F5C6-3F6D-4338-A114-AA13D6454E75}"/>
    <hyperlink ref="A426" r:id="rId420" xr:uid="{6387CAD5-17BE-4324-9A27-927DC35D993F}"/>
    <hyperlink ref="A427" r:id="rId421" xr:uid="{B879D89D-8443-4C43-A082-13FDF93B60B8}"/>
    <hyperlink ref="A428" r:id="rId422" xr:uid="{C73CF6E0-4CB1-4B64-8647-44BCAFAD87B6}"/>
    <hyperlink ref="A429" r:id="rId423" xr:uid="{9452BC5B-92BE-4029-9D9C-CED6395EA72F}"/>
    <hyperlink ref="A430" r:id="rId424" xr:uid="{80C8C057-C465-4153-97E2-D512484E247C}"/>
    <hyperlink ref="A431" r:id="rId425" xr:uid="{48F69B26-4259-45C6-94BC-10C9B202FC71}"/>
    <hyperlink ref="A432" r:id="rId426" xr:uid="{58F5E9EA-BC75-4DF2-BBDF-A83BDE7A35A4}"/>
    <hyperlink ref="A433" r:id="rId427" xr:uid="{0BD3C7E8-072B-4626-97DE-878305339E3B}"/>
    <hyperlink ref="A434" r:id="rId428" xr:uid="{5F8C0354-2DEA-4DD6-B42F-0D2A08BC6AB3}"/>
    <hyperlink ref="A435" r:id="rId429" xr:uid="{E960A987-C1EA-42FD-9E7A-C3667804FB22}"/>
    <hyperlink ref="A436" r:id="rId430" xr:uid="{5390B0C0-3033-404A-AEC7-795C68461F7D}"/>
    <hyperlink ref="A437" r:id="rId431" xr:uid="{008F9870-0794-446A-8522-A2EFEB1EB618}"/>
    <hyperlink ref="A438" r:id="rId432" xr:uid="{9C2E1F69-7D6F-47A5-B823-2EA489C77222}"/>
    <hyperlink ref="A439" r:id="rId433" xr:uid="{4E6C8880-8C62-42C7-AC1B-948FEBDF045F}"/>
    <hyperlink ref="A440" r:id="rId434" xr:uid="{B9D155D7-2605-41A2-860D-86A3D527678D}"/>
    <hyperlink ref="A441" r:id="rId435" xr:uid="{9F0EBCF6-8656-41E7-8726-C87F00D857E1}"/>
    <hyperlink ref="A442" r:id="rId436" xr:uid="{EBD3BD7C-E152-4C6E-9498-5476635B8440}"/>
    <hyperlink ref="A443" r:id="rId437" xr:uid="{5F206FFB-772A-4954-BB22-4FFFCB7B3509}"/>
    <hyperlink ref="A444" r:id="rId438" xr:uid="{D1D9C59D-856D-458B-A9B6-4B6E10BC3D96}"/>
    <hyperlink ref="A445" r:id="rId439" xr:uid="{A6D5DC3F-98C5-4A28-AEFB-01D492BCBA69}"/>
    <hyperlink ref="A446" r:id="rId440" xr:uid="{AFB62313-FDD1-41F1-BD3F-43410270341A}"/>
    <hyperlink ref="A447" r:id="rId441" xr:uid="{20884DCB-0C11-4CC0-BC27-017B3008F9C6}"/>
    <hyperlink ref="A448" r:id="rId442" xr:uid="{DCE2D4E6-9B88-43B5-801F-E79827DDE6E3}"/>
    <hyperlink ref="A449" r:id="rId443" xr:uid="{B1118B47-3F97-46BE-93C6-4D77E51AAC33}"/>
    <hyperlink ref="A450" r:id="rId444" xr:uid="{CD342E7F-E4CF-440B-84F9-48D4C8479E2F}"/>
    <hyperlink ref="A451" r:id="rId445" xr:uid="{A4661314-1410-42C7-A714-517B28339F4F}"/>
    <hyperlink ref="A452" r:id="rId446" xr:uid="{674D06A2-045A-4E09-91FA-94373A309E26}"/>
    <hyperlink ref="A453" r:id="rId447" xr:uid="{1F22BC29-8A9C-4676-92A3-57F563B3BFC9}"/>
    <hyperlink ref="A454" r:id="rId448" xr:uid="{2966CF40-8CFE-4D74-9158-364FB2C2F308}"/>
    <hyperlink ref="A455" r:id="rId449" xr:uid="{4E2F352E-BB69-4715-A56F-0BA30B522ADD}"/>
    <hyperlink ref="A456" r:id="rId450" xr:uid="{59835373-FC48-4E11-914B-88EC6A2A4720}"/>
    <hyperlink ref="A457" r:id="rId451" xr:uid="{F8F5957C-6181-4E06-8CC7-778D85C02241}"/>
    <hyperlink ref="A458" r:id="rId452" xr:uid="{C8DAF305-DF9D-4D7A-8115-78C23CF31138}"/>
    <hyperlink ref="A459" r:id="rId453" xr:uid="{45CE04FF-9DED-46BA-B4CC-1C9E8903A2D0}"/>
    <hyperlink ref="A460" r:id="rId454" xr:uid="{1679E304-B8AF-4BF6-B158-59C242C0D903}"/>
    <hyperlink ref="A461" r:id="rId455" xr:uid="{6DF76EC2-B604-49F7-A52F-DA54874722B5}"/>
    <hyperlink ref="A462" r:id="rId456" xr:uid="{E36726D7-C5D0-47ED-9542-DF756AE2979A}"/>
    <hyperlink ref="A463" r:id="rId457" xr:uid="{1D63C7D1-B89F-4CA1-BBBF-86B5DA7FE0D6}"/>
    <hyperlink ref="A464" r:id="rId458" xr:uid="{75C321E1-B8A7-48E3-90A9-6E300EAAEF72}"/>
    <hyperlink ref="A465" r:id="rId459" xr:uid="{D3CB75E8-F50A-4461-A442-5204B21ED670}"/>
    <hyperlink ref="A466" r:id="rId460" xr:uid="{7CD5DBE9-E60E-4335-A703-D35E1D754F56}"/>
    <hyperlink ref="A467" r:id="rId461" xr:uid="{C5C0AA65-3184-43C9-A7DB-90138BC937FB}"/>
    <hyperlink ref="A468" r:id="rId462" xr:uid="{4EA9AF80-BEAA-4307-B22F-4B33DF0D6A41}"/>
    <hyperlink ref="A469" r:id="rId463" xr:uid="{0FA536C2-808E-417F-BECB-18A874ADC4F6}"/>
    <hyperlink ref="A470" r:id="rId464" xr:uid="{4E7E334B-2218-4F50-9D94-C262C0B89964}"/>
    <hyperlink ref="A471" r:id="rId465" xr:uid="{E69EB329-57D6-4751-AF71-88A0449F4138}"/>
    <hyperlink ref="A472" r:id="rId466" xr:uid="{646D8919-B1EB-4636-8278-57A0A6097823}"/>
    <hyperlink ref="A473" r:id="rId467" xr:uid="{1767986B-DBEF-4B1E-813F-B9D4775A3D60}"/>
    <hyperlink ref="A474" r:id="rId468" xr:uid="{31F27259-E9A1-46F9-9E5E-05E427A2FD09}"/>
    <hyperlink ref="A475" r:id="rId469" xr:uid="{366EE53C-A5D5-4352-869B-1F13352E632C}"/>
    <hyperlink ref="A476" r:id="rId470" xr:uid="{F2FBC74B-53E9-41A2-9C9E-0E23A06D1748}"/>
    <hyperlink ref="A477" r:id="rId471" xr:uid="{6DADDB38-454E-4F51-A232-C10961EDD6C7}"/>
    <hyperlink ref="A478" r:id="rId472" xr:uid="{AE8F0C2E-BAFE-4E0B-AAA8-39DFA728078A}"/>
    <hyperlink ref="A479" r:id="rId473" xr:uid="{F4FB7565-B7D0-4790-905B-2C0FAADC74F6}"/>
    <hyperlink ref="A480" r:id="rId474" xr:uid="{6BDFF632-B7E0-4B93-AEF4-BF5AA4A57F47}"/>
    <hyperlink ref="A481" r:id="rId475" xr:uid="{C9EE6E8C-7DF7-4F8C-BF74-B0D4AEF87C07}"/>
    <hyperlink ref="A482" r:id="rId476" xr:uid="{EA0A508A-89F0-4676-A029-0A9D55BDB7D4}"/>
    <hyperlink ref="A483" r:id="rId477" xr:uid="{065463E8-7FFC-40A3-AA45-C2610429617B}"/>
    <hyperlink ref="A484" r:id="rId478" xr:uid="{CD6C6110-5655-4F8D-A5CF-DCF34BEA3181}"/>
    <hyperlink ref="A485" r:id="rId479" xr:uid="{1EB1D06D-E7B2-4E0F-A6DA-D7B5EF184AE3}"/>
    <hyperlink ref="A486" r:id="rId480" xr:uid="{A8DCE67D-1B16-456A-AB44-63BC3DE9316D}"/>
    <hyperlink ref="A487" r:id="rId481" xr:uid="{231E6AE2-DB2B-4E4A-84C3-49C2C6136323}"/>
    <hyperlink ref="A488" r:id="rId482" xr:uid="{CEE47911-2110-48E1-B808-1C550174C15E}"/>
    <hyperlink ref="A489" r:id="rId483" xr:uid="{05085618-7110-4D52-8905-961B17ABFF55}"/>
    <hyperlink ref="A490" r:id="rId484" xr:uid="{B75B5486-B415-4E47-9192-FAB58B12F5D3}"/>
    <hyperlink ref="A491" r:id="rId485" xr:uid="{641D0701-6710-46E4-B468-C3C8963DCC61}"/>
    <hyperlink ref="A492" r:id="rId486" xr:uid="{4359DC4E-8352-4093-A2A2-6676E13FAE64}"/>
    <hyperlink ref="A493" r:id="rId487" xr:uid="{1C7FE878-D14C-4CDE-BA63-AA21C197D6AF}"/>
    <hyperlink ref="A494" r:id="rId488" xr:uid="{E14282D2-481E-4CD5-BB52-33DC12B24FAA}"/>
    <hyperlink ref="A495" r:id="rId489" xr:uid="{BAA8A77C-C2A7-47AF-8EFE-EB3EBC194789}"/>
    <hyperlink ref="A496" r:id="rId490" xr:uid="{A5FF24D0-8E30-44D6-B1F5-93101C1FA849}"/>
    <hyperlink ref="A497" r:id="rId491" xr:uid="{911CC1E1-4ED2-4229-916C-9D8648AD01FB}"/>
    <hyperlink ref="A498" r:id="rId492" xr:uid="{C9C2DD83-38AF-41BB-ACD4-C42BB30ADD40}"/>
    <hyperlink ref="A499" r:id="rId493" xr:uid="{122ADE44-B0BA-4C09-A644-1BB4353735D5}"/>
    <hyperlink ref="A500" r:id="rId494" xr:uid="{1950DB9C-754A-4E69-904D-A56F5C178F96}"/>
    <hyperlink ref="A501" r:id="rId495" xr:uid="{48AAC33E-F654-4DEA-A3D1-1F41833BB262}"/>
    <hyperlink ref="A502" r:id="rId496" xr:uid="{D0DD9DA6-BCDC-4533-B2FE-2E2643498ADB}"/>
    <hyperlink ref="A503" r:id="rId497" xr:uid="{00B6ACE3-8CDB-4DE1-AA63-E9613E19E0A0}"/>
    <hyperlink ref="A504" r:id="rId498" xr:uid="{713A1816-3ADF-4917-BEFB-8E8730C56011}"/>
    <hyperlink ref="A505" r:id="rId499" xr:uid="{FC056F8A-C617-40C9-A822-7DE382AD210F}"/>
    <hyperlink ref="A506" r:id="rId500" xr:uid="{A743CA26-AE2D-43C6-B4CD-51483404A97E}"/>
    <hyperlink ref="A507" r:id="rId501" xr:uid="{9AABF882-E35F-40EC-BCD1-FA1815C33FEA}"/>
    <hyperlink ref="A508" r:id="rId502" xr:uid="{445E5513-40B6-4A20-8B62-B0BCC88DB328}"/>
    <hyperlink ref="A509" r:id="rId503" xr:uid="{6D911FBE-6F8C-4448-B8B7-A4CF19D757D0}"/>
    <hyperlink ref="A510" r:id="rId504" xr:uid="{C3EA3AF8-5B05-4040-9668-09AF56014B39}"/>
    <hyperlink ref="A511" r:id="rId505" xr:uid="{86D13F53-0148-47FE-920C-32861005F729}"/>
    <hyperlink ref="A512" r:id="rId506" xr:uid="{92CA735D-CB77-47C7-943C-7D2D6E7C4196}"/>
    <hyperlink ref="A513" r:id="rId507" xr:uid="{5D26BD00-2779-42C2-9278-A52CCFC65430}"/>
    <hyperlink ref="A514" r:id="rId508" xr:uid="{21685AAD-3184-4D7A-91E5-EA6D33B7FADB}"/>
    <hyperlink ref="A515" r:id="rId509" xr:uid="{9829212B-028C-4E1E-B9AD-21ADBCCE7D8A}"/>
    <hyperlink ref="A516" r:id="rId510" xr:uid="{108BCDB1-B74C-46E7-9F90-0C56DC1817B5}"/>
    <hyperlink ref="A517" r:id="rId511" xr:uid="{91D36635-E638-48E2-9772-D527B2C671CA}"/>
    <hyperlink ref="A518" r:id="rId512" xr:uid="{80F172A3-1BDB-485E-826A-C0A08BA96B70}"/>
    <hyperlink ref="A519" r:id="rId513" xr:uid="{3E862291-506D-4162-B985-E413DFE02BC0}"/>
    <hyperlink ref="A520" r:id="rId514" xr:uid="{AB3F6D08-FA8B-4866-BACB-16EC83D3B8AA}"/>
    <hyperlink ref="A521" r:id="rId515" xr:uid="{D06C60B8-5142-4732-B1F8-E664B3AE1178}"/>
    <hyperlink ref="A522" r:id="rId516" xr:uid="{223DD340-0E71-4CD6-8847-69439C0DB310}"/>
    <hyperlink ref="A523" r:id="rId517" xr:uid="{79CF7CAC-A22F-4E2A-8B9A-07AA77D61517}"/>
    <hyperlink ref="A524" r:id="rId518" xr:uid="{52A70E39-DDEA-4D5B-9FEC-FF5A2D15BE8D}"/>
    <hyperlink ref="A525" r:id="rId519" xr:uid="{EE6C84AE-F1B8-4A58-8C37-F5B53447B702}"/>
    <hyperlink ref="A526" r:id="rId520" xr:uid="{15F96EA4-04FD-43F2-86D8-A7664300FE1C}"/>
    <hyperlink ref="A527" r:id="rId521" xr:uid="{C7420AE7-F57C-4D99-9BF2-1D60EE9AE1A9}"/>
    <hyperlink ref="A528" r:id="rId522" xr:uid="{9EF81A6A-5FBE-4DEF-9FF1-327E9A1156DB}"/>
    <hyperlink ref="A529" r:id="rId523" xr:uid="{D2A9F180-5E94-4DB6-8794-D2B7C0F64C64}"/>
    <hyperlink ref="A530" r:id="rId524" xr:uid="{41DEBDEF-8DE9-4082-BA1D-4725DDD1613C}"/>
    <hyperlink ref="A531" r:id="rId525" xr:uid="{0E3F3B2F-8BA6-40BE-86F9-F9C13A5D079F}"/>
    <hyperlink ref="A532" r:id="rId526" xr:uid="{4388412C-14B4-4A82-989E-FEEE68FF9988}"/>
    <hyperlink ref="A533" r:id="rId527" xr:uid="{42CF54B2-01FF-440E-9D9C-9BCCC713DF81}"/>
    <hyperlink ref="A534" r:id="rId528" xr:uid="{F36C9A9C-5A9B-4458-B8D2-ED2E4A10AD11}"/>
    <hyperlink ref="A535" r:id="rId529" xr:uid="{5CD87B70-86EA-44CF-BEAE-045F20130AAA}"/>
    <hyperlink ref="A536" r:id="rId530" xr:uid="{69F2F828-7E71-43F4-903A-13C75576B612}"/>
    <hyperlink ref="A537" r:id="rId531" xr:uid="{F00670FB-91B9-4488-AFB7-ADDC4093BFA0}"/>
    <hyperlink ref="A538" r:id="rId532" xr:uid="{5BDF2FA9-7F12-4A3D-B9D9-48B926FB86A7}"/>
    <hyperlink ref="A539" r:id="rId533" xr:uid="{95CF4234-9275-4A9B-B56D-BCE7479C73CA}"/>
    <hyperlink ref="A540" r:id="rId534" xr:uid="{861F88EC-7C9C-4D03-BC98-42DC83A7F266}"/>
    <hyperlink ref="A541" r:id="rId535" xr:uid="{7609CDCD-A6CD-44B3-94D1-6D0E12271D50}"/>
    <hyperlink ref="A542" r:id="rId536" xr:uid="{942E2003-B78F-46C2-B146-2AFD5EF89B32}"/>
    <hyperlink ref="A543" r:id="rId537" xr:uid="{DFD6AB78-97F6-4FB1-A7E3-97BB52AB1DF2}"/>
    <hyperlink ref="A544" r:id="rId538" xr:uid="{88A03530-2267-4B32-A33D-549F1622C3A9}"/>
    <hyperlink ref="A545" r:id="rId539" xr:uid="{E809401A-580C-407E-BD87-FE11B2B89ED2}"/>
    <hyperlink ref="A546" r:id="rId540" xr:uid="{2DCE4026-C34F-4E89-BEF5-E5B063C2FC1F}"/>
    <hyperlink ref="A547" r:id="rId541" xr:uid="{532F6179-BE72-4924-9FFF-1729C9D26A10}"/>
    <hyperlink ref="A548" r:id="rId542" xr:uid="{FE416869-CE1E-4C8D-9D9A-14C6EC2B92DD}"/>
    <hyperlink ref="A549" r:id="rId543" xr:uid="{6A699AC6-2EAC-4374-9DE0-8B820A2FB936}"/>
    <hyperlink ref="A550" r:id="rId544" xr:uid="{C43F8C33-B0A1-42CB-B112-0966609E9254}"/>
    <hyperlink ref="A551" r:id="rId545" xr:uid="{E3FADFC9-73DB-4E24-8268-DFE45682957F}"/>
    <hyperlink ref="A552" r:id="rId546" xr:uid="{7F7F2C8A-BD93-4810-BFFB-49C10B162A67}"/>
    <hyperlink ref="A553" r:id="rId547" xr:uid="{807772A1-5DE5-4B73-81AA-E2552BB7403A}"/>
    <hyperlink ref="A554" r:id="rId548" xr:uid="{F4966566-3A4E-4A38-8283-90766AC22134}"/>
    <hyperlink ref="A555" r:id="rId549" xr:uid="{2E0C948E-F50C-4F02-AC3E-0E6B30D45E56}"/>
    <hyperlink ref="A556" r:id="rId550" xr:uid="{9AC42FB8-B063-4611-BFCF-2137B05EE5D0}"/>
    <hyperlink ref="A557" r:id="rId551" xr:uid="{C6F7996B-5A9D-415D-8C40-CCADEFA123C7}"/>
    <hyperlink ref="A558" r:id="rId552" xr:uid="{9B1E630A-3AAE-4211-81ED-514852CA695A}"/>
    <hyperlink ref="A559" r:id="rId553" xr:uid="{AE311498-F344-4D6D-B5DE-1A227F0B7ACD}"/>
    <hyperlink ref="A560" r:id="rId554" xr:uid="{65477223-7E6A-4548-8B86-AC7A32BC4CB8}"/>
    <hyperlink ref="A561" r:id="rId555" xr:uid="{A94474D6-1A27-43CC-9C95-E574B774E239}"/>
    <hyperlink ref="A562" r:id="rId556" xr:uid="{5AC55B74-4047-4376-9EC9-33CF9F9802BA}"/>
    <hyperlink ref="A563" r:id="rId557" xr:uid="{BB7D4A23-2072-4E16-9276-C24403091350}"/>
    <hyperlink ref="A564" r:id="rId558" xr:uid="{8A486D4D-4C0F-4E79-92FE-6AB11DACBCDF}"/>
    <hyperlink ref="A565" r:id="rId559" xr:uid="{1B71D128-29AA-4779-B8A4-6E83D7805C6D}"/>
    <hyperlink ref="A566" r:id="rId560" xr:uid="{048BAD40-F79A-4EE2-B314-65BD473081DA}"/>
    <hyperlink ref="A567" r:id="rId561" xr:uid="{0B548154-F5A7-4199-BE2B-78898FAE187E}"/>
    <hyperlink ref="A568" r:id="rId562" xr:uid="{AF30D769-11F8-4C33-A46D-51002D4BA5D3}"/>
    <hyperlink ref="A569" r:id="rId563" xr:uid="{2468ADF1-523E-44F3-9EE6-956806317DCD}"/>
    <hyperlink ref="A570" r:id="rId564" xr:uid="{A6900691-C432-4813-9583-2AC9FCCF3A29}"/>
    <hyperlink ref="A571" r:id="rId565" xr:uid="{8355E085-8971-4DE4-90D6-CDE1AF236A4A}"/>
    <hyperlink ref="A572" r:id="rId566" xr:uid="{5F981484-1697-424D-9F45-9D2E8396828E}"/>
    <hyperlink ref="A573" r:id="rId567" xr:uid="{CD9D0595-FC6B-438E-AB6D-FCF6A402DB25}"/>
    <hyperlink ref="A574" r:id="rId568" xr:uid="{B6236F84-20B0-45E8-AB7A-79DBF324F384}"/>
    <hyperlink ref="A575" r:id="rId569" xr:uid="{664793DF-DA9C-467B-A6B8-36173A44289D}"/>
    <hyperlink ref="A576" r:id="rId570" xr:uid="{1F5C9F17-7FEC-47DC-9C5C-68F4D1458F6A}"/>
    <hyperlink ref="A577" r:id="rId571" xr:uid="{B74A3A84-DFE6-4836-84E3-B7A429E2B743}"/>
    <hyperlink ref="A578" r:id="rId572" xr:uid="{F801397C-CE60-4D35-84FA-E774BCD146B6}"/>
    <hyperlink ref="A579" r:id="rId573" xr:uid="{4F51C24C-DE36-4FA7-9303-1EB17C9726E5}"/>
    <hyperlink ref="A580" r:id="rId574" xr:uid="{991C43FC-EDEE-4895-80FC-60A6714DEBBD}"/>
    <hyperlink ref="A581" r:id="rId575" xr:uid="{DD67B997-1699-4ACB-9282-B378134AACC1}"/>
    <hyperlink ref="A582" r:id="rId576" xr:uid="{5EDE8462-3E91-4ADD-8EFE-72AC6EEA7C5B}"/>
    <hyperlink ref="A583" r:id="rId577" xr:uid="{4635D919-9E7C-4DAD-A560-A1A19534D159}"/>
    <hyperlink ref="A584" r:id="rId578" xr:uid="{E985C68F-3018-4E89-82B6-441BF56954EB}"/>
    <hyperlink ref="A585" r:id="rId579" xr:uid="{FEE17509-ADB5-426D-B546-97ECAD964A64}"/>
    <hyperlink ref="A586" r:id="rId580" xr:uid="{7DF6031C-2FB5-40C3-9D42-ECBD56669E81}"/>
    <hyperlink ref="A587" r:id="rId581" xr:uid="{D16BCBD4-6937-4DE2-89A1-C3BFE975DD6E}"/>
    <hyperlink ref="A588" r:id="rId582" xr:uid="{67F05D18-FA6B-41D2-BEE5-7D271990F878}"/>
    <hyperlink ref="A589" r:id="rId583" xr:uid="{C0FDFD50-B5ED-431A-97F7-E4A9BC512942}"/>
    <hyperlink ref="A590" r:id="rId584" xr:uid="{B001D12B-0434-4FAD-BB9D-BBEEA12D045F}"/>
    <hyperlink ref="A591" r:id="rId585" xr:uid="{2306E7E4-4BEB-43D9-BC03-4794CF470B75}"/>
    <hyperlink ref="A592" r:id="rId586" xr:uid="{A26A09D6-09DC-4129-B074-28CBF5327F88}"/>
    <hyperlink ref="A593" r:id="rId587" xr:uid="{12D492AB-96F5-49AE-A88F-8A743FD9A0C6}"/>
    <hyperlink ref="A594" r:id="rId588" xr:uid="{9D5C3C2E-FED4-4436-B9F0-CDE201C6212B}"/>
    <hyperlink ref="A595" r:id="rId589" xr:uid="{43DC2881-9063-4EBA-A3DB-142FA27D4096}"/>
    <hyperlink ref="A596" r:id="rId590" xr:uid="{94433875-FC84-4536-A555-01E922A2065B}"/>
    <hyperlink ref="A597" r:id="rId591" xr:uid="{2737C67D-74DF-498B-8053-9BA435E4D865}"/>
    <hyperlink ref="A598" r:id="rId592" xr:uid="{BA613EB7-3979-4EEE-815E-92FFC10716F6}"/>
    <hyperlink ref="A599" r:id="rId593" xr:uid="{1D347DA6-C216-41DC-96E1-1E7672BCD9C9}"/>
    <hyperlink ref="A600" r:id="rId594" xr:uid="{D849EEFC-F1BB-46BA-A3CD-8830502D2AB8}"/>
    <hyperlink ref="A601" r:id="rId595" xr:uid="{E570585A-0877-4FE3-AAA5-D69CFB1F0EF3}"/>
    <hyperlink ref="A602" r:id="rId596" xr:uid="{7F1A0A1C-B44A-406E-B1D6-ED6B51CBFA4B}"/>
    <hyperlink ref="A603" r:id="rId597" xr:uid="{0544CA73-7639-4F26-BEE2-D06D993BED6C}"/>
    <hyperlink ref="A604" r:id="rId598" xr:uid="{28C83385-9356-4871-81EE-4FF3042DAF4D}"/>
    <hyperlink ref="A605" r:id="rId599" xr:uid="{015BF9F3-8C10-4D21-9168-7F56F5696E3D}"/>
    <hyperlink ref="A606" r:id="rId600" xr:uid="{91E2A289-4EDC-4B4F-BC07-141F41B3102A}"/>
    <hyperlink ref="A607" r:id="rId601" xr:uid="{B6482414-92B2-4C07-BFEA-6EDDCB1449C8}"/>
    <hyperlink ref="A608" r:id="rId602" xr:uid="{3CEE1EA4-C401-436B-8133-EE48ED082BFB}"/>
    <hyperlink ref="A609" r:id="rId603" xr:uid="{603877EC-D9E3-4F5C-97FD-20B44ACFECF6}"/>
    <hyperlink ref="A610" r:id="rId604" xr:uid="{8AAD14E7-8401-4C46-B3F9-7BDD2B807692}"/>
    <hyperlink ref="A611" r:id="rId605" xr:uid="{C3005B3B-3277-4D97-92DD-7D118699CB55}"/>
    <hyperlink ref="A612" r:id="rId606" xr:uid="{9B4BE0E3-67CA-44A6-9511-4D04B3619442}"/>
    <hyperlink ref="A613" r:id="rId607" xr:uid="{FEB57603-84F8-4B98-9EED-4AAD8D7EE625}"/>
    <hyperlink ref="A614" r:id="rId608" xr:uid="{498F2EF5-96AD-440E-9FBC-7FDD7B692A20}"/>
    <hyperlink ref="A615" r:id="rId609" xr:uid="{E8810F7E-6042-4E83-A26E-10A4490CF4E3}"/>
    <hyperlink ref="A616" r:id="rId610" xr:uid="{D326392E-15F0-4978-9EE7-8EACA57D5BEF}"/>
    <hyperlink ref="A617" r:id="rId611" xr:uid="{49F88791-03A5-4618-BCCD-45CEDAFD6A68}"/>
    <hyperlink ref="A618" r:id="rId612" xr:uid="{0F7ED70F-CCD3-401C-9639-6CDFD277498C}"/>
    <hyperlink ref="A619" r:id="rId613" xr:uid="{3A684CD6-9D27-4784-BD04-545386FD06C6}"/>
    <hyperlink ref="A620" r:id="rId614" xr:uid="{9FA8F03E-E036-4B1C-8954-FD81F1F89A61}"/>
    <hyperlink ref="A621" r:id="rId615" xr:uid="{16F9A451-CAFE-4283-B961-78EF3477E262}"/>
    <hyperlink ref="A622" r:id="rId616" xr:uid="{841FB220-D1C3-4BD4-9B3F-BCAB47D28497}"/>
    <hyperlink ref="A623" r:id="rId617" xr:uid="{3E1FA855-F667-4415-8E8F-500AFFD8951F}"/>
    <hyperlink ref="A624" r:id="rId618" xr:uid="{46113CFC-5D2F-43A2-8C59-44195C324F7A}"/>
    <hyperlink ref="A625" r:id="rId619" xr:uid="{60D482E5-7DC3-4ED3-8DED-010A594BA7C4}"/>
    <hyperlink ref="A626" r:id="rId620" xr:uid="{218436F5-999A-4BDA-8754-054459F0014B}"/>
    <hyperlink ref="A627" r:id="rId621" xr:uid="{E579B8FD-D32E-41AA-B2AA-13D4ED0E9F13}"/>
    <hyperlink ref="A628" r:id="rId622" xr:uid="{2AAD66DC-6DCE-4E15-A3A4-51E6A38034E3}"/>
    <hyperlink ref="A629" r:id="rId623" xr:uid="{1FDF3A9B-86FB-4498-8F19-7C05C70A1481}"/>
    <hyperlink ref="A630" r:id="rId624" xr:uid="{71835EC9-6E3B-443D-8D14-1EAEFDD4F791}"/>
    <hyperlink ref="A631" r:id="rId625" xr:uid="{06143647-3014-4B4C-A88C-3AF00E080069}"/>
    <hyperlink ref="A632" r:id="rId626" xr:uid="{AB563536-D82C-4D4E-97C3-1EB6BBA912A0}"/>
    <hyperlink ref="A633" r:id="rId627" xr:uid="{A44D7C53-0627-4686-80B5-FFEB11E423EC}"/>
    <hyperlink ref="A634" r:id="rId628" xr:uid="{6873EF51-53E9-4F39-B3BB-80749AFE4344}"/>
    <hyperlink ref="A635" r:id="rId629" xr:uid="{69B1A03F-10E9-468B-95AA-0DBD912C8C3D}"/>
    <hyperlink ref="A636" r:id="rId630" xr:uid="{AA3B9856-4AC1-4509-B8D7-C14CA553283C}"/>
    <hyperlink ref="A637" r:id="rId631" xr:uid="{422FC861-54F5-43A0-B7C3-4C8B931BEC67}"/>
    <hyperlink ref="A638" r:id="rId632" xr:uid="{F489856D-96BE-4C95-AFFB-241721824EDB}"/>
    <hyperlink ref="A639" r:id="rId633" xr:uid="{E40767D6-9566-4915-B73A-C127AE76CB08}"/>
    <hyperlink ref="A640" r:id="rId634" xr:uid="{6D385782-917F-4F28-A5EB-5FC18C53A309}"/>
    <hyperlink ref="A641" r:id="rId635" xr:uid="{CB12AEF7-E716-43C3-9DEC-66A5ED22FC7F}"/>
    <hyperlink ref="A642" r:id="rId636" xr:uid="{3D16EAA7-F553-47EB-932D-157817988149}"/>
    <hyperlink ref="A643" r:id="rId637" xr:uid="{2B03FBA5-6060-412F-88B7-C7CDD40A74D4}"/>
    <hyperlink ref="A644" r:id="rId638" xr:uid="{061D987D-56B6-41B0-A20B-15F7868A3930}"/>
    <hyperlink ref="A645" r:id="rId639" xr:uid="{0CB528D3-F739-4779-9EE1-B40DC9DDD22B}"/>
    <hyperlink ref="A646" r:id="rId640" xr:uid="{2AE98935-BD2B-4122-A625-B506BC1914E9}"/>
    <hyperlink ref="A647" r:id="rId641" xr:uid="{7162BAC3-E3FC-4312-9A35-F478D50D5D1D}"/>
    <hyperlink ref="A648" r:id="rId642" xr:uid="{B34812CB-81EE-4B3E-9A89-392C0DB79D3D}"/>
    <hyperlink ref="A649" r:id="rId643" xr:uid="{D15A5BF4-ACFC-4BB7-8EC6-C72E99BC2B07}"/>
    <hyperlink ref="A650" r:id="rId644" xr:uid="{82E566B4-0FA3-4057-9778-AAE71A5F3628}"/>
    <hyperlink ref="A651" r:id="rId645" xr:uid="{DE812370-693A-4671-88CD-48804F56BAF6}"/>
    <hyperlink ref="A652" r:id="rId646" xr:uid="{A6E06DDE-D387-4C4C-82C4-F112559C4190}"/>
    <hyperlink ref="A653" r:id="rId647" xr:uid="{648E5433-E356-4528-8613-4E20DE53C4EB}"/>
    <hyperlink ref="A654" r:id="rId648" xr:uid="{27550410-CB8A-4C44-9691-273D40EA3313}"/>
    <hyperlink ref="A655" r:id="rId649" xr:uid="{4CE8811C-231D-4B16-B94C-ECF85FFCF03C}"/>
    <hyperlink ref="A656" r:id="rId650" xr:uid="{B4DCE16A-4983-41A8-9C32-53DF71B6A55A}"/>
    <hyperlink ref="A657" r:id="rId651" xr:uid="{9A7D4087-B150-40A8-B4EF-9F76103CE59A}"/>
    <hyperlink ref="A658" r:id="rId652" xr:uid="{2537E086-5620-4454-99F5-83A1BF06C486}"/>
    <hyperlink ref="A659" r:id="rId653" xr:uid="{E2E99CB2-F7A1-4DA5-94C3-8BE420A483BF}"/>
    <hyperlink ref="A660" r:id="rId654" xr:uid="{B588AA53-B219-4560-9A88-551B20AEB99E}"/>
    <hyperlink ref="A661" r:id="rId655" xr:uid="{65CBE5E3-4BEE-4BCD-9008-B50E6C20CD0A}"/>
    <hyperlink ref="A662" r:id="rId656" xr:uid="{D0366E4C-88CD-4C8A-810C-49A68512E07B}"/>
    <hyperlink ref="A663" r:id="rId657" xr:uid="{5920E99E-A5B9-46CB-8706-29AF388C399C}"/>
    <hyperlink ref="A664" r:id="rId658" xr:uid="{655E5A5D-2F57-4664-B6B7-3B04917AF51D}"/>
    <hyperlink ref="A665" r:id="rId659" xr:uid="{2889AAA8-1116-4F34-86CF-50197FAE87DA}"/>
    <hyperlink ref="A666" r:id="rId660" xr:uid="{AE9748CE-AC47-44F6-9D3F-D1420E6D4C20}"/>
    <hyperlink ref="A667" r:id="rId661" xr:uid="{E58AFDF4-C23F-491D-A591-7532F252541D}"/>
    <hyperlink ref="A668" r:id="rId662" xr:uid="{3F8AAF38-9C98-47D3-8945-D45BF9E18CAD}"/>
    <hyperlink ref="A669" r:id="rId663" xr:uid="{6C3E25F6-5912-489B-9BBC-C33D1171C7DA}"/>
    <hyperlink ref="A670" r:id="rId664" xr:uid="{18EB5E57-254D-4B5E-BF99-EFD068DBE37E}"/>
    <hyperlink ref="A671" r:id="rId665" xr:uid="{ACF738CB-9C59-4337-9782-E807E04E2185}"/>
    <hyperlink ref="A672" r:id="rId666" xr:uid="{F73F3174-2B59-448D-BF13-DE25A0D8A8A2}"/>
    <hyperlink ref="A673" r:id="rId667" xr:uid="{BAC2936F-9931-4BFF-97DE-6BA27B79C5AC}"/>
    <hyperlink ref="A674" r:id="rId668" xr:uid="{72B56FE0-5661-4955-AE93-6048996132F4}"/>
    <hyperlink ref="A675" r:id="rId669" xr:uid="{16186674-CCA4-4152-9C91-5F7092C78188}"/>
    <hyperlink ref="A676" r:id="rId670" xr:uid="{4F75B0D6-78FE-4BB9-8C57-F84ED17FC61C}"/>
    <hyperlink ref="A677" r:id="rId671" xr:uid="{A6D3B6A6-4DC7-42F2-8C00-1F3ACE0C3538}"/>
    <hyperlink ref="A678" r:id="rId672" xr:uid="{25E3E28C-269A-45AD-AC32-2770D4C5ED45}"/>
    <hyperlink ref="A679" r:id="rId673" xr:uid="{685A3C69-9D04-4E5F-81DA-2920E167D23C}"/>
    <hyperlink ref="A680" r:id="rId674" xr:uid="{F8A8F211-2990-455F-B435-A2E3AEF4A571}"/>
    <hyperlink ref="A681" r:id="rId675" xr:uid="{B0F36724-45A0-4BA6-8D0C-599F48F17C6F}"/>
    <hyperlink ref="A682" r:id="rId676" xr:uid="{4E1A0796-C48C-4B5D-B932-F8E4AD14A332}"/>
    <hyperlink ref="A683" r:id="rId677" xr:uid="{A87171DB-5568-4035-8E63-775AAC81EF10}"/>
    <hyperlink ref="A684" r:id="rId678" xr:uid="{3DFF70B4-8632-4F30-9C72-4C03B87C680C}"/>
    <hyperlink ref="A685" r:id="rId679" xr:uid="{FB2E94D9-3116-4BBB-970D-705F9ABBC9B9}"/>
    <hyperlink ref="A686" r:id="rId680" xr:uid="{7DF246DA-C58A-4BF5-86A6-D245B0E2D9B0}"/>
    <hyperlink ref="A687" r:id="rId681" xr:uid="{22751B08-B7C7-4438-A0BA-A6F8BAA8E7AD}"/>
    <hyperlink ref="A688" r:id="rId682" xr:uid="{9933FDA4-6C78-4CE2-91D8-D4FB19F6EADC}"/>
    <hyperlink ref="A689" r:id="rId683" xr:uid="{A103074C-715D-40A3-82D1-99C86D375B16}"/>
    <hyperlink ref="A690" r:id="rId684" xr:uid="{BEFE8C5E-913A-4EE9-9FA9-B8E892FF39EA}"/>
    <hyperlink ref="A691" r:id="rId685" xr:uid="{63BB4509-04BC-4ACE-AA4A-816648F20561}"/>
    <hyperlink ref="A692" r:id="rId686" xr:uid="{D3183B2E-E336-448D-83F8-615167B791F9}"/>
    <hyperlink ref="A693" r:id="rId687" xr:uid="{DAB1EEA0-66AC-473D-8FD4-A44E2AAE3F32}"/>
    <hyperlink ref="A694" r:id="rId688" xr:uid="{FA5F566D-A348-45AD-A163-037E0A3E38F0}"/>
    <hyperlink ref="A695" r:id="rId689" xr:uid="{C4D68289-D644-410F-B518-4E98451B0EDC}"/>
    <hyperlink ref="A696" r:id="rId690" xr:uid="{56C30F5A-E4F5-4D9A-A4A7-C0B7186F35EF}"/>
    <hyperlink ref="A697" r:id="rId691" xr:uid="{77F16436-5408-4F22-9505-FBC30B79561E}"/>
    <hyperlink ref="A698" r:id="rId692" xr:uid="{CE3C75F0-A96B-4643-92CE-81C47BCB8A5F}"/>
    <hyperlink ref="A699" r:id="rId693" xr:uid="{A5D3EA8B-7E6F-496B-BCF2-C6B804E1DC83}"/>
    <hyperlink ref="A700" r:id="rId694" xr:uid="{4B57FD21-6DA0-4305-8107-3DEFEB4C734A}"/>
    <hyperlink ref="A701" r:id="rId695" xr:uid="{A04A3DF8-E8F8-4BB4-A6B7-F0E9FCFC570E}"/>
    <hyperlink ref="A702" r:id="rId696" xr:uid="{5E23D76B-F4C0-464C-9ED3-EAF7BA070AE3}"/>
    <hyperlink ref="A703" r:id="rId697" xr:uid="{5EEE62C4-F1E1-455A-8193-99450C72E234}"/>
    <hyperlink ref="A704" r:id="rId698" xr:uid="{B8379F00-D4FE-4809-AB25-8F0D829FD6B1}"/>
    <hyperlink ref="A705" r:id="rId699" xr:uid="{D923B423-3769-4A7A-A549-6DF48EC01A92}"/>
    <hyperlink ref="A706" r:id="rId700" xr:uid="{8CF40A65-7F09-46BA-AB77-DA3EE19E87FE}"/>
    <hyperlink ref="A707" r:id="rId701" xr:uid="{115BD4F4-B35E-4EB0-B059-A21B308757B7}"/>
    <hyperlink ref="A708" r:id="rId702" xr:uid="{9C6B0171-7A16-48FD-9408-D5E5520B5FAD}"/>
    <hyperlink ref="A709" r:id="rId703" xr:uid="{FBCA9E54-C46F-43FE-A8FC-BA9F1981CBDF}"/>
    <hyperlink ref="A710" r:id="rId704" xr:uid="{A4AA258F-662F-4AC4-86BD-BF4CFF96F8A0}"/>
    <hyperlink ref="A711" r:id="rId705" xr:uid="{68489257-C5CE-40D9-AC62-9329993B1FA7}"/>
    <hyperlink ref="A712" r:id="rId706" xr:uid="{6F180C03-77EB-41FF-BD5B-CD5D6732DF2A}"/>
    <hyperlink ref="A713" r:id="rId707" xr:uid="{65824981-EE96-4736-872C-76F5CA12E2A9}"/>
    <hyperlink ref="A714" r:id="rId708" xr:uid="{EC947D05-31D6-4FCD-9C17-DE5B57FE0E72}"/>
    <hyperlink ref="A715" r:id="rId709" xr:uid="{4D327F76-12DE-46A0-8B16-3F66E377A4D5}"/>
    <hyperlink ref="A716" r:id="rId710" xr:uid="{C1B93F4E-5631-47D4-8D24-852C85ABB0ED}"/>
    <hyperlink ref="A717" r:id="rId711" xr:uid="{967F517F-66AC-47BA-8B32-1B4C54AEECCB}"/>
    <hyperlink ref="A718" r:id="rId712" xr:uid="{99BF840A-E05A-419C-BA9F-8964DFA2E6A9}"/>
    <hyperlink ref="A719" r:id="rId713" xr:uid="{2BBB715F-CDE3-4F59-AB00-A8EAC22A0850}"/>
    <hyperlink ref="A720" r:id="rId714" xr:uid="{14851491-9E8B-4168-828F-634CEEDF5675}"/>
    <hyperlink ref="A721" r:id="rId715" xr:uid="{6E8B1DC5-9CD0-4CD3-8166-917819DE93A4}"/>
    <hyperlink ref="A722" r:id="rId716" xr:uid="{97CC9D87-9BCF-4ECC-9EB3-794C55867C83}"/>
    <hyperlink ref="A723" r:id="rId717" xr:uid="{99A45576-3822-487C-8D5F-D16CEF2EC1B4}"/>
    <hyperlink ref="A724" r:id="rId718" xr:uid="{DDFDEB96-269D-4AE3-8C8A-E6CEDC21A9F6}"/>
    <hyperlink ref="A725" r:id="rId719" xr:uid="{8838E180-154B-4AD8-9A30-8D2E25EB87EA}"/>
    <hyperlink ref="A726" r:id="rId720" xr:uid="{59604373-A0B1-4030-81EB-2BF7AEFC718F}"/>
    <hyperlink ref="A727" r:id="rId721" xr:uid="{37257E68-BD6C-44FE-AB7A-4D33F07556DF}"/>
    <hyperlink ref="A728" r:id="rId722" xr:uid="{50EAEDCB-AAB3-4042-8FE7-E92E28974DB4}"/>
    <hyperlink ref="A729" r:id="rId723" xr:uid="{4587A061-351B-48A4-9B03-5D079BF010D0}"/>
    <hyperlink ref="A730" r:id="rId724" xr:uid="{6E07F89E-7AF1-4538-9FDD-E56F4B7D81DB}"/>
    <hyperlink ref="A731" r:id="rId725" xr:uid="{FA939DC0-9AE2-40A8-934D-B0E9E388CF5D}"/>
    <hyperlink ref="A732" r:id="rId726" xr:uid="{1D2AFF8B-207C-49E2-8569-0B4354C7EEAB}"/>
    <hyperlink ref="A733" r:id="rId727" xr:uid="{0FF18FF6-6DDB-4C37-8998-0BD6D6160148}"/>
    <hyperlink ref="A734" r:id="rId728" xr:uid="{EB8373B9-96D4-48AB-B09A-D35E2D81AFC2}"/>
    <hyperlink ref="A735" r:id="rId729" xr:uid="{4D33FBC4-E65C-440A-A23F-E8364448D4D1}"/>
    <hyperlink ref="A736" r:id="rId730" xr:uid="{62EC99F8-6EC0-4A2D-A653-78E23B1F1645}"/>
    <hyperlink ref="A737" r:id="rId731" xr:uid="{2CA7CE7B-D0DE-4B74-A9FF-7560A5C43388}"/>
    <hyperlink ref="A738" r:id="rId732" xr:uid="{5ADDEF4B-4EC0-4497-9DD1-F21E73839064}"/>
    <hyperlink ref="A739" r:id="rId733" xr:uid="{32977861-E657-40FF-A51C-C6C2A3E38D2B}"/>
    <hyperlink ref="A740" r:id="rId734" xr:uid="{77C0D03B-7D59-469B-81E9-7A87536218F2}"/>
    <hyperlink ref="A741" r:id="rId735" xr:uid="{FB7A8493-48D3-438C-8033-799D1E162D6D}"/>
    <hyperlink ref="A742" r:id="rId736" xr:uid="{406C32FE-F854-438B-8B45-16411F67D58B}"/>
    <hyperlink ref="A743" r:id="rId737" xr:uid="{7B5E1F8C-0BE7-41F9-ADFF-D0259464D4B9}"/>
    <hyperlink ref="A744" r:id="rId738" xr:uid="{6995F365-EAC6-4778-B7DB-8F8C90B02124}"/>
    <hyperlink ref="A745" r:id="rId739" xr:uid="{02EFFE40-B169-44AB-B1BE-B85DBF3A3DB1}"/>
    <hyperlink ref="A746" r:id="rId740" xr:uid="{4369512E-D244-45CB-AA70-840596E4EBE7}"/>
    <hyperlink ref="A747" r:id="rId741" xr:uid="{45E9B2C0-2752-4706-8C73-BAB9BC0BBAF8}"/>
    <hyperlink ref="A748" r:id="rId742" xr:uid="{F276C418-8475-4DDC-AE73-5C8A8AF587D3}"/>
    <hyperlink ref="A749" r:id="rId743" xr:uid="{5A2D2F46-7548-43B0-8346-135BDA50FC11}"/>
    <hyperlink ref="A750" r:id="rId744" xr:uid="{2DCCC650-283C-4C12-BAB6-AC99D0B7237D}"/>
    <hyperlink ref="A751" r:id="rId745" xr:uid="{5C8E018F-DD91-46A2-888D-6D5F1B4B5BB1}"/>
    <hyperlink ref="A752" r:id="rId746" xr:uid="{437A845F-3BA5-4862-BCD1-7FDE3CE4FD9E}"/>
    <hyperlink ref="A753" r:id="rId747" xr:uid="{E60F2A8C-978E-44D3-96BA-2D4724A4A25C}"/>
    <hyperlink ref="A754" r:id="rId748" xr:uid="{8CD9A8C2-84B8-40DB-A9B6-F178B6294EA4}"/>
    <hyperlink ref="A755" r:id="rId749" xr:uid="{1E99E0D0-5B01-4781-AA8B-B69A1FC3DFF6}"/>
    <hyperlink ref="A756" r:id="rId750" xr:uid="{0A369790-20FB-4189-8276-D3F6531A46F0}"/>
    <hyperlink ref="A757" r:id="rId751" xr:uid="{19A25C51-B45B-45E0-A8E9-6A3C213BFCFA}"/>
    <hyperlink ref="A758" r:id="rId752" xr:uid="{E3AED898-B643-4F5D-A944-85085604B196}"/>
    <hyperlink ref="A759" r:id="rId753" xr:uid="{D9990868-A6FA-42C9-85C4-15BD2A90B8F9}"/>
    <hyperlink ref="A760" r:id="rId754" xr:uid="{D81091E6-4444-4C2B-A33B-8E07C01453B0}"/>
    <hyperlink ref="A761" r:id="rId755" xr:uid="{F8FB7480-D463-468E-8BCE-A1CAE9010ECB}"/>
    <hyperlink ref="A762" r:id="rId756" xr:uid="{6A529C34-2F5D-4FF7-9D4C-9DA938F4457B}"/>
    <hyperlink ref="A763" r:id="rId757" xr:uid="{4E745F3E-C6F6-496A-94D2-D4500FA68062}"/>
    <hyperlink ref="A764" r:id="rId758" xr:uid="{42241955-C25B-468C-A8D8-5FAC6F76650F}"/>
    <hyperlink ref="A765" r:id="rId759" xr:uid="{ED5584D8-A962-4F81-8228-2E63BE1C9DFF}"/>
    <hyperlink ref="A766" r:id="rId760" xr:uid="{8CA20697-B0D3-48D1-A300-9955B2159A81}"/>
    <hyperlink ref="A767" r:id="rId761" xr:uid="{A1473FB5-CE69-450F-8FF9-BF1B1F17CF09}"/>
    <hyperlink ref="A768" r:id="rId762" xr:uid="{60186666-4605-4BE2-957F-D611E5A2C4A1}"/>
    <hyperlink ref="A769" r:id="rId763" xr:uid="{5FED4673-B24B-4115-94A6-FE54BA5FC8F2}"/>
    <hyperlink ref="A770" r:id="rId764" xr:uid="{74C6417C-7DCF-420B-9008-798B134B9A29}"/>
    <hyperlink ref="A771" r:id="rId765" xr:uid="{905C1C7B-BFCE-42DC-BA0E-EA19BA9636FB}"/>
    <hyperlink ref="A772" r:id="rId766" xr:uid="{1A03AC7A-D852-4686-80F3-912B3B08C2B0}"/>
    <hyperlink ref="A773" r:id="rId767" xr:uid="{E0FB7F70-03AC-4031-AAF7-171DA04F0AF7}"/>
    <hyperlink ref="A774" r:id="rId768" xr:uid="{4E36EDDD-5439-460A-BA4E-DBC78A5CEFEF}"/>
    <hyperlink ref="A775" r:id="rId769" xr:uid="{1C10739D-9875-4102-8FAC-43FD46EC346D}"/>
    <hyperlink ref="A776" r:id="rId770" xr:uid="{51BE8DA0-606A-4A53-BE54-69EE9DCAF125}"/>
    <hyperlink ref="A777" r:id="rId771" xr:uid="{A72FEA00-64F3-474C-B81E-554F0174CF44}"/>
    <hyperlink ref="A778" r:id="rId772" xr:uid="{48986385-2832-4A72-925F-A1FEE47C71CF}"/>
    <hyperlink ref="A779" r:id="rId773" xr:uid="{D7BAB57E-DFC8-4F34-BA35-8BD9AADBF213}"/>
    <hyperlink ref="A780" r:id="rId774" xr:uid="{5E870D3B-500A-4ABC-8DD3-FD6A6FD45966}"/>
    <hyperlink ref="A781" r:id="rId775" xr:uid="{55870FA3-402A-4A05-8F14-E2F705A802E3}"/>
    <hyperlink ref="A782" r:id="rId776" xr:uid="{E1C73131-916E-4936-9ADF-F28024333BA1}"/>
    <hyperlink ref="A783" r:id="rId777" xr:uid="{88D9E269-7026-4E8B-8213-03705FF44210}"/>
    <hyperlink ref="A784" r:id="rId778" xr:uid="{845DE634-73A9-469B-9111-E995EB3DB118}"/>
    <hyperlink ref="A785" r:id="rId779" xr:uid="{14DB8CCA-9CB8-46D5-9B8F-7BC3B9859E83}"/>
    <hyperlink ref="A786" r:id="rId780" xr:uid="{8322C853-CAA2-49A4-9183-9F6436F4F8CC}"/>
    <hyperlink ref="A787" r:id="rId781" xr:uid="{7A77D884-B0CB-4A3A-8293-47EE0553526A}"/>
    <hyperlink ref="A788" r:id="rId782" xr:uid="{E1FFE55E-EB99-4ED2-AC53-4244EC6E9A61}"/>
    <hyperlink ref="A789" r:id="rId783" xr:uid="{FF33E380-DAEE-49DB-AC1B-89FE8811B678}"/>
    <hyperlink ref="A790" r:id="rId784" xr:uid="{CF217818-854F-4B59-86A8-5557B8E445F2}"/>
    <hyperlink ref="A791" r:id="rId785" xr:uid="{A8DF624A-2829-4771-A036-B69E638E3159}"/>
    <hyperlink ref="A792" r:id="rId786" xr:uid="{353DB613-8479-413A-9181-B9BF96C7D614}"/>
    <hyperlink ref="A793" r:id="rId787" xr:uid="{93B13EC4-B13D-4E86-8837-7B3C2B812AF4}"/>
    <hyperlink ref="A794" r:id="rId788" xr:uid="{7B0E11B0-D94C-411C-820B-EB3A6A9C11FF}"/>
    <hyperlink ref="A795" r:id="rId789" xr:uid="{3238438D-C12D-460F-8038-B1BD02B547D5}"/>
    <hyperlink ref="A796" r:id="rId790" xr:uid="{BDF14EF1-9032-45D1-AEAF-92884EDE8A7B}"/>
    <hyperlink ref="A797" r:id="rId791" xr:uid="{16C0D83F-1047-4E42-A8DE-7FA94F56FFE2}"/>
    <hyperlink ref="A798" r:id="rId792" xr:uid="{2D9B36EE-1FB2-4A54-BEFB-2BB31F1D37BB}"/>
    <hyperlink ref="A799" r:id="rId793" xr:uid="{50C310EB-0F90-45B6-9A12-3064039D9A8B}"/>
    <hyperlink ref="A800" r:id="rId794" xr:uid="{98F41D81-AA9D-4A1A-9FD5-9F4D0D889350}"/>
    <hyperlink ref="A801" r:id="rId795" xr:uid="{7975C0CD-9447-4120-932A-74B337D0E5C5}"/>
    <hyperlink ref="A802" r:id="rId796" xr:uid="{0A5BB404-65A1-49F7-8266-6119330B8DF5}"/>
    <hyperlink ref="A803" r:id="rId797" xr:uid="{DD2ADE0C-D56B-4577-BA8B-27025C052E1B}"/>
    <hyperlink ref="A804" r:id="rId798" xr:uid="{E91D63FD-9E45-4898-ACBB-A6FBC25109E8}"/>
    <hyperlink ref="A805" r:id="rId799" xr:uid="{FFA9504C-F784-4CDF-842F-E76CC4BC5B75}"/>
    <hyperlink ref="A806" r:id="rId800" xr:uid="{9F57A973-AB0B-4F18-A3CE-2AF79E1F01E9}"/>
    <hyperlink ref="A807" r:id="rId801" xr:uid="{DFE11A48-826E-4634-92C8-C777922C46F4}"/>
    <hyperlink ref="A808" r:id="rId802" xr:uid="{1712A5C3-EC08-4559-8108-42C05088C910}"/>
    <hyperlink ref="A809" r:id="rId803" xr:uid="{7FCDBD27-A5BB-44A1-9A00-2AE20D4474E7}"/>
    <hyperlink ref="A810" r:id="rId804" xr:uid="{B8E3CF16-17BB-4130-B603-68FC1BFABA66}"/>
    <hyperlink ref="A811" r:id="rId805" xr:uid="{8B624C8B-3301-4F77-9B5D-154EC0A9076D}"/>
    <hyperlink ref="A812" r:id="rId806" xr:uid="{4A8EF06A-8175-4A4B-B255-9AAC7F0EF414}"/>
    <hyperlink ref="A813" r:id="rId807" xr:uid="{51C15F6C-F6D8-4DD2-855B-298ACAFD153C}"/>
    <hyperlink ref="A814" r:id="rId808" xr:uid="{D3F05101-A495-4F66-8F43-B601912D0FF0}"/>
    <hyperlink ref="A815" r:id="rId809" xr:uid="{7DC0BC6D-3780-48CB-8A55-5B4398C204D4}"/>
    <hyperlink ref="A816" r:id="rId810" xr:uid="{23D8F5BC-F795-4346-891F-24F05FCFC800}"/>
    <hyperlink ref="A817" r:id="rId811" xr:uid="{2D1C1DB0-2BC0-40EE-9542-0F1D891DE5E5}"/>
    <hyperlink ref="A818" r:id="rId812" xr:uid="{BEBD0C64-C6D3-43E2-A12F-D965E2B4324E}"/>
    <hyperlink ref="A819" r:id="rId813" xr:uid="{EDC7B870-8864-4D76-8204-44D5DC667829}"/>
    <hyperlink ref="A820" r:id="rId814" xr:uid="{725D1ACC-EC26-47B1-A099-FF14C6065825}"/>
    <hyperlink ref="A821" r:id="rId815" xr:uid="{DD87D75C-DCF4-42DD-A441-027C0A10A529}"/>
    <hyperlink ref="A822" r:id="rId816" xr:uid="{5B60861C-B978-47CC-B925-EDAFA542200C}"/>
    <hyperlink ref="A823" r:id="rId817" xr:uid="{568133CB-51EA-4F4D-B4F3-CD7B1B38AEB4}"/>
    <hyperlink ref="A824" r:id="rId818" xr:uid="{DECA75CD-B411-4C6D-BDA8-981E15DC5646}"/>
    <hyperlink ref="A825" r:id="rId819" xr:uid="{9F4E551D-BFBC-4224-9D89-8B996A072A69}"/>
    <hyperlink ref="A826" r:id="rId820" xr:uid="{3F6404D3-0552-42FF-A966-55FE2C102AD0}"/>
    <hyperlink ref="A827" r:id="rId821" xr:uid="{8EF1EE5A-4E24-464B-AFE1-51DE3C0746F3}"/>
    <hyperlink ref="A828" r:id="rId822" xr:uid="{5B2B6B40-707A-4E29-A93B-7CE8F868CF24}"/>
    <hyperlink ref="A829" r:id="rId823" xr:uid="{6024BB3D-C667-4691-BF5D-5EDC06D6BD6F}"/>
    <hyperlink ref="A830" r:id="rId824" xr:uid="{065465E7-2154-47ED-9056-FF1AA7372E4C}"/>
    <hyperlink ref="A831" r:id="rId825" xr:uid="{E7735DA6-0EF4-44F2-AC8F-5AFCC22292A8}"/>
    <hyperlink ref="A832" r:id="rId826" xr:uid="{857C7C4D-B9C6-4413-B69D-B83BB39188BC}"/>
    <hyperlink ref="A833" r:id="rId827" xr:uid="{EE936E3D-6B4C-4821-97BD-31F42D30C9D8}"/>
    <hyperlink ref="A834" r:id="rId828" xr:uid="{32022B1E-7089-435D-8E0B-9F5B219BB82B}"/>
    <hyperlink ref="A835" r:id="rId829" xr:uid="{8FBB425E-5594-44D8-87CA-FC8F10AB6E58}"/>
    <hyperlink ref="A836" r:id="rId830" xr:uid="{0DC96D8B-065B-4925-BB62-82183EE08C8A}"/>
    <hyperlink ref="A837" r:id="rId831" xr:uid="{2F8CE1FC-5A9A-44D5-9FE6-593E23846CE1}"/>
    <hyperlink ref="A838" r:id="rId832" xr:uid="{4F1CE4D3-B9CF-4372-8B42-1C098C70E1E8}"/>
    <hyperlink ref="A839" r:id="rId833" xr:uid="{CEFDB704-7A1C-4C8D-BDBD-9DF84C8B904B}"/>
    <hyperlink ref="A840" r:id="rId834" xr:uid="{54FF8475-CAC9-4443-97EF-902913F2F528}"/>
    <hyperlink ref="A841" r:id="rId835" xr:uid="{8EF46673-72A0-4C09-974A-0B11284E6887}"/>
    <hyperlink ref="A842" r:id="rId836" xr:uid="{30F57ABF-35A8-4467-B1F7-78E603B24F72}"/>
    <hyperlink ref="A843" r:id="rId837" xr:uid="{7E802A13-A115-4627-8E30-3FB21697A1FC}"/>
    <hyperlink ref="A844" r:id="rId838" xr:uid="{38307A0B-F453-4F66-A37B-6EE502CBAAD6}"/>
    <hyperlink ref="A845" r:id="rId839" xr:uid="{26AB4589-19F9-4152-9219-17B79A1E7B1E}"/>
    <hyperlink ref="A846" r:id="rId840" xr:uid="{DCAD548B-778A-4EFF-8B34-4B30EEB56BFA}"/>
    <hyperlink ref="A847" r:id="rId841" xr:uid="{2BB0C7F9-345C-40D7-A526-D4E74B694D7F}"/>
    <hyperlink ref="A848" r:id="rId842" xr:uid="{1CB65DF3-578A-4B56-ADD7-928F4D8A3F8A}"/>
    <hyperlink ref="A849" r:id="rId843" xr:uid="{D1519C28-83D3-47E2-9297-CA2066781669}"/>
    <hyperlink ref="A850" r:id="rId844" xr:uid="{FABFA71B-A442-4145-92B9-12FE24ADEE50}"/>
    <hyperlink ref="A851" r:id="rId845" xr:uid="{F571D0B7-3630-4AA8-9F9F-A78779FD364B}"/>
    <hyperlink ref="A852" r:id="rId846" xr:uid="{C2793A8E-D74F-4E9E-A5C3-6BD046EF113E}"/>
    <hyperlink ref="A853" r:id="rId847" xr:uid="{8F689D46-F90C-4D95-97D1-DB763C84A6C9}"/>
    <hyperlink ref="A854" r:id="rId848" xr:uid="{10A6A935-BEB1-420C-B453-566A47930A1C}"/>
    <hyperlink ref="A855" r:id="rId849" xr:uid="{64C02C02-EDE7-4C5C-9F14-37D9CF26C332}"/>
    <hyperlink ref="A856" r:id="rId850" xr:uid="{D5B5CD9B-A1F5-4283-83E2-64CED45ABD86}"/>
    <hyperlink ref="A857" r:id="rId851" xr:uid="{D4506059-7196-4FFF-9626-B5BE66DD795D}"/>
    <hyperlink ref="A858" r:id="rId852" xr:uid="{CF63A7FE-75BA-481A-A67A-BFA3B0B8FB7F}"/>
    <hyperlink ref="A859" r:id="rId853" xr:uid="{6EC79EEF-0F11-45CB-906E-85686DD8DE2C}"/>
    <hyperlink ref="A860" r:id="rId854" xr:uid="{F4F17622-5127-490E-A563-B1C66501DDD9}"/>
    <hyperlink ref="A861" r:id="rId855" xr:uid="{250B3A5A-0EB1-47FB-855B-CD654D8D4EE0}"/>
    <hyperlink ref="A862" r:id="rId856" xr:uid="{4385AB79-4B2D-4986-906C-1F7E6C497CFC}"/>
    <hyperlink ref="A863" r:id="rId857" xr:uid="{9B58AB4D-B0CD-4BD9-A258-69C25FE102A8}"/>
    <hyperlink ref="A864" r:id="rId858" xr:uid="{5520B58F-1CCB-4602-83BB-F487A3B9932D}"/>
    <hyperlink ref="A865" r:id="rId859" xr:uid="{F80A8584-5B3F-438E-B23F-1499E533A879}"/>
    <hyperlink ref="A866" r:id="rId860" xr:uid="{40D8D58C-E967-49D5-B13D-948041CEE6AE}"/>
    <hyperlink ref="A867" r:id="rId861" xr:uid="{0593EB69-7738-4B88-A497-9451E4D102F1}"/>
    <hyperlink ref="A868" r:id="rId862" xr:uid="{04EAA8AD-DDA5-4055-84BF-C06AD74A330F}"/>
    <hyperlink ref="A869" r:id="rId863" xr:uid="{1C1943CD-BEAB-4D44-9585-7D9109E1D7D7}"/>
    <hyperlink ref="A870" r:id="rId864" xr:uid="{DA37E3B2-C6C2-403D-86FA-31CD4B704EDB}"/>
    <hyperlink ref="A871" r:id="rId865" xr:uid="{2C7D028C-8571-439C-B92F-01AD9692565C}"/>
    <hyperlink ref="A872" r:id="rId866" xr:uid="{84D251B5-7D31-4FCB-BD7C-7701894854C8}"/>
    <hyperlink ref="A873" r:id="rId867" xr:uid="{86F25071-1B4C-40DF-8D93-6E76E9E48279}"/>
    <hyperlink ref="A874" r:id="rId868" xr:uid="{C4719D74-745D-491C-8D8E-888D960FED31}"/>
    <hyperlink ref="A875" r:id="rId869" xr:uid="{904C430A-B8E1-4E8B-A58D-DFBE749F5654}"/>
    <hyperlink ref="A876" r:id="rId870" xr:uid="{B2CC63B9-0194-49DF-BA38-572D60E2E7F3}"/>
    <hyperlink ref="A877" r:id="rId871" xr:uid="{63D3666C-C420-45DD-8C89-70B5E0FF91CC}"/>
    <hyperlink ref="A878" r:id="rId872" xr:uid="{67F44CC5-00F6-41D8-AC29-4059D7B5B28C}"/>
    <hyperlink ref="A879" r:id="rId873" xr:uid="{CFE08AC7-6A36-4879-A153-2406C7726690}"/>
    <hyperlink ref="A880" r:id="rId874" xr:uid="{FCFE1E2F-A576-44CF-8986-DF62A1C5394B}"/>
    <hyperlink ref="A881" r:id="rId875" xr:uid="{B2AAFBB3-C003-430C-A579-FE7F753C2661}"/>
    <hyperlink ref="A882" r:id="rId876" xr:uid="{5AB7628A-3B5C-4B15-ADC9-1A63B731668F}"/>
    <hyperlink ref="A883" r:id="rId877" xr:uid="{B0EBC90F-4BE2-4CB3-8BC3-DEDB4AC9F8ED}"/>
    <hyperlink ref="A884" r:id="rId878" xr:uid="{A8E1C85B-1654-4B49-94C9-9E9C5D2477AB}"/>
    <hyperlink ref="A885" r:id="rId879" xr:uid="{BA7D6A24-92BF-45F9-8A87-7E0C78194F8D}"/>
    <hyperlink ref="A886" r:id="rId880" xr:uid="{B6F1417F-EAC7-4A6C-AB03-E940629DF0F7}"/>
    <hyperlink ref="A887" r:id="rId881" xr:uid="{20AB3979-57D7-446D-8D7D-EAA5E071557D}"/>
    <hyperlink ref="A888" r:id="rId882" xr:uid="{A17399B6-C458-4D21-A985-2EECD149712B}"/>
    <hyperlink ref="A889" r:id="rId883" xr:uid="{C9B6C6FF-E230-4E43-B49A-B540491CB4EF}"/>
    <hyperlink ref="A890" r:id="rId884" xr:uid="{B66F68C7-FFBE-43F4-85D6-7B17C627D4B7}"/>
    <hyperlink ref="A891" r:id="rId885" xr:uid="{A4977CDD-1DEA-48ED-92A3-74B9FD22F2D2}"/>
    <hyperlink ref="A892" r:id="rId886" xr:uid="{76295059-067C-42A5-A211-5C37DDEB9433}"/>
    <hyperlink ref="A893" r:id="rId887" xr:uid="{062D2B96-F52C-496D-BDAF-C8F3903655DF}"/>
    <hyperlink ref="A894" r:id="rId888" xr:uid="{599FBB7F-C3C0-4204-A420-BE0189D1310A}"/>
    <hyperlink ref="A895" r:id="rId889" xr:uid="{825744CD-7CD7-4695-B88F-9935B5CEFCD5}"/>
    <hyperlink ref="A896" r:id="rId890" xr:uid="{BFD50264-E73C-4CDE-8CD0-ACE35D8091CE}"/>
    <hyperlink ref="A897" r:id="rId891" xr:uid="{BBB75EEB-9000-427F-99E1-97112D1FC47B}"/>
    <hyperlink ref="A898" r:id="rId892" xr:uid="{3F8BA147-FCDB-4736-ACDA-369DB5DB29B5}"/>
    <hyperlink ref="A899" r:id="rId893" xr:uid="{08B7D75E-F935-4FBD-BB24-8A3A296FA7A2}"/>
    <hyperlink ref="A900" r:id="rId894" xr:uid="{43D8D490-1D11-4A7C-BE22-2D6D2B338F84}"/>
    <hyperlink ref="A901" r:id="rId895" xr:uid="{08F3A423-CBE0-410B-B776-B2F89C3D7988}"/>
    <hyperlink ref="A902" r:id="rId896" xr:uid="{C2E0CFB6-D061-4CC2-8219-2EAEBE047265}"/>
    <hyperlink ref="A903" r:id="rId897" xr:uid="{67E450E8-7F49-49FE-B866-CF89DDDFB4E1}"/>
    <hyperlink ref="A904" r:id="rId898" xr:uid="{9721C286-CDC4-4051-8FD7-81555EFA90FF}"/>
    <hyperlink ref="A905" r:id="rId899" xr:uid="{0F3A1CF1-8776-4A9D-B3EB-C317A8CD554D}"/>
    <hyperlink ref="A906" r:id="rId900" xr:uid="{B9D9941E-A1F1-4134-9CAE-657CF3E1CE89}"/>
    <hyperlink ref="A907" r:id="rId901" xr:uid="{42D67D38-9911-4128-B7FD-FF98A1810B38}"/>
    <hyperlink ref="A908" r:id="rId902" xr:uid="{82DA3C8A-5567-42A8-8604-45650EC4832C}"/>
    <hyperlink ref="A909" r:id="rId903" xr:uid="{F2D83C21-49AE-4C76-84AD-22FF76DE1F21}"/>
    <hyperlink ref="A910" r:id="rId904" xr:uid="{88E1DF28-2E72-4158-A532-DEFF453E46F2}"/>
    <hyperlink ref="A911" r:id="rId905" xr:uid="{5ED10C28-9076-4B4F-8B33-69D70B99FD5F}"/>
    <hyperlink ref="A912" r:id="rId906" xr:uid="{7617FC47-8E9C-4FBC-899F-F496E85AAD8F}"/>
    <hyperlink ref="A913" r:id="rId907" xr:uid="{94F6984B-58A7-4EDD-8072-33E8F0181848}"/>
    <hyperlink ref="A914" r:id="rId908" xr:uid="{25DE32B8-C35B-4E9C-90BE-BF7E78FF22B5}"/>
    <hyperlink ref="A915" r:id="rId909" xr:uid="{7D06DE49-A483-4597-A5AE-421EB4006CDC}"/>
    <hyperlink ref="A916" r:id="rId910" xr:uid="{CD228FFD-8D56-4AE0-8E01-BD81CB52D902}"/>
    <hyperlink ref="A917" r:id="rId911" xr:uid="{DD3353E1-5091-4389-850F-6532AE75B808}"/>
    <hyperlink ref="A918" r:id="rId912" xr:uid="{EEEB6621-54EB-4250-9407-EE7535756B01}"/>
    <hyperlink ref="A919" r:id="rId913" xr:uid="{8F4922B0-A3AC-4CCE-A99F-67C3B0AA44C2}"/>
    <hyperlink ref="A920" r:id="rId914" xr:uid="{7AF16B28-8E07-419F-AB65-6EF15DD67BFA}"/>
    <hyperlink ref="A921" r:id="rId915" xr:uid="{2E25622B-EB05-4E38-A0A2-E9E1AAE76B01}"/>
    <hyperlink ref="A922" r:id="rId916" xr:uid="{2A22FFB2-A98B-4492-87BE-20B117ECFA63}"/>
    <hyperlink ref="A923" r:id="rId917" xr:uid="{69614A8B-4D87-4C08-ACA3-268467F2E447}"/>
    <hyperlink ref="A924" r:id="rId918" xr:uid="{04C50BAB-40DB-41EA-8C69-AE016E5B0FCD}"/>
    <hyperlink ref="A925" r:id="rId919" xr:uid="{2F8DB875-AFA2-404F-B274-990F41C0FFE8}"/>
    <hyperlink ref="A926" r:id="rId920" xr:uid="{8CE545AC-E8DD-4DE2-A332-66BFDF938F49}"/>
    <hyperlink ref="A927" r:id="rId921" xr:uid="{0F57D18D-EACC-4C4C-85C3-32A1D1F4E043}"/>
    <hyperlink ref="A928" r:id="rId922" xr:uid="{C34B8F6F-B663-417E-93A5-BD686DBB425A}"/>
    <hyperlink ref="A929" r:id="rId923" xr:uid="{13C288B3-22F8-407D-8D8F-6FA303DFF0D0}"/>
    <hyperlink ref="A930" r:id="rId924" xr:uid="{ACD963E8-54BC-4A4B-83A2-0C01EB8A0F6A}"/>
    <hyperlink ref="A931" r:id="rId925" xr:uid="{97FE561B-C38E-40CB-96B6-966702C73776}"/>
    <hyperlink ref="A932" r:id="rId926" xr:uid="{F5252FEB-D714-4391-B5D0-781AAC2B3FE1}"/>
    <hyperlink ref="A933" r:id="rId927" xr:uid="{AC30C9C5-1D8E-40DA-B63F-5CCBCC4D0315}"/>
    <hyperlink ref="A934" r:id="rId928" xr:uid="{CE4DE5A0-36CF-489B-87C0-A7F41F91049F}"/>
    <hyperlink ref="A935" r:id="rId929" xr:uid="{413499B8-AA5D-4727-8A8B-BDE21457F027}"/>
    <hyperlink ref="A936" r:id="rId930" xr:uid="{D55C38AF-FDA5-4420-802C-C2CF3F45F30A}"/>
    <hyperlink ref="A937" r:id="rId931" xr:uid="{E7E8396E-FD7D-4EFD-A0C4-FBD0273BD53D}"/>
    <hyperlink ref="A938" r:id="rId932" xr:uid="{FDAB1A69-C7BB-49A4-8A35-FB9DC7DB6814}"/>
    <hyperlink ref="A939" r:id="rId933" xr:uid="{D878FAF0-2660-442C-B2FB-49F243CE8420}"/>
    <hyperlink ref="A940" r:id="rId934" xr:uid="{520BB344-0A37-4B92-86F8-049CA0F6D6FD}"/>
    <hyperlink ref="A941" r:id="rId935" xr:uid="{F5240DDC-2E8D-4D40-BC30-5D7B85276824}"/>
    <hyperlink ref="A942" r:id="rId936" xr:uid="{4AF048BD-E462-4C33-9331-91CAC6066AA4}"/>
    <hyperlink ref="A943" r:id="rId937" xr:uid="{B6E21A1A-375D-4D13-936F-E0D4DCD8A064}"/>
    <hyperlink ref="A944" r:id="rId938" xr:uid="{C17DF09C-0F16-4ACC-9721-2F9103DC5BCA}"/>
    <hyperlink ref="A945" r:id="rId939" xr:uid="{645C7DAA-31A5-403D-8869-EB5D76AB1D06}"/>
    <hyperlink ref="A946" r:id="rId940" xr:uid="{F74E62C9-CF32-49B4-B331-D16741D1F86C}"/>
    <hyperlink ref="A947" r:id="rId941" xr:uid="{10F7B417-BE32-4B1B-8645-7BF432DB4202}"/>
    <hyperlink ref="A948" r:id="rId942" xr:uid="{1B2AF94B-CB6E-4FFE-842F-41A6BD27310C}"/>
    <hyperlink ref="A949" r:id="rId943" xr:uid="{D2B1752A-B965-4A57-968B-C0EC7B7C715A}"/>
    <hyperlink ref="A950" r:id="rId944" xr:uid="{70BFDED6-BF19-483F-ADE4-47C7ED8E032B}"/>
    <hyperlink ref="A951" r:id="rId945" xr:uid="{E5390C41-092C-49D6-B995-9BFE5F198CB8}"/>
    <hyperlink ref="A952" r:id="rId946" xr:uid="{BEBD6C05-2A74-403F-892B-CA957862EA04}"/>
    <hyperlink ref="A953" r:id="rId947" xr:uid="{D66B18DB-D3CA-465F-B736-E1F60283BB5E}"/>
    <hyperlink ref="A954" r:id="rId948" xr:uid="{B8835386-5D2B-4895-A6D7-15755BF580A3}"/>
    <hyperlink ref="A955" r:id="rId949" xr:uid="{1FDA9141-19B8-4EDF-B5B2-C8DE0AE7D9A6}"/>
    <hyperlink ref="A956" r:id="rId950" xr:uid="{9D011EC4-CA06-4C99-B7E8-D7C85CCF4D57}"/>
    <hyperlink ref="A957" r:id="rId951" xr:uid="{4C34FA76-BEC0-4106-9FBB-05315FADD654}"/>
    <hyperlink ref="A958" r:id="rId952" xr:uid="{C7D88485-0CE8-4386-B5BD-D1AFF842C52E}"/>
    <hyperlink ref="A959" r:id="rId953" xr:uid="{3AD59991-3130-433D-8CFC-2C98887D4446}"/>
    <hyperlink ref="A960" r:id="rId954" xr:uid="{18C4075A-26A0-47F7-AE0F-1F5AEF141769}"/>
    <hyperlink ref="A961" r:id="rId955" xr:uid="{124AF12A-57DA-448E-81D4-8210C015C74A}"/>
    <hyperlink ref="A962" r:id="rId956" xr:uid="{83204C01-4323-4828-B735-70AE394F8131}"/>
    <hyperlink ref="A963" r:id="rId957" xr:uid="{F91F54B3-06EE-4C3C-873D-E08CBEF56666}"/>
    <hyperlink ref="A964" r:id="rId958" xr:uid="{B1324A30-FC7F-4921-9A39-B9C8DC6C35D4}"/>
    <hyperlink ref="A965" r:id="rId959" xr:uid="{3109EFD1-795A-4016-9844-37A91EAECE25}"/>
    <hyperlink ref="A966" r:id="rId960" xr:uid="{5AF53836-3040-4DFF-B96F-683F0E369AA0}"/>
    <hyperlink ref="A967" r:id="rId961" xr:uid="{941E11EC-64E2-41EA-B496-2CC54313EFEA}"/>
    <hyperlink ref="A968" r:id="rId962" xr:uid="{84489D72-3923-4F49-8428-FBD2BF10A406}"/>
    <hyperlink ref="A969" r:id="rId963" xr:uid="{5BF4AF35-566D-45F6-A8D0-27A373FF9E95}"/>
    <hyperlink ref="A970" r:id="rId964" xr:uid="{A440012B-36AA-4FBB-B08F-F93EBE190050}"/>
    <hyperlink ref="A971" r:id="rId965" xr:uid="{E5CFAACB-58BE-48A2-97F0-1A0DA29B4FFA}"/>
    <hyperlink ref="A972" r:id="rId966" xr:uid="{75952A0A-AD86-4D47-B7D3-EE03B009FF61}"/>
    <hyperlink ref="A973" r:id="rId967" xr:uid="{35F695AD-BD44-4535-99DE-803143364144}"/>
    <hyperlink ref="A974" r:id="rId968" xr:uid="{6209B1CB-59A8-42FB-A31F-C0B01A52BA2A}"/>
    <hyperlink ref="A975" r:id="rId969" xr:uid="{49698464-ACC8-411E-9518-52CACAF7F5FC}"/>
    <hyperlink ref="A976" r:id="rId970" xr:uid="{B9C90F73-F2EB-4D5F-8409-CD56B6D2F7CD}"/>
    <hyperlink ref="A977" r:id="rId971" xr:uid="{B7767799-14C6-4092-843D-38BC42DFC8A9}"/>
    <hyperlink ref="A978" r:id="rId972" xr:uid="{6A270C0A-A9CC-427C-A7AF-B52C53A84A3D}"/>
    <hyperlink ref="A979" r:id="rId973" xr:uid="{D2A02E1C-1760-434F-9FD8-90DB7DF5BEA8}"/>
    <hyperlink ref="A980" r:id="rId974" xr:uid="{D1A16766-C0B6-4E1C-ACBE-0689BCFEA080}"/>
    <hyperlink ref="A981" r:id="rId975" xr:uid="{679B8090-D076-4DB6-930D-B4974B187183}"/>
    <hyperlink ref="A982" r:id="rId976" xr:uid="{95D492BD-B2C1-4C31-B0C8-106666E3B6BF}"/>
    <hyperlink ref="A983" r:id="rId977" xr:uid="{4F36F23A-730B-4565-91A1-AA11BC39058E}"/>
    <hyperlink ref="A984" r:id="rId978" xr:uid="{3C82049D-1525-4DE0-99FC-9595C22E444F}"/>
    <hyperlink ref="A985" r:id="rId979" xr:uid="{00424459-14CB-4D1D-A1FB-CE2F5171A672}"/>
    <hyperlink ref="A986" r:id="rId980" xr:uid="{216FF6C8-5C5D-418F-A6C4-D2C36D0597C7}"/>
    <hyperlink ref="A987" r:id="rId981" xr:uid="{2294D3E8-7305-453E-BDE2-3867EA89BBBB}"/>
    <hyperlink ref="A988" r:id="rId982" xr:uid="{FF6F1FFA-C58E-4AFF-98EA-D8D5E32DD6DC}"/>
    <hyperlink ref="A989" r:id="rId983" xr:uid="{AF08A79F-A1A3-47B9-B17C-405B1E86A937}"/>
    <hyperlink ref="A990" r:id="rId984" xr:uid="{E0872D0D-EC42-4649-A00F-B2394B793468}"/>
    <hyperlink ref="A991" r:id="rId985" xr:uid="{0FDB6E62-0687-4492-A20F-33B933B74243}"/>
    <hyperlink ref="A992" r:id="rId986" xr:uid="{5D8B38BD-9043-4A2E-96E0-588DB63B3976}"/>
    <hyperlink ref="A993" r:id="rId987" xr:uid="{6572CA5F-D711-47C5-B67A-E1AEC1BD5079}"/>
    <hyperlink ref="A994" r:id="rId988" xr:uid="{2466768D-29EC-4B69-82F0-D5C4599EE500}"/>
    <hyperlink ref="A995" r:id="rId989" xr:uid="{654924EC-4FD3-4483-9162-5E1FC59E8D11}"/>
    <hyperlink ref="A996" r:id="rId990" xr:uid="{F6E82D8D-9B78-4D73-8958-1BAEFB12A6D9}"/>
    <hyperlink ref="A997" r:id="rId991" xr:uid="{9744B495-3FC5-4DA9-96E2-5AD55190DAD1}"/>
    <hyperlink ref="A998" r:id="rId992" xr:uid="{0397AE18-003D-4773-AFD3-4A8052E80056}"/>
    <hyperlink ref="A999" r:id="rId993" xr:uid="{C85F5544-6D69-4843-8B41-E335F11CE692}"/>
    <hyperlink ref="A1000" r:id="rId994" xr:uid="{48B1190F-A182-413D-9385-076399C8606C}"/>
    <hyperlink ref="A1001" r:id="rId995" xr:uid="{400F6267-A573-493E-80CB-6DB6C73ADAD5}"/>
    <hyperlink ref="A1002" r:id="rId996" xr:uid="{E2C8571D-F059-4506-BC3D-5723E64B0353}"/>
    <hyperlink ref="A1003" r:id="rId997" xr:uid="{E542968D-1500-49E5-B889-DC4546D323F1}"/>
    <hyperlink ref="A1004" r:id="rId998" xr:uid="{4F2D7431-5628-42A2-8AD8-62D50B55459F}"/>
    <hyperlink ref="A1005" r:id="rId999" xr:uid="{8CFB6AB8-976A-436B-A10C-F58ACEF1C6DC}"/>
    <hyperlink ref="A1006" r:id="rId1000" xr:uid="{F165F15F-E7F0-416C-9090-0F9BFFE84CCD}"/>
    <hyperlink ref="A1007" r:id="rId1001" xr:uid="{7D6E76CE-602E-4700-AE92-AEB4AC19B8F3}"/>
    <hyperlink ref="A1008" r:id="rId1002" xr:uid="{73BDF95F-FEFC-4490-9836-28D434191AFE}"/>
    <hyperlink ref="A1009" r:id="rId1003" xr:uid="{3EF87205-6E7F-40A0-B0FC-4A6278D58BEE}"/>
    <hyperlink ref="A1010" r:id="rId1004" xr:uid="{19ABDD8E-0346-436F-898D-1EB1F30F3209}"/>
    <hyperlink ref="A1011" r:id="rId1005" xr:uid="{AB412410-5551-46AF-8001-8C0FB44228BD}"/>
    <hyperlink ref="A1012" r:id="rId1006" xr:uid="{A2EC5F11-7E2F-495E-9384-1815448E3B49}"/>
    <hyperlink ref="A1013" r:id="rId1007" xr:uid="{81C44CCF-F469-4AE8-9B71-2C6FF9D7B37E}"/>
    <hyperlink ref="A1014" r:id="rId1008" xr:uid="{3D31500F-106D-49BA-A497-7067DA6DB41F}"/>
    <hyperlink ref="A1015" r:id="rId1009" xr:uid="{472E3FB2-864F-4345-AFDD-B054A25CC5BD}"/>
    <hyperlink ref="A1016" r:id="rId1010" xr:uid="{31B04BAB-599C-4967-9124-ED25E81A42D2}"/>
    <hyperlink ref="A1017" r:id="rId1011" xr:uid="{42B1B8E2-5A14-40C4-8D7E-7C5F6A0EDBAB}"/>
    <hyperlink ref="A1018" r:id="rId1012" xr:uid="{437440C2-99FD-41DE-BD92-58602CA1AC74}"/>
    <hyperlink ref="A1019" r:id="rId1013" xr:uid="{99E3FDAC-8186-4E25-A705-B40953E28228}"/>
    <hyperlink ref="A1020" r:id="rId1014" xr:uid="{CE30379C-1D0B-4F54-AFB4-E3155596C38C}"/>
    <hyperlink ref="A1021" r:id="rId1015" xr:uid="{417FAF49-D414-4B62-B095-05BD08289E0A}"/>
    <hyperlink ref="A1022" r:id="rId1016" xr:uid="{362C7F0D-C526-459A-8874-89906CDC20B7}"/>
    <hyperlink ref="A1023" r:id="rId1017" xr:uid="{C61A60A7-2097-4111-872F-127CAA38F065}"/>
    <hyperlink ref="A1024" r:id="rId1018" xr:uid="{B8B78CAC-4510-416B-A3EC-6BD01FF319B4}"/>
    <hyperlink ref="A1025" r:id="rId1019" xr:uid="{589F1C0C-EFEA-4EBF-BF1B-77D762134298}"/>
    <hyperlink ref="A1026" r:id="rId1020" xr:uid="{B77C3F77-F3CE-4D3F-9E4C-D3DA9B91E1CA}"/>
    <hyperlink ref="A1027" r:id="rId1021" xr:uid="{27B3156C-5293-487F-B9D6-EB84A5D6BC43}"/>
    <hyperlink ref="A1028" r:id="rId1022" xr:uid="{64C496C1-5748-4DA0-910D-1696A0FDC6AD}"/>
    <hyperlink ref="A1029" r:id="rId1023" xr:uid="{491012C5-3777-43B5-AD26-6503183ADE94}"/>
    <hyperlink ref="A1030" r:id="rId1024" xr:uid="{095DDE17-B25D-4D44-B0AC-C30ADF02C367}"/>
    <hyperlink ref="A1031" r:id="rId1025" xr:uid="{D847D9BC-BD33-410A-9888-DD6A403DA29F}"/>
    <hyperlink ref="A1032" r:id="rId1026" xr:uid="{17B5B119-0318-4CDF-8152-CD04BA9967F0}"/>
    <hyperlink ref="A1033" r:id="rId1027" xr:uid="{4C3DFB30-1A77-450A-A0EF-185E11254132}"/>
    <hyperlink ref="A1034" r:id="rId1028" xr:uid="{B4BC83E8-E9FE-4E9B-9A44-74E063A38E1D}"/>
    <hyperlink ref="A1035" r:id="rId1029" xr:uid="{5F5EB743-FB7E-424A-AC8D-A5EC23B8CE07}"/>
    <hyperlink ref="A1036" r:id="rId1030" xr:uid="{A8E0C680-06D8-45A7-B442-01CCE491CA31}"/>
    <hyperlink ref="A1037" r:id="rId1031" xr:uid="{F7CBEFFE-2CD2-449E-9CEC-9EE44A75F1D8}"/>
    <hyperlink ref="A1038" r:id="rId1032" xr:uid="{5C1CD824-8AFC-4479-91D8-31C23DF0940F}"/>
    <hyperlink ref="A1039" r:id="rId1033" xr:uid="{62E336F4-D1C8-4478-A1FF-E9F3FF3714AF}"/>
    <hyperlink ref="A1040" r:id="rId1034" xr:uid="{21FE4833-4B3C-4006-B41F-33EC1BD22CD3}"/>
    <hyperlink ref="A1041" r:id="rId1035" xr:uid="{DF8B0C89-A367-421D-A096-CE2D938845B0}"/>
    <hyperlink ref="A1042" r:id="rId1036" xr:uid="{84654A02-199D-4609-BC34-EEEA87EA6645}"/>
    <hyperlink ref="A1043" r:id="rId1037" xr:uid="{680F1BE9-186E-4977-A99F-A6E38519782E}"/>
    <hyperlink ref="A1044" r:id="rId1038" xr:uid="{761BBD04-1BDF-49A8-BE7A-52D8FC226FF2}"/>
    <hyperlink ref="A1045" r:id="rId1039" xr:uid="{6C784667-B265-4B46-97F8-BF7992F9C222}"/>
    <hyperlink ref="A1046" r:id="rId1040" xr:uid="{E12B412F-4E77-4F5E-BAF2-5623B80D4B2E}"/>
    <hyperlink ref="A1047" r:id="rId1041" xr:uid="{8733DFDF-B668-40E6-9351-5C38EAD42BEF}"/>
    <hyperlink ref="A1048" r:id="rId1042" xr:uid="{9114FA3B-ACC9-4E1F-A2BC-CB9E9AC996CA}"/>
    <hyperlink ref="A1049" r:id="rId1043" xr:uid="{A4B31D5A-13BE-4F70-B6A0-5AC22C261135}"/>
    <hyperlink ref="A1050" r:id="rId1044" xr:uid="{4F48FD17-C3A2-46FB-8277-82E56668A0C2}"/>
    <hyperlink ref="A1051" r:id="rId1045" xr:uid="{863FDCDC-2C98-4366-B2E9-41B384A08DCB}"/>
    <hyperlink ref="A1052" r:id="rId1046" xr:uid="{AE1F42EF-84CD-42C1-A16D-A4A614C8A348}"/>
    <hyperlink ref="A1053" r:id="rId1047" xr:uid="{2792D1C1-1AD6-4903-AB92-1E71D7199C0E}"/>
    <hyperlink ref="A1054" r:id="rId1048" xr:uid="{D9C93A20-B156-4DF1-8C7A-A8F5C382F953}"/>
    <hyperlink ref="A1055" r:id="rId1049" xr:uid="{FEDDCA83-F0F8-40AF-81F4-18F8CC10007B}"/>
    <hyperlink ref="A1056" r:id="rId1050" xr:uid="{379DFBF3-F49A-4295-ACA8-84A8274DF374}"/>
    <hyperlink ref="A1057" r:id="rId1051" xr:uid="{F6953C44-D20F-4FDE-A6C9-903C575AF6BC}"/>
    <hyperlink ref="A1058" r:id="rId1052" xr:uid="{E10B34B9-EC0C-4AD2-9A5A-139AE315BF35}"/>
    <hyperlink ref="A1059" r:id="rId1053" xr:uid="{38BA5D40-958D-4605-AF82-C6F16BEF0262}"/>
    <hyperlink ref="A1060" r:id="rId1054" xr:uid="{64F09D08-02BE-4D39-BB62-78C4853A7FD8}"/>
    <hyperlink ref="A1061" r:id="rId1055" xr:uid="{6A1BE7DD-719E-4CE8-A237-769014C51992}"/>
    <hyperlink ref="A1062" r:id="rId1056" xr:uid="{09E1C12C-EDE6-494B-A1C3-ADFB1219D526}"/>
    <hyperlink ref="A1063" r:id="rId1057" xr:uid="{55BC10B2-CDED-4A6B-B517-EC7E58D3CB0D}"/>
    <hyperlink ref="A1064" r:id="rId1058" xr:uid="{F90039D6-B24B-4A24-9A79-755F199912AC}"/>
    <hyperlink ref="A1065" r:id="rId1059" xr:uid="{F0373D3C-E11D-45C7-B03C-CB0CDB09E8C9}"/>
    <hyperlink ref="A1066" r:id="rId1060" xr:uid="{767A184F-FF55-47E2-904E-23044E336D33}"/>
    <hyperlink ref="A1067" r:id="rId1061" xr:uid="{1572F138-032B-4CF4-B413-296FF2EC3C79}"/>
    <hyperlink ref="A1068" r:id="rId1062" xr:uid="{228DB8BF-9A6F-4F6B-9663-C6C999091CF5}"/>
    <hyperlink ref="A1069" r:id="rId1063" xr:uid="{5A58896C-7E58-4088-8C6D-560913E9DB82}"/>
    <hyperlink ref="A1070" r:id="rId1064" xr:uid="{39E550F8-F88F-482D-A638-3234CEE1EDC8}"/>
    <hyperlink ref="A1071" r:id="rId1065" xr:uid="{4380EB12-473C-4C19-B7F0-0A7BB392E9E0}"/>
    <hyperlink ref="A1072" r:id="rId1066" xr:uid="{7F486FA7-996C-438B-A568-0903127873D1}"/>
    <hyperlink ref="A1073" r:id="rId1067" xr:uid="{818E733A-9121-4DCE-81DD-91B7BA1C4170}"/>
    <hyperlink ref="A1074" r:id="rId1068" xr:uid="{A994B190-54C8-4DB7-B8A8-177C5B087AAE}"/>
    <hyperlink ref="A1075" r:id="rId1069" xr:uid="{EF6F83DA-E05B-4501-B862-E66004788AF0}"/>
    <hyperlink ref="A1076" r:id="rId1070" xr:uid="{7AD473D4-E0CA-4E58-A081-5697B6399599}"/>
    <hyperlink ref="A1077" r:id="rId1071" xr:uid="{0FFCCBC3-2324-423D-99CB-814C508A7645}"/>
    <hyperlink ref="A1078" r:id="rId1072" xr:uid="{601396D3-9D76-492E-9748-E87A4ADEB6BC}"/>
    <hyperlink ref="A1079" r:id="rId1073" xr:uid="{947887D0-EFE3-499E-9342-F47CC70B28D1}"/>
    <hyperlink ref="A1080" r:id="rId1074" xr:uid="{EE28FF15-EF56-4E61-91A0-F3BC549BD609}"/>
    <hyperlink ref="A1081" r:id="rId1075" xr:uid="{E44D1586-9402-4462-A3FE-51573EBDC4FA}"/>
    <hyperlink ref="A1082" r:id="rId1076" xr:uid="{9134B4F9-98A0-4581-98DA-DC292BC0F682}"/>
    <hyperlink ref="A1083" r:id="rId1077" xr:uid="{C5AB9107-EE1C-4FCF-B21F-8F08AA251793}"/>
    <hyperlink ref="A1084" r:id="rId1078" xr:uid="{057CDB52-25D0-449A-A1B2-187B2A530F66}"/>
    <hyperlink ref="A1085" r:id="rId1079" xr:uid="{8A956D1A-E34C-4E82-8E95-B6CD0D84C9AB}"/>
    <hyperlink ref="A1086" r:id="rId1080" xr:uid="{1C76D5E4-F29D-4EA1-A768-06505D5C9C99}"/>
    <hyperlink ref="A1087" r:id="rId1081" xr:uid="{E65AEECE-475B-49A8-828A-43F39AF4BB2D}"/>
    <hyperlink ref="A1088" r:id="rId1082" xr:uid="{6B2AE5E8-6D65-4FA5-9020-079905872242}"/>
    <hyperlink ref="A1089" r:id="rId1083" xr:uid="{3ACD0A5F-6BFC-4F7C-B726-A6CA3058F13E}"/>
    <hyperlink ref="A1090" r:id="rId1084" xr:uid="{07A7E2DE-51CE-4194-945C-CC1ADD3990EE}"/>
    <hyperlink ref="A1091" r:id="rId1085" xr:uid="{A09DEA49-D9F7-4996-8E55-3612D2D5DA8B}"/>
    <hyperlink ref="A1092" r:id="rId1086" xr:uid="{710F0CE9-172A-49F7-B67C-31527B6CC3C2}"/>
    <hyperlink ref="A1093" r:id="rId1087" xr:uid="{F8EC32C7-08A8-4E7E-8A47-464CBCAE502A}"/>
    <hyperlink ref="A1094" r:id="rId1088" xr:uid="{3D23D898-A6BF-41CC-9D44-077DD7CB0300}"/>
    <hyperlink ref="A1095" r:id="rId1089" xr:uid="{ED7C8ED4-57A0-4F72-A891-6F47223F9711}"/>
    <hyperlink ref="A1096" r:id="rId1090" xr:uid="{559428E4-98EB-42F9-8652-8DB7311C7E76}"/>
    <hyperlink ref="A1097" r:id="rId1091" xr:uid="{53686B80-542D-42B5-BDC7-35ECAC734F2D}"/>
    <hyperlink ref="A1098" r:id="rId1092" xr:uid="{299CF716-948D-47B8-B696-BF82F480D589}"/>
    <hyperlink ref="A1099" r:id="rId1093" xr:uid="{9A2D8225-28C4-42EB-8F61-947C4B5AC495}"/>
    <hyperlink ref="A1100" r:id="rId1094" xr:uid="{DF953214-AEFE-4515-8684-8218D9AAC44B}"/>
    <hyperlink ref="A1101" r:id="rId1095" xr:uid="{8B34853B-1B07-4435-9163-9FADB9F285B7}"/>
    <hyperlink ref="A1102" r:id="rId1096" xr:uid="{8E6DE69E-8623-4797-B7BC-61FB4B84EECF}"/>
    <hyperlink ref="A1103" r:id="rId1097" xr:uid="{C81E9FEA-B7B9-41B9-8A33-B8FA3DE31032}"/>
    <hyperlink ref="A1104" r:id="rId1098" xr:uid="{72AB95EB-EBE8-4C76-8D6C-0BA49FDE7791}"/>
    <hyperlink ref="A1105" r:id="rId1099" xr:uid="{860FFF70-2566-4D69-9C7E-B0E36C0CB35F}"/>
    <hyperlink ref="A1106" r:id="rId1100" xr:uid="{4A5CFFAA-E684-4582-9A01-12B1641492CF}"/>
    <hyperlink ref="A1107" r:id="rId1101" xr:uid="{2C1E8FE8-8A11-473E-99A9-AB3255AE66C4}"/>
    <hyperlink ref="A1108" r:id="rId1102" xr:uid="{475F4071-D148-4650-9C62-5AFE6E56DDE6}"/>
    <hyperlink ref="A1109" r:id="rId1103" xr:uid="{EE6DC3F5-1AF8-48F9-8320-9FAE29046B07}"/>
    <hyperlink ref="A1110" r:id="rId1104" xr:uid="{5DD0E840-C6F3-4E7B-8070-87F6DCAD8D41}"/>
    <hyperlink ref="A1111" r:id="rId1105" xr:uid="{E63E0A72-B989-4EA2-B28F-9790F8515CBB}"/>
    <hyperlink ref="A1112" r:id="rId1106" xr:uid="{B344B0B8-EBE5-425A-A77D-826E298DA49F}"/>
    <hyperlink ref="A1113" r:id="rId1107" xr:uid="{9334FF8C-C797-454E-90B5-C0D4557A5891}"/>
    <hyperlink ref="A1114" r:id="rId1108" xr:uid="{D8EEEA2F-B015-43BB-AE12-53910BCD4437}"/>
    <hyperlink ref="A1115" r:id="rId1109" xr:uid="{A03FDB30-DA5E-40EB-8311-551644BB7D5C}"/>
    <hyperlink ref="A1116" r:id="rId1110" xr:uid="{EFD56F12-BA20-4CB6-A7B2-7A25040C1686}"/>
    <hyperlink ref="A1117" r:id="rId1111" xr:uid="{A1772E04-64D3-43A2-A586-B822FD1E6814}"/>
    <hyperlink ref="A1118" r:id="rId1112" xr:uid="{53BEEA58-5519-4D57-908A-58FEB67B4CCC}"/>
    <hyperlink ref="A1119" r:id="rId1113" xr:uid="{20C05B68-0891-489F-A61B-3B5216CA5DB5}"/>
    <hyperlink ref="A1120" r:id="rId1114" xr:uid="{7BEFAB6B-9426-4222-86A9-686A9CEF4CFB}"/>
    <hyperlink ref="A1121" r:id="rId1115" xr:uid="{6B2D33D3-CCD9-4B87-87BE-E0B02E683840}"/>
    <hyperlink ref="A1122" r:id="rId1116" xr:uid="{5F3123E8-EC08-4FF0-87D5-FA0E46EB3B34}"/>
    <hyperlink ref="A1123" r:id="rId1117" xr:uid="{0A9B175D-602A-4E1A-8861-95DD5A1AC81D}"/>
    <hyperlink ref="A1124" r:id="rId1118" xr:uid="{F5BC88F5-EED2-4D6F-8AE0-1D8F846AEA2D}"/>
    <hyperlink ref="A1125" r:id="rId1119" xr:uid="{7856C0DE-A27C-4135-8399-F299EAA309CB}"/>
    <hyperlink ref="A1126" r:id="rId1120" xr:uid="{CA63E6E8-DE6A-4148-ADEB-4CA920855FB5}"/>
    <hyperlink ref="A1127" r:id="rId1121" xr:uid="{775D454F-1709-4BD2-BA3A-FE5D36997BC7}"/>
    <hyperlink ref="A1128" r:id="rId1122" xr:uid="{BCA237A9-60F1-45BF-A1E7-B865DC83BEE8}"/>
    <hyperlink ref="A1129" r:id="rId1123" xr:uid="{3D051C25-31C0-42F3-BFA4-ACF048297B05}"/>
    <hyperlink ref="A1130" r:id="rId1124" xr:uid="{A50B0FBD-4D3B-4999-B168-34B587BFC267}"/>
    <hyperlink ref="A1131" r:id="rId1125" xr:uid="{E465F2EC-581A-4F9B-A2D1-971C733AD9FC}"/>
    <hyperlink ref="A1132" r:id="rId1126" xr:uid="{0BF86ED9-2AAA-4326-8EF4-94AF50B10D58}"/>
    <hyperlink ref="A1133" r:id="rId1127" xr:uid="{44D27B9B-D6DB-4976-B84F-1DFFFC6A7357}"/>
    <hyperlink ref="A1134" r:id="rId1128" xr:uid="{B35A4FDD-44E3-449F-A8E2-B49646493C48}"/>
    <hyperlink ref="A1135" r:id="rId1129" xr:uid="{BB3B9879-4FC1-4C06-935C-6E6BB1C065AA}"/>
    <hyperlink ref="A1136" r:id="rId1130" xr:uid="{E7468517-B11F-4552-9205-7E0618B89EB0}"/>
    <hyperlink ref="A1137" r:id="rId1131" xr:uid="{E55C8F23-6835-407A-9B31-5E7151C5096D}"/>
    <hyperlink ref="A1138" r:id="rId1132" xr:uid="{0F3833C3-5717-4768-AF86-94AD596ED427}"/>
    <hyperlink ref="A1139" r:id="rId1133" xr:uid="{93D4686F-A7D1-449B-95AA-F600D451BFA7}"/>
    <hyperlink ref="A1140" r:id="rId1134" xr:uid="{69085D06-127C-4FC1-9007-E0D10C376B1D}"/>
    <hyperlink ref="A1141" r:id="rId1135" xr:uid="{6D7CC585-1083-462E-9626-95BADEA988B8}"/>
    <hyperlink ref="A1142" r:id="rId1136" xr:uid="{D116A06E-9DE5-4A48-8F48-2C6E82DCBB46}"/>
    <hyperlink ref="A1143" r:id="rId1137" xr:uid="{87B337EC-C075-4959-A6D3-BC93D03AA8EA}"/>
    <hyperlink ref="A1144" r:id="rId1138" xr:uid="{2A618137-7DC8-4945-B7D4-600BF1715C88}"/>
    <hyperlink ref="A1145" r:id="rId1139" xr:uid="{E105DED2-370D-443C-8CB2-0866A5F65D51}"/>
    <hyperlink ref="A1146" r:id="rId1140" xr:uid="{DD9F0CC4-B606-4101-A27A-6EDCF053AE45}"/>
    <hyperlink ref="A1147" r:id="rId1141" xr:uid="{78BCBC7A-487E-4214-8C23-7D2B1F65FC46}"/>
    <hyperlink ref="A1148" r:id="rId1142" xr:uid="{7E432FC1-E561-4909-B602-CA4AB1E3C159}"/>
    <hyperlink ref="A1149" r:id="rId1143" xr:uid="{74D653E8-BBBA-44B0-822E-8E1530D24C2F}"/>
    <hyperlink ref="A1150" r:id="rId1144" xr:uid="{59DC5871-50C0-442C-89B5-887B15BD5C14}"/>
    <hyperlink ref="A1151" r:id="rId1145" xr:uid="{805FB845-84A4-4870-9842-6C66E35A7B44}"/>
    <hyperlink ref="A1152" r:id="rId1146" xr:uid="{C2680454-CA8E-4B99-AD3F-57B928C7F073}"/>
    <hyperlink ref="A1153" r:id="rId1147" xr:uid="{691FF4B8-5760-4219-B5F7-F6B3BA03921E}"/>
    <hyperlink ref="A1154" r:id="rId1148" xr:uid="{3FEFFFBD-C98F-47ED-A54F-173DDFD7AEC9}"/>
    <hyperlink ref="A1155" r:id="rId1149" xr:uid="{5C0500AC-8EE7-491F-B0DA-376CF16F76EC}"/>
    <hyperlink ref="A1156" r:id="rId1150" xr:uid="{A401C434-C400-4244-9F13-39C8F9B6A4F4}"/>
    <hyperlink ref="A1157" r:id="rId1151" xr:uid="{B521A658-3ED6-4181-8B1C-BA1D167B6B91}"/>
    <hyperlink ref="A1158" r:id="rId1152" xr:uid="{474E8DAC-89F6-46C3-A3E9-7CA2BD667079}"/>
    <hyperlink ref="A1159" r:id="rId1153" xr:uid="{79926FFE-49E6-4444-883F-F860DD496D98}"/>
    <hyperlink ref="A1160" r:id="rId1154" xr:uid="{8B54B747-B350-429A-8036-880E8EDF76C0}"/>
    <hyperlink ref="A1161" r:id="rId1155" xr:uid="{AEF21E95-7CE1-45EF-91AF-BF90E8F653F1}"/>
    <hyperlink ref="A1162" r:id="rId1156" xr:uid="{467C72C9-63BD-420B-AEC2-6AB602B9C09E}"/>
    <hyperlink ref="A1163" r:id="rId1157" xr:uid="{0FA33B87-143D-4C85-85C5-90D640500F42}"/>
    <hyperlink ref="A1164" r:id="rId1158" xr:uid="{66257BC3-8D76-4CD8-9C03-4719B59E747A}"/>
    <hyperlink ref="A1165" r:id="rId1159" xr:uid="{4C449DE6-7AB2-4B02-AAB8-8F427A5BE606}"/>
    <hyperlink ref="A1166" r:id="rId1160" xr:uid="{71C7FB5E-10A6-47B6-BCCE-7438BAFED8E0}"/>
    <hyperlink ref="A1167" r:id="rId1161" xr:uid="{4EBA03F2-B227-4E0E-A601-DD88C316EC5F}"/>
    <hyperlink ref="A1168" r:id="rId1162" xr:uid="{963033DE-E5D6-4941-A386-C8596E84CADB}"/>
    <hyperlink ref="A1169" r:id="rId1163" xr:uid="{4FF4654C-0222-44A6-83EC-32AADF8C2711}"/>
    <hyperlink ref="A1170" r:id="rId1164" xr:uid="{946B06F1-1353-46BA-AB1B-FFC49B3A0029}"/>
    <hyperlink ref="A1171" r:id="rId1165" xr:uid="{A2C27F75-C6A9-49F4-98AA-4C95FC54D43E}"/>
    <hyperlink ref="A1172" r:id="rId1166" xr:uid="{E9F459F4-DEA2-4543-B94E-AD55F198026E}"/>
    <hyperlink ref="A1173" r:id="rId1167" xr:uid="{B8F4CD94-B53B-4142-AFA3-BBD707A5C104}"/>
    <hyperlink ref="A1174" r:id="rId1168" xr:uid="{98E47826-DCB2-4CF9-92AF-155675010EB9}"/>
    <hyperlink ref="A1175" r:id="rId1169" xr:uid="{C1CDE3B7-B9C9-44E6-90B0-B9E153E43F26}"/>
    <hyperlink ref="A1176" r:id="rId1170" xr:uid="{87C4DAC4-1BE2-4D8B-8A39-3D1CB6D1FEFE}"/>
    <hyperlink ref="A1177" r:id="rId1171" xr:uid="{E536E58C-EEE0-4ED8-A5F9-6ACCC116A3AB}"/>
    <hyperlink ref="A1178" r:id="rId1172" xr:uid="{5DC18AC8-D92B-440C-AC1B-515083F71FA4}"/>
    <hyperlink ref="A1179" r:id="rId1173" xr:uid="{14B145A5-C0B3-414E-803C-837AEDC0CEA5}"/>
    <hyperlink ref="A1180" r:id="rId1174" xr:uid="{2FF75861-ABDF-4110-A13B-5CE91320D91A}"/>
    <hyperlink ref="A1181" r:id="rId1175" xr:uid="{418E26D3-5059-471F-98FD-A3AF2AB338C1}"/>
    <hyperlink ref="A1182" r:id="rId1176" xr:uid="{B1F63D39-25C4-4592-B66D-9C799917CF77}"/>
    <hyperlink ref="A1183" r:id="rId1177" xr:uid="{5C1AA544-1CF7-4638-AEC6-D495EDB030C5}"/>
    <hyperlink ref="A1184" r:id="rId1178" xr:uid="{22DD690E-D379-43F6-BD99-056243B85F01}"/>
    <hyperlink ref="A1185" r:id="rId1179" xr:uid="{FDC6A1F2-FEA8-4EE4-B833-C189B311A3C6}"/>
    <hyperlink ref="A1186" r:id="rId1180" xr:uid="{1565BE5A-9D5B-4699-BCCD-960ABD744C67}"/>
    <hyperlink ref="A1187" r:id="rId1181" xr:uid="{3FA08135-BE0A-48DC-82AD-26297CC27016}"/>
    <hyperlink ref="A1188" r:id="rId1182" xr:uid="{1CEA5561-1036-4A3E-88A3-CCA1A8714DEB}"/>
    <hyperlink ref="A1189" r:id="rId1183" xr:uid="{28ECF890-E4BA-4A07-A32A-788F58DBA3E4}"/>
    <hyperlink ref="A1190" r:id="rId1184" xr:uid="{A7F06325-9E69-47A6-9C79-CBECD227F6E6}"/>
    <hyperlink ref="A1191" r:id="rId1185" xr:uid="{3DB6A749-52DB-4389-AA2E-9E20C8C4934F}"/>
    <hyperlink ref="A1192" r:id="rId1186" xr:uid="{43BDC018-8505-4A47-B58C-78ED6CB0689D}"/>
    <hyperlink ref="A1193" r:id="rId1187" xr:uid="{A138E2F7-67D4-488D-A926-4DD94D8074E7}"/>
    <hyperlink ref="A1194" r:id="rId1188" xr:uid="{A54918BC-7E09-4CF8-B16C-0577DB120047}"/>
    <hyperlink ref="A1195" r:id="rId1189" xr:uid="{812E43DD-4545-47AC-B6FE-79E45C82C951}"/>
    <hyperlink ref="A1196" r:id="rId1190" xr:uid="{CABA725F-827C-4563-9AD3-9CA063B3F148}"/>
    <hyperlink ref="A1197" r:id="rId1191" xr:uid="{48767AC9-4410-492D-ABBF-3C2CF0E21588}"/>
    <hyperlink ref="A1198" r:id="rId1192" xr:uid="{E849BEFF-BAB0-4EA8-9892-8F5203F74CAF}"/>
    <hyperlink ref="A1199" r:id="rId1193" xr:uid="{736A4040-12CE-414B-BE3D-898F0EAF8D47}"/>
    <hyperlink ref="A1200" r:id="rId1194" xr:uid="{4CACF17A-F12F-42ED-A10A-1847C9A02BA0}"/>
    <hyperlink ref="A1201" r:id="rId1195" xr:uid="{EF3B5C06-13F8-48E3-BFD3-90707DB8CCA0}"/>
    <hyperlink ref="A1202" r:id="rId1196" xr:uid="{6EB82F5C-08FF-4766-B928-56DF32E71F95}"/>
    <hyperlink ref="A1203" r:id="rId1197" xr:uid="{6EC7242B-B5A1-4863-9FA9-A75D48BBB985}"/>
    <hyperlink ref="A1204" r:id="rId1198" xr:uid="{B5D0A81D-8DD3-431D-9672-D2FEB68C8CE9}"/>
    <hyperlink ref="A1205" r:id="rId1199" xr:uid="{B2831B24-51DD-4BC1-8608-3CF4EAB06BAF}"/>
    <hyperlink ref="A1206" r:id="rId1200" xr:uid="{89FBE851-5B69-4070-A3C7-C71E8D1F37E4}"/>
    <hyperlink ref="A1207" r:id="rId1201" xr:uid="{58F0F1ED-AF49-4C6A-9CAF-E91F2AE5EA46}"/>
    <hyperlink ref="A1208" r:id="rId1202" xr:uid="{6B954FE1-3C34-4DD3-9EA9-B6A90CB7E7A4}"/>
    <hyperlink ref="A1209" r:id="rId1203" xr:uid="{02634730-9235-4832-A167-7C875F16F422}"/>
    <hyperlink ref="A1210" r:id="rId1204" xr:uid="{24E32751-91A0-4923-B903-AA887DF2E054}"/>
    <hyperlink ref="A1211" r:id="rId1205" xr:uid="{B5874926-D964-4BC8-A35F-7C402B65B9F5}"/>
    <hyperlink ref="A1212" r:id="rId1206" xr:uid="{9074AC95-2576-4955-B99A-CB0EAC04B754}"/>
    <hyperlink ref="A1213" r:id="rId1207" xr:uid="{3704F9A2-5D39-4293-996F-BE618327686C}"/>
    <hyperlink ref="A1214" r:id="rId1208" xr:uid="{F1604E9B-9DA8-47F0-A70C-E1E14BA4DBED}"/>
    <hyperlink ref="A1215" r:id="rId1209" xr:uid="{98A6FF2C-A246-4DAB-B997-F9B1A90D8FA9}"/>
    <hyperlink ref="A1216" r:id="rId1210" xr:uid="{1AB94A42-91F8-4486-A625-568774300BBB}"/>
    <hyperlink ref="A1217" r:id="rId1211" xr:uid="{2BCEDDFB-06A3-4D1C-AB7E-11C16DCFF398}"/>
    <hyperlink ref="A1218" r:id="rId1212" xr:uid="{9D1DDB6F-F5ED-4A2E-A508-8FB945BB1B9E}"/>
    <hyperlink ref="A1219" r:id="rId1213" xr:uid="{8BAE5C3B-1587-40EF-82DD-0222DB503E76}"/>
    <hyperlink ref="A1220" r:id="rId1214" xr:uid="{0E362477-D362-46A2-BBD7-BADF4F91F056}"/>
    <hyperlink ref="A1221" r:id="rId1215" xr:uid="{A2B2412D-001D-4F79-B07C-1F52730BF262}"/>
    <hyperlink ref="A1222" r:id="rId1216" xr:uid="{0A6758EC-A119-4F79-83AC-2F38A760FA63}"/>
    <hyperlink ref="A1223" r:id="rId1217" xr:uid="{31FDB751-62C0-48B6-BB72-663C8E32E52E}"/>
    <hyperlink ref="A1224" r:id="rId1218" xr:uid="{53A1971B-654D-46EB-AE58-F39FF287169E}"/>
    <hyperlink ref="A1225" r:id="rId1219" xr:uid="{A0A3F9E2-6FD2-41F8-A171-D78F5096C070}"/>
    <hyperlink ref="A1226" r:id="rId1220" xr:uid="{47C4810F-DE11-47F9-82F3-84051E065739}"/>
    <hyperlink ref="A1227" r:id="rId1221" xr:uid="{B4752649-9438-4B32-AEBA-0D70474770D3}"/>
    <hyperlink ref="A1228" r:id="rId1222" xr:uid="{682AB9E0-7716-4DB9-AB44-085452A48B58}"/>
    <hyperlink ref="A1229" r:id="rId1223" xr:uid="{A583111E-275D-4365-9B80-00B8573B1420}"/>
    <hyperlink ref="A1230" r:id="rId1224" xr:uid="{3D2742E4-104B-4AD7-800A-19EF6FF700CC}"/>
    <hyperlink ref="A1231" r:id="rId1225" xr:uid="{0DAE05F4-ECD8-436E-B56C-DBC1E1E21EC4}"/>
    <hyperlink ref="A1232" r:id="rId1226" xr:uid="{C30E2943-842C-4C80-A2F2-A806D606DBCB}"/>
    <hyperlink ref="A1233" r:id="rId1227" xr:uid="{0A48F082-E9A2-49F0-A597-AB2D8E5317C4}"/>
    <hyperlink ref="A1234" r:id="rId1228" xr:uid="{EA095E0E-FE8E-4964-9850-DAA9992024EF}"/>
    <hyperlink ref="A1235" r:id="rId1229" xr:uid="{A9097252-BBE4-4E9B-8712-15EFFA85659E}"/>
    <hyperlink ref="A1236" r:id="rId1230" xr:uid="{EF15101B-DF4E-43B8-8760-4D380586712D}"/>
    <hyperlink ref="A1237" r:id="rId1231" xr:uid="{62E53865-2A96-4610-BB25-00C5FC04CAD6}"/>
    <hyperlink ref="A1238" r:id="rId1232" xr:uid="{243410D1-3FA2-44EB-81CE-C7515DA03C0A}"/>
    <hyperlink ref="A1239" r:id="rId1233" xr:uid="{A84B3EC2-EFCC-4A54-9D77-A3C8099989E6}"/>
    <hyperlink ref="A1240" r:id="rId1234" xr:uid="{B4D7DBDE-FA7E-4D11-A50B-AFDDC9174608}"/>
    <hyperlink ref="A1241" r:id="rId1235" xr:uid="{228B7D4F-F3C1-4685-9F54-67687DD2D938}"/>
    <hyperlink ref="A1242" r:id="rId1236" xr:uid="{C9830F85-C005-4FEA-BF50-BFEA8AB7D14B}"/>
    <hyperlink ref="A1243" r:id="rId1237" xr:uid="{FD5F3903-AF36-4026-8E53-5495E22B1641}"/>
    <hyperlink ref="A1244" r:id="rId1238" xr:uid="{A59B7CD1-A596-4A46-82A9-A3FD578EE20A}"/>
    <hyperlink ref="A1245" r:id="rId1239" xr:uid="{F3429EE1-8E02-4968-978F-B2E05A51497E}"/>
    <hyperlink ref="A1246" r:id="rId1240" xr:uid="{C6D8D742-CC9E-41EC-B9C8-9C3483A52301}"/>
    <hyperlink ref="A1247" r:id="rId1241" xr:uid="{2A8F1440-B57E-4040-AD8E-EA1F7738E54E}"/>
    <hyperlink ref="A1248" r:id="rId1242" xr:uid="{4B4CBB7A-F893-4C39-8598-89F8EEC5E260}"/>
    <hyperlink ref="A1249" r:id="rId1243" xr:uid="{E8AF5730-72CC-4546-B666-65B505A07CA5}"/>
    <hyperlink ref="A1250" r:id="rId1244" xr:uid="{FA1E5E86-7748-45B6-B369-C4FCC206EEC1}"/>
    <hyperlink ref="A1251" r:id="rId1245" xr:uid="{929CFBBB-D6F7-4772-B4C0-B61DA52A9795}"/>
    <hyperlink ref="A1252" r:id="rId1246" xr:uid="{FDA6442F-14B4-4812-9916-EBB624127DF5}"/>
    <hyperlink ref="A1253" r:id="rId1247" xr:uid="{1725C61A-7A47-4EFF-BE1E-3BC23AE8D105}"/>
    <hyperlink ref="A1254" r:id="rId1248" xr:uid="{4D94E62D-9D27-47C8-BA71-BEFBC177931B}"/>
    <hyperlink ref="A1255" r:id="rId1249" xr:uid="{0F9EC578-7A50-4A5F-B99A-AFE98C735DF6}"/>
    <hyperlink ref="A1256" r:id="rId1250" xr:uid="{1A466D4E-14DB-46BB-991C-C6D2DE2BD630}"/>
    <hyperlink ref="A1257" r:id="rId1251" xr:uid="{2ABD9416-6F30-4A05-B3B0-F6B72AAF597A}"/>
    <hyperlink ref="A1258" r:id="rId1252" xr:uid="{331349B9-9E29-4D0C-A8EC-5CAF9F267BC6}"/>
    <hyperlink ref="A1259" r:id="rId1253" xr:uid="{98FF7264-9AF3-4F47-8ABA-284FD37911B5}"/>
    <hyperlink ref="A1260" r:id="rId1254" xr:uid="{5BA7601E-BC5E-4DE1-9E1A-EC3E4FFD61A9}"/>
    <hyperlink ref="A1261" r:id="rId1255" xr:uid="{F3002B0F-1A04-4064-9EB5-7EE78D5FB156}"/>
    <hyperlink ref="A1262" r:id="rId1256" xr:uid="{27E57B01-7998-495C-8275-ED831EA30400}"/>
    <hyperlink ref="A1263" r:id="rId1257" xr:uid="{DBD41402-444C-4B33-B11B-BD88EF0A4846}"/>
    <hyperlink ref="A1264" r:id="rId1258" xr:uid="{2B533B4A-99D3-4939-9CA1-F631D58498BB}"/>
    <hyperlink ref="A1265" r:id="rId1259" xr:uid="{9EEA4EA7-3AA0-4D24-A439-8E3EE716CDF6}"/>
    <hyperlink ref="A1266" r:id="rId1260" xr:uid="{1B565650-EC45-47BD-8D8B-90EFD3D20742}"/>
    <hyperlink ref="A1267" r:id="rId1261" xr:uid="{16B08E53-B30C-4CE2-AA02-5AAADDBF9F11}"/>
    <hyperlink ref="A1268" r:id="rId1262" xr:uid="{65B6F2CB-B53B-4A57-BD35-FBB599254881}"/>
    <hyperlink ref="A1269" r:id="rId1263" xr:uid="{18159582-1CFB-432E-BCD7-441136DF15F7}"/>
    <hyperlink ref="A1270" r:id="rId1264" xr:uid="{522558CC-EC38-4D13-8534-0DD3BE3C2636}"/>
    <hyperlink ref="A1271" r:id="rId1265" xr:uid="{B47FF6E9-A5D2-4CD9-9C41-92619AFB116F}"/>
    <hyperlink ref="A1272" r:id="rId1266" xr:uid="{F08E3E7E-7B07-4EE1-BD7E-DECEB458D376}"/>
    <hyperlink ref="A1273" r:id="rId1267" xr:uid="{50335E02-94C8-4600-8717-D65533D5AF52}"/>
    <hyperlink ref="A1274" r:id="rId1268" xr:uid="{E47B6573-B540-4B7B-9800-1E0DC7A2086E}"/>
    <hyperlink ref="A1275" r:id="rId1269" xr:uid="{93746B21-37A1-4D7E-B089-5F291BC05A90}"/>
    <hyperlink ref="A1276" r:id="rId1270" xr:uid="{CE86CD88-8F04-4375-87B6-484469470E87}"/>
    <hyperlink ref="A1277" r:id="rId1271" xr:uid="{80C9D581-9F0B-47AC-BEBC-14C798D737A8}"/>
    <hyperlink ref="A1278" r:id="rId1272" xr:uid="{F8877AAF-FD1F-43E7-B8C6-DBF922D128F2}"/>
    <hyperlink ref="A1279" r:id="rId1273" xr:uid="{3D6D0BA5-EA27-43BD-864E-1942FE8AE654}"/>
    <hyperlink ref="A1280" r:id="rId1274" xr:uid="{A7400FA0-F56C-46AA-BCC4-0B5613C9B9AE}"/>
    <hyperlink ref="A1281" r:id="rId1275" xr:uid="{AE05ACFE-D8BB-46AB-A982-ADD9C20E54F7}"/>
    <hyperlink ref="A1282" r:id="rId1276" xr:uid="{E3CD60F1-D826-476C-9794-D88FC4C8B6CB}"/>
    <hyperlink ref="A1283" r:id="rId1277" xr:uid="{7EC41304-877F-45CF-BDB8-26B0D755953C}"/>
    <hyperlink ref="A1284" r:id="rId1278" xr:uid="{E4B4E625-1633-4ADB-AD58-A6164EDF5368}"/>
    <hyperlink ref="A1285" r:id="rId1279" xr:uid="{4C6E547E-727F-4A60-A026-784A163B12F8}"/>
    <hyperlink ref="A1286" r:id="rId1280" xr:uid="{9DA52F2F-3F69-42A6-84A3-E38E084D82EC}"/>
    <hyperlink ref="A1287" r:id="rId1281" xr:uid="{C31D02A0-5965-44B3-879B-1718E9B4FA98}"/>
    <hyperlink ref="A1288" r:id="rId1282" xr:uid="{9845E5B6-E19D-473C-94D6-CE940140C17B}"/>
    <hyperlink ref="A1289" r:id="rId1283" xr:uid="{5AA1440E-6090-4E0B-89DF-AF22C2C1ADED}"/>
    <hyperlink ref="A1290" r:id="rId1284" xr:uid="{2F6055BE-4E59-4797-9206-908EED3CF939}"/>
    <hyperlink ref="A1291" r:id="rId1285" xr:uid="{125B1DE7-D741-4C33-B8F9-E2659BAA54A1}"/>
    <hyperlink ref="A1292" r:id="rId1286" xr:uid="{55CE61CB-8E00-4F36-AC0D-94FE70215395}"/>
    <hyperlink ref="A1293" r:id="rId1287" xr:uid="{D81FD796-F042-4EDF-B43D-24A3E8EBA614}"/>
    <hyperlink ref="A1294" r:id="rId1288" xr:uid="{F224994F-A2B1-48D1-B897-1FADA245CBC8}"/>
    <hyperlink ref="A1295" r:id="rId1289" xr:uid="{2DDECFFB-51A5-4CD0-9636-4263A243654D}"/>
    <hyperlink ref="A1296" r:id="rId1290" xr:uid="{C1E519B2-EDC4-4746-B9DF-36933D51E669}"/>
    <hyperlink ref="A1297" r:id="rId1291" xr:uid="{F4FCB18D-01B9-48AC-9AC1-EBF726E0E464}"/>
    <hyperlink ref="A1298" r:id="rId1292" xr:uid="{0BF6BF68-55BB-4E73-9EC7-3620FB949DD0}"/>
    <hyperlink ref="A1299" r:id="rId1293" xr:uid="{07F275EC-670C-4032-890B-5C8D3229630C}"/>
    <hyperlink ref="A1300" r:id="rId1294" xr:uid="{55C08EE6-087E-4104-A2B8-F6D40C85FE34}"/>
    <hyperlink ref="A1301" r:id="rId1295" xr:uid="{E2C23913-66A6-41CF-89E9-C4D13822B54D}"/>
    <hyperlink ref="A1302" r:id="rId1296" xr:uid="{F1560E27-B62B-48FB-A6FA-993B48EE3ABE}"/>
    <hyperlink ref="A1303" r:id="rId1297" xr:uid="{E189B3FA-7084-45A1-B60B-65F2CA2FEB04}"/>
    <hyperlink ref="A1304" r:id="rId1298" xr:uid="{453EC56C-3704-49C8-9708-E7B636FE2152}"/>
    <hyperlink ref="A1305" r:id="rId1299" xr:uid="{10E47F16-7D4F-439A-8DA0-0346A63DA224}"/>
    <hyperlink ref="A1306" r:id="rId1300" xr:uid="{D6367A9A-BC5E-43D3-B172-27FD885D429D}"/>
    <hyperlink ref="A1307" r:id="rId1301" xr:uid="{70B37854-E74A-4C4D-93B0-0B635AE90FE2}"/>
    <hyperlink ref="A1308" r:id="rId1302" xr:uid="{451D05A2-ABBA-42F3-8EF8-B758FABB9422}"/>
    <hyperlink ref="A1309" r:id="rId1303" xr:uid="{E315A653-C580-41F3-94C6-62E65A00B23D}"/>
    <hyperlink ref="A1310" r:id="rId1304" xr:uid="{01373D1F-6188-4CE5-8DAA-A2FF5425E6B0}"/>
    <hyperlink ref="A1311" r:id="rId1305" xr:uid="{2CC9FC51-F5EF-4AF2-822C-6DA55A43B6CB}"/>
    <hyperlink ref="A1312" r:id="rId1306" xr:uid="{B7E2D55B-1569-446A-A343-FA626903CEC5}"/>
    <hyperlink ref="A1313" r:id="rId1307" xr:uid="{895E8665-388E-4404-AE6C-C28C246F32C2}"/>
    <hyperlink ref="A1314" r:id="rId1308" xr:uid="{FFD6034C-F26F-4CF1-A18D-19B4F6AB0E80}"/>
    <hyperlink ref="A1315" r:id="rId1309" xr:uid="{097638A0-204E-495B-8D1A-486B37C1E334}"/>
    <hyperlink ref="A1316" r:id="rId1310" xr:uid="{72EC2BB3-C00F-47C2-BB7F-3E2E377F833B}"/>
    <hyperlink ref="A1317" r:id="rId1311" xr:uid="{8CE893C5-A57C-43E3-9611-3A566A5BA5BD}"/>
    <hyperlink ref="A1318" r:id="rId1312" xr:uid="{E0EFD132-9718-4D06-A510-075807823BEA}"/>
    <hyperlink ref="A1319" r:id="rId1313" xr:uid="{73AD9C46-4B8E-49B1-B610-025E195C0451}"/>
    <hyperlink ref="A1320" r:id="rId1314" xr:uid="{0F4E150C-631D-42D8-B740-AD01467EFFE4}"/>
    <hyperlink ref="A1321" r:id="rId1315" xr:uid="{6B2058C3-C8D3-4451-8933-0860A7B76E4D}"/>
    <hyperlink ref="A1322" r:id="rId1316" xr:uid="{5FE0DAD3-4BE1-4E9B-8710-D57C61EAC02D}"/>
    <hyperlink ref="A1323" r:id="rId1317" xr:uid="{1F424D56-513D-41A4-B00E-54B2ED8EF63F}"/>
    <hyperlink ref="A1324" r:id="rId1318" xr:uid="{97F72D39-64CB-4F61-B0F6-BF54E4A14A6E}"/>
    <hyperlink ref="A1325" r:id="rId1319" xr:uid="{5F81FEA2-1C6F-4D1F-8C81-DDB635310537}"/>
    <hyperlink ref="A1326" r:id="rId1320" xr:uid="{E4FA4AFE-DA05-477F-8AFC-C5A30F437586}"/>
    <hyperlink ref="A1327" r:id="rId1321" xr:uid="{58061136-EB51-4D79-9451-6C5B3B9BC863}"/>
    <hyperlink ref="A1328" r:id="rId1322" xr:uid="{217F20BF-0410-4AEC-8EF5-82F1D6215069}"/>
    <hyperlink ref="A1329" r:id="rId1323" xr:uid="{F9C422EE-D5B0-41B1-ABD4-158136ED62CA}"/>
    <hyperlink ref="A1330" r:id="rId1324" xr:uid="{0B393259-52F6-4B07-9306-1A6FBB3CC3DE}"/>
    <hyperlink ref="A1331" r:id="rId1325" xr:uid="{DA2A80C9-7E2E-491B-BED6-BC1BF43364FA}"/>
    <hyperlink ref="A1332" r:id="rId1326" xr:uid="{49AC6F72-9D21-4860-BD35-36B2DB0B1EFA}"/>
    <hyperlink ref="A1333" r:id="rId1327" xr:uid="{E840D484-C01A-4205-BAC5-7649A8260AC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0D60-5372-4C61-9DB9-ECFD0A58D289}">
  <dimension ref="A1:H467"/>
  <sheetViews>
    <sheetView zoomScale="205" zoomScaleNormal="205" workbookViewId="0">
      <selection activeCell="H158" sqref="H158"/>
    </sheetView>
  </sheetViews>
  <sheetFormatPr defaultRowHeight="12.75"/>
  <cols>
    <col min="1" max="1" width="9.7109375" bestFit="1" customWidth="1"/>
    <col min="2" max="2" width="36.7109375" bestFit="1" customWidth="1"/>
    <col min="3" max="4" width="2.7109375" customWidth="1"/>
    <col min="5" max="5" width="39" customWidth="1"/>
    <col min="6" max="6" width="2.42578125" customWidth="1"/>
    <col min="8" max="8" width="46.140625" bestFit="1" customWidth="1"/>
  </cols>
  <sheetData>
    <row r="1" spans="1:8">
      <c r="A1" t="str">
        <f>IF(ISNA(INDEX('Yardi Report'!$A:$E,MATCH('Chart of Accounts'!$A7,'Yardi Report'!$A:$A,0),1)),"",INDEX('Yardi Report'!$A:$E,MATCH('Chart of Accounts'!$A7,'Yardi Report'!$A:$A,0),1))</f>
        <v>1000-0000</v>
      </c>
      <c r="B1" t="str">
        <f>IF(ISNA(INDEX('Yardi Report'!$A:$E,MATCH('Chart of Accounts'!$A7,'Yardi Report'!$A:$A,0),2)),"",INDEX('Yardi Report'!$A:$E,MATCH('Chart of Accounts'!$A7,'Yardi Report'!$A:$A,0),2))</f>
        <v xml:space="preserve"> ASSETS</v>
      </c>
      <c r="C1">
        <f>IF(A1="","",1)</f>
        <v>1</v>
      </c>
      <c r="E1" t="str">
        <f>A1&amp;" "&amp;B1</f>
        <v>1000-0000  ASSETS</v>
      </c>
      <c r="G1">
        <v>1</v>
      </c>
      <c r="H1" t="str">
        <f>IF(ISNA(INDEX(C1:E500,MATCH(G1,C1:C500,0),3)),"",INDEX(C1:E500,MATCH(G1,C1:C500,0),3))</f>
        <v>1000-0000  ASSETS</v>
      </c>
    </row>
    <row r="2" spans="1:8">
      <c r="A2" t="str">
        <f>IF(ISNA(INDEX('Yardi Report'!$A:$E,MATCH('Chart of Accounts'!$A8,'Yardi Report'!$A:$A,0),1)),"",INDEX('Yardi Report'!$A:$E,MATCH('Chart of Accounts'!$A8,'Yardi Report'!$A:$A,0),1))</f>
        <v>1100-0000</v>
      </c>
      <c r="B2" t="str">
        <f>IF(ISNA(INDEX('Yardi Report'!$A:$E,MATCH('Chart of Accounts'!$A8,'Yardi Report'!$A:$A,0),2)),"",INDEX('Yardi Report'!$A:$E,MATCH('Chart of Accounts'!$A8,'Yardi Report'!$A:$A,0),2))</f>
        <v xml:space="preserve"> CASH</v>
      </c>
      <c r="C2">
        <f>IF(A2="","",C1+1)</f>
        <v>2</v>
      </c>
      <c r="E2" t="str">
        <f t="shared" ref="E2:E65" si="0">A2&amp;" "&amp;B2</f>
        <v>1100-0000  CASH</v>
      </c>
      <c r="G2">
        <f>+G1+1</f>
        <v>2</v>
      </c>
      <c r="H2" t="str">
        <f t="shared" ref="H2:H65" si="1">IF(ISNA(INDEX(C2:E501,MATCH(G2,C2:C501,0),3)),"",INDEX(C2:E501,MATCH(G2,C2:C501,0),3))</f>
        <v>1100-0000  CASH</v>
      </c>
    </row>
    <row r="3" spans="1:8">
      <c r="A3" t="str">
        <f>IF(ISNA(INDEX('Yardi Report'!$A:$E,MATCH('Chart of Accounts'!$A9,'Yardi Report'!$A:$A,0),1)),"",INDEX('Yardi Report'!$A:$E,MATCH('Chart of Accounts'!$A9,'Yardi Report'!$A:$A,0),1))</f>
        <v/>
      </c>
      <c r="B3" t="str">
        <f>IF(ISNA(INDEX('Yardi Report'!$A:$E,MATCH('Chart of Accounts'!$A9,'Yardi Report'!$A:$A,0),2)),"",INDEX('Yardi Report'!$A:$E,MATCH('Chart of Accounts'!$A9,'Yardi Report'!$A:$A,0),2))</f>
        <v/>
      </c>
      <c r="C3" t="str">
        <f>IF(A3="","",MAX($C$1:C2)+1)</f>
        <v/>
      </c>
      <c r="E3" t="str">
        <f t="shared" si="0"/>
        <v xml:space="preserve"> </v>
      </c>
      <c r="G3">
        <f t="shared" ref="G3:G66" si="2">+G2+1</f>
        <v>3</v>
      </c>
      <c r="H3" t="str">
        <f t="shared" si="1"/>
        <v>1110-4947  Crown Point West Chase</v>
      </c>
    </row>
    <row r="4" spans="1:8">
      <c r="A4" t="str">
        <f>IF(ISNA(INDEX('Yardi Report'!$A:$E,MATCH('Chart of Accounts'!$A10,'Yardi Report'!$A:$A,0),1)),"",INDEX('Yardi Report'!$A:$E,MATCH('Chart of Accounts'!$A10,'Yardi Report'!$A:$A,0),1))</f>
        <v/>
      </c>
      <c r="B4" t="str">
        <f>IF(ISNA(INDEX('Yardi Report'!$A:$E,MATCH('Chart of Accounts'!$A10,'Yardi Report'!$A:$A,0),2)),"",INDEX('Yardi Report'!$A:$E,MATCH('Chart of Accounts'!$A10,'Yardi Report'!$A:$A,0),2))</f>
        <v/>
      </c>
      <c r="C4" t="str">
        <f>IF(A4="","",MAX($C$1:C3)+1)</f>
        <v/>
      </c>
      <c r="E4" t="str">
        <f t="shared" si="0"/>
        <v xml:space="preserve"> </v>
      </c>
      <c r="G4">
        <f t="shared" si="2"/>
        <v>4</v>
      </c>
      <c r="H4" t="str">
        <f t="shared" si="1"/>
        <v>1110-4957  Crown Point West Centier Operating</v>
      </c>
    </row>
    <row r="5" spans="1:8">
      <c r="A5" t="str">
        <f>IF(ISNA(INDEX('Yardi Report'!$A:$E,MATCH('Chart of Accounts'!$A11,'Yardi Report'!$A:$A,0),1)),"",INDEX('Yardi Report'!$A:$E,MATCH('Chart of Accounts'!$A11,'Yardi Report'!$A:$A,0),1))</f>
        <v/>
      </c>
      <c r="B5" t="str">
        <f>IF(ISNA(INDEX('Yardi Report'!$A:$E,MATCH('Chart of Accounts'!$A11,'Yardi Report'!$A:$A,0),2)),"",INDEX('Yardi Report'!$A:$E,MATCH('Chart of Accounts'!$A11,'Yardi Report'!$A:$A,0),2))</f>
        <v/>
      </c>
      <c r="C5" t="str">
        <f>IF(A5="","",MAX($C$1:C4)+1)</f>
        <v/>
      </c>
      <c r="E5" t="str">
        <f t="shared" si="0"/>
        <v xml:space="preserve"> </v>
      </c>
      <c r="G5">
        <f t="shared" si="2"/>
        <v>5</v>
      </c>
      <c r="H5" t="str">
        <f t="shared" si="1"/>
        <v>1190-0000   TOTAL CASH</v>
      </c>
    </row>
    <row r="6" spans="1:8">
      <c r="A6" t="str">
        <f>IF(ISNA(INDEX('Yardi Report'!$A:$E,MATCH('Chart of Accounts'!$A12,'Yardi Report'!$A:$A,0),1)),"",INDEX('Yardi Report'!$A:$E,MATCH('Chart of Accounts'!$A12,'Yardi Report'!$A:$A,0),1))</f>
        <v/>
      </c>
      <c r="B6" t="str">
        <f>IF(ISNA(INDEX('Yardi Report'!$A:$E,MATCH('Chart of Accounts'!$A12,'Yardi Report'!$A:$A,0),2)),"",INDEX('Yardi Report'!$A:$E,MATCH('Chart of Accounts'!$A12,'Yardi Report'!$A:$A,0),2))</f>
        <v/>
      </c>
      <c r="C6" t="str">
        <f>IF(A6="","",MAX($C$1:C5)+1)</f>
        <v/>
      </c>
      <c r="E6" t="str">
        <f t="shared" si="0"/>
        <v xml:space="preserve"> </v>
      </c>
      <c r="G6">
        <f t="shared" si="2"/>
        <v>6</v>
      </c>
      <c r="H6" t="str">
        <f t="shared" si="1"/>
        <v>1200-0000  RESTRICTED CASH</v>
      </c>
    </row>
    <row r="7" spans="1:8">
      <c r="A7" t="str">
        <f>IF(ISNA(INDEX('Yardi Report'!$A:$E,MATCH('Chart of Accounts'!$A13,'Yardi Report'!$A:$A,0),1)),"",INDEX('Yardi Report'!$A:$E,MATCH('Chart of Accounts'!$A13,'Yardi Report'!$A:$A,0),1))</f>
        <v/>
      </c>
      <c r="B7" t="str">
        <f>IF(ISNA(INDEX('Yardi Report'!$A:$E,MATCH('Chart of Accounts'!$A13,'Yardi Report'!$A:$A,0),2)),"",INDEX('Yardi Report'!$A:$E,MATCH('Chart of Accounts'!$A13,'Yardi Report'!$A:$A,0),2))</f>
        <v/>
      </c>
      <c r="C7" t="str">
        <f>IF(A7="","",MAX($C$1:C6)+1)</f>
        <v/>
      </c>
      <c r="E7" t="str">
        <f t="shared" si="0"/>
        <v xml:space="preserve"> </v>
      </c>
      <c r="G7">
        <f t="shared" si="2"/>
        <v>7</v>
      </c>
      <c r="H7" t="str">
        <f t="shared" si="1"/>
        <v>1200-0003   Escrow Reserve</v>
      </c>
    </row>
    <row r="8" spans="1:8">
      <c r="A8" t="str">
        <f>IF(ISNA(INDEX('Yardi Report'!$A:$E,MATCH('Chart of Accounts'!$A14,'Yardi Report'!$A:$A,0),1)),"",INDEX('Yardi Report'!$A:$E,MATCH('Chart of Accounts'!$A14,'Yardi Report'!$A:$A,0),1))</f>
        <v/>
      </c>
      <c r="B8" t="str">
        <f>IF(ISNA(INDEX('Yardi Report'!$A:$E,MATCH('Chart of Accounts'!$A14,'Yardi Report'!$A:$A,0),2)),"",INDEX('Yardi Report'!$A:$E,MATCH('Chart of Accounts'!$A14,'Yardi Report'!$A:$A,0),2))</f>
        <v/>
      </c>
      <c r="C8" t="str">
        <f>IF(A8="","",MAX($C$1:C7)+1)</f>
        <v/>
      </c>
      <c r="E8" t="str">
        <f t="shared" si="0"/>
        <v xml:space="preserve"> </v>
      </c>
      <c r="G8">
        <f t="shared" si="2"/>
        <v>8</v>
      </c>
      <c r="H8" t="str">
        <f t="shared" si="1"/>
        <v>1200-0005   Utility Security Deposits</v>
      </c>
    </row>
    <row r="9" spans="1:8">
      <c r="A9" t="str">
        <f>IF(ISNA(INDEX('Yardi Report'!$A:$E,MATCH('Chart of Accounts'!$A15,'Yardi Report'!$A:$A,0),1)),"",INDEX('Yardi Report'!$A:$E,MATCH('Chart of Accounts'!$A15,'Yardi Report'!$A:$A,0),1))</f>
        <v/>
      </c>
      <c r="B9" t="str">
        <f>IF(ISNA(INDEX('Yardi Report'!$A:$E,MATCH('Chart of Accounts'!$A15,'Yardi Report'!$A:$A,0),2)),"",INDEX('Yardi Report'!$A:$E,MATCH('Chart of Accounts'!$A15,'Yardi Report'!$A:$A,0),2))</f>
        <v/>
      </c>
      <c r="C9" t="str">
        <f>IF(A9="","",MAX($C$1:C8)+1)</f>
        <v/>
      </c>
      <c r="E9" t="str">
        <f t="shared" si="0"/>
        <v xml:space="preserve"> </v>
      </c>
      <c r="G9">
        <f t="shared" si="2"/>
        <v>9</v>
      </c>
      <c r="H9" t="str">
        <f t="shared" si="1"/>
        <v>1200-0006   Crown Point West Centier</v>
      </c>
    </row>
    <row r="10" spans="1:8">
      <c r="A10" t="str">
        <f>IF(ISNA(INDEX('Yardi Report'!$A:$E,MATCH('Chart of Accounts'!$A16,'Yardi Report'!$A:$A,0),1)),"",INDEX('Yardi Report'!$A:$E,MATCH('Chart of Accounts'!$A16,'Yardi Report'!$A:$A,0),1))</f>
        <v/>
      </c>
      <c r="B10" t="str">
        <f>IF(ISNA(INDEX('Yardi Report'!$A:$E,MATCH('Chart of Accounts'!$A16,'Yardi Report'!$A:$A,0),2)),"",INDEX('Yardi Report'!$A:$E,MATCH('Chart of Accounts'!$A16,'Yardi Report'!$A:$A,0),2))</f>
        <v/>
      </c>
      <c r="C10" t="str">
        <f>IF(A10="","",MAX($C$1:C9)+1)</f>
        <v/>
      </c>
      <c r="E10" t="str">
        <f t="shared" si="0"/>
        <v xml:space="preserve"> </v>
      </c>
      <c r="G10">
        <f t="shared" si="2"/>
        <v>10</v>
      </c>
      <c r="H10" t="str">
        <f t="shared" si="1"/>
        <v>1200-0008   SS of Crown Point West Held</v>
      </c>
    </row>
    <row r="11" spans="1:8">
      <c r="A11" t="str">
        <f>IF(ISNA(INDEX('Yardi Report'!$A:$E,MATCH('Chart of Accounts'!$A17,'Yardi Report'!$A:$A,0),1)),"",INDEX('Yardi Report'!$A:$E,MATCH('Chart of Accounts'!$A17,'Yardi Report'!$A:$A,0),1))</f>
        <v/>
      </c>
      <c r="B11" t="str">
        <f>IF(ISNA(INDEX('Yardi Report'!$A:$E,MATCH('Chart of Accounts'!$A17,'Yardi Report'!$A:$A,0),2)),"",INDEX('Yardi Report'!$A:$E,MATCH('Chart of Accounts'!$A17,'Yardi Report'!$A:$A,0),2))</f>
        <v/>
      </c>
      <c r="C11" t="str">
        <f>IF(A11="","",MAX($C$1:C10)+1)</f>
        <v/>
      </c>
      <c r="E11" t="str">
        <f t="shared" si="0"/>
        <v xml:space="preserve"> </v>
      </c>
      <c r="G11">
        <f t="shared" si="2"/>
        <v>11</v>
      </c>
      <c r="H11" t="str">
        <f t="shared" si="1"/>
        <v>1250-0000   TOTAL RESTRICTED CASH</v>
      </c>
    </row>
    <row r="12" spans="1:8">
      <c r="A12" t="str">
        <f>IF(ISNA(INDEX('Yardi Report'!$A:$E,MATCH('Chart of Accounts'!$A18,'Yardi Report'!$A:$A,0),1)),"",INDEX('Yardi Report'!$A:$E,MATCH('Chart of Accounts'!$A18,'Yardi Report'!$A:$A,0),1))</f>
        <v/>
      </c>
      <c r="B12" t="str">
        <f>IF(ISNA(INDEX('Yardi Report'!$A:$E,MATCH('Chart of Accounts'!$A18,'Yardi Report'!$A:$A,0),2)),"",INDEX('Yardi Report'!$A:$E,MATCH('Chart of Accounts'!$A18,'Yardi Report'!$A:$A,0),2))</f>
        <v/>
      </c>
      <c r="C12" t="str">
        <f>IF(A12="","",MAX($C$1:C11)+1)</f>
        <v/>
      </c>
      <c r="E12" t="str">
        <f t="shared" si="0"/>
        <v xml:space="preserve"> </v>
      </c>
      <c r="G12">
        <f t="shared" si="2"/>
        <v>12</v>
      </c>
      <c r="H12" t="str">
        <f t="shared" si="1"/>
        <v>1300-0000  Accounts Receivable</v>
      </c>
    </row>
    <row r="13" spans="1:8">
      <c r="A13" t="str">
        <f>IF(ISNA(INDEX('Yardi Report'!$A:$E,MATCH('Chart of Accounts'!$A19,'Yardi Report'!$A:$A,0),1)),"",INDEX('Yardi Report'!$A:$E,MATCH('Chart of Accounts'!$A19,'Yardi Report'!$A:$A,0),1))</f>
        <v/>
      </c>
      <c r="B13" t="str">
        <f>IF(ISNA(INDEX('Yardi Report'!$A:$E,MATCH('Chart of Accounts'!$A19,'Yardi Report'!$A:$A,0),2)),"",INDEX('Yardi Report'!$A:$E,MATCH('Chart of Accounts'!$A19,'Yardi Report'!$A:$A,0),2))</f>
        <v/>
      </c>
      <c r="C13" t="str">
        <f>IF(A13="","",MAX($C$1:C12)+1)</f>
        <v/>
      </c>
      <c r="E13" t="str">
        <f t="shared" si="0"/>
        <v xml:space="preserve"> </v>
      </c>
      <c r="G13">
        <f t="shared" si="2"/>
        <v>13</v>
      </c>
      <c r="H13" t="str">
        <f t="shared" si="1"/>
        <v>1350-0000  Pre-Paid Expenses</v>
      </c>
    </row>
    <row r="14" spans="1:8">
      <c r="A14" t="str">
        <f>IF(ISNA(INDEX('Yardi Report'!$A:$E,MATCH('Chart of Accounts'!$A20,'Yardi Report'!$A:$A,0),1)),"",INDEX('Yardi Report'!$A:$E,MATCH('Chart of Accounts'!$A20,'Yardi Report'!$A:$A,0),1))</f>
        <v/>
      </c>
      <c r="B14" t="str">
        <f>IF(ISNA(INDEX('Yardi Report'!$A:$E,MATCH('Chart of Accounts'!$A20,'Yardi Report'!$A:$A,0),2)),"",INDEX('Yardi Report'!$A:$E,MATCH('Chart of Accounts'!$A20,'Yardi Report'!$A:$A,0),2))</f>
        <v/>
      </c>
      <c r="C14" t="str">
        <f>IF(A14="","",MAX($C$1:C13)+1)</f>
        <v/>
      </c>
      <c r="E14" t="str">
        <f t="shared" si="0"/>
        <v xml:space="preserve"> </v>
      </c>
      <c r="G14">
        <f t="shared" si="2"/>
        <v>14</v>
      </c>
      <c r="H14" t="str">
        <f t="shared" si="1"/>
        <v>1350-0001  Pre-Paid Insurance</v>
      </c>
    </row>
    <row r="15" spans="1:8">
      <c r="A15" t="str">
        <f>IF(ISNA(INDEX('Yardi Report'!$A:$E,MATCH('Chart of Accounts'!$A21,'Yardi Report'!$A:$A,0),1)),"",INDEX('Yardi Report'!$A:$E,MATCH('Chart of Accounts'!$A21,'Yardi Report'!$A:$A,0),1))</f>
        <v/>
      </c>
      <c r="B15" t="str">
        <f>IF(ISNA(INDEX('Yardi Report'!$A:$E,MATCH('Chart of Accounts'!$A21,'Yardi Report'!$A:$A,0),2)),"",INDEX('Yardi Report'!$A:$E,MATCH('Chart of Accounts'!$A21,'Yardi Report'!$A:$A,0),2))</f>
        <v/>
      </c>
      <c r="C15" t="str">
        <f>IF(A15="","",MAX($C$1:C14)+1)</f>
        <v/>
      </c>
      <c r="E15" t="str">
        <f t="shared" si="0"/>
        <v xml:space="preserve"> </v>
      </c>
      <c r="G15">
        <f t="shared" si="2"/>
        <v>15</v>
      </c>
      <c r="H15" t="str">
        <f t="shared" si="1"/>
        <v>1350-9999   Total Pre-Paid Expenses</v>
      </c>
    </row>
    <row r="16" spans="1:8">
      <c r="A16" t="str">
        <f>IF(ISNA(INDEX('Yardi Report'!$A:$E,MATCH('Chart of Accounts'!$A22,'Yardi Report'!$A:$A,0),1)),"",INDEX('Yardi Report'!$A:$E,MATCH('Chart of Accounts'!$A22,'Yardi Report'!$A:$A,0),1))</f>
        <v/>
      </c>
      <c r="B16" t="str">
        <f>IF(ISNA(INDEX('Yardi Report'!$A:$E,MATCH('Chart of Accounts'!$A22,'Yardi Report'!$A:$A,0),2)),"",INDEX('Yardi Report'!$A:$E,MATCH('Chart of Accounts'!$A22,'Yardi Report'!$A:$A,0),2))</f>
        <v/>
      </c>
      <c r="C16" t="str">
        <f>IF(A16="","",MAX($C$1:C15)+1)</f>
        <v/>
      </c>
      <c r="E16" t="str">
        <f t="shared" si="0"/>
        <v xml:space="preserve"> </v>
      </c>
      <c r="G16">
        <f t="shared" si="2"/>
        <v>16</v>
      </c>
      <c r="H16" t="str">
        <f t="shared" si="1"/>
        <v>1400-0000  PROPERTY</v>
      </c>
    </row>
    <row r="17" spans="1:8">
      <c r="A17" t="str">
        <f>IF(ISNA(INDEX('Yardi Report'!$A:$E,MATCH('Chart of Accounts'!$A23,'Yardi Report'!$A:$A,0),1)),"",INDEX('Yardi Report'!$A:$E,MATCH('Chart of Accounts'!$A23,'Yardi Report'!$A:$A,0),1))</f>
        <v/>
      </c>
      <c r="B17" t="str">
        <f>IF(ISNA(INDEX('Yardi Report'!$A:$E,MATCH('Chart of Accounts'!$A23,'Yardi Report'!$A:$A,0),2)),"",INDEX('Yardi Report'!$A:$E,MATCH('Chart of Accounts'!$A23,'Yardi Report'!$A:$A,0),2))</f>
        <v/>
      </c>
      <c r="C17" t="str">
        <f>IF(A17="","",MAX($C$1:C16)+1)</f>
        <v/>
      </c>
      <c r="E17" t="str">
        <f t="shared" si="0"/>
        <v xml:space="preserve"> </v>
      </c>
      <c r="G17">
        <f t="shared" si="2"/>
        <v>17</v>
      </c>
      <c r="H17" t="str">
        <f t="shared" si="1"/>
        <v>1410-0000  Land</v>
      </c>
    </row>
    <row r="18" spans="1:8">
      <c r="A18" t="str">
        <f>IF(ISNA(INDEX('Yardi Report'!$A:$E,MATCH('Chart of Accounts'!$A24,'Yardi Report'!$A:$A,0),1)),"",INDEX('Yardi Report'!$A:$E,MATCH('Chart of Accounts'!$A24,'Yardi Report'!$A:$A,0),1))</f>
        <v/>
      </c>
      <c r="B18" t="str">
        <f>IF(ISNA(INDEX('Yardi Report'!$A:$E,MATCH('Chart of Accounts'!$A24,'Yardi Report'!$A:$A,0),2)),"",INDEX('Yardi Report'!$A:$E,MATCH('Chart of Accounts'!$A24,'Yardi Report'!$A:$A,0),2))</f>
        <v/>
      </c>
      <c r="C18" t="str">
        <f>IF(A18="","",MAX($C$1:C17)+1)</f>
        <v/>
      </c>
      <c r="E18" t="str">
        <f t="shared" si="0"/>
        <v xml:space="preserve"> </v>
      </c>
      <c r="G18">
        <f t="shared" si="2"/>
        <v>18</v>
      </c>
      <c r="H18" t="str">
        <f t="shared" si="1"/>
        <v>1500-0000  Building</v>
      </c>
    </row>
    <row r="19" spans="1:8">
      <c r="A19" t="str">
        <f>IF(ISNA(INDEX('Yardi Report'!$A:$E,MATCH('Chart of Accounts'!$A25,'Yardi Report'!$A:$A,0),1)),"",INDEX('Yardi Report'!$A:$E,MATCH('Chart of Accounts'!$A25,'Yardi Report'!$A:$A,0),1))</f>
        <v/>
      </c>
      <c r="B19" t="str">
        <f>IF(ISNA(INDEX('Yardi Report'!$A:$E,MATCH('Chart of Accounts'!$A25,'Yardi Report'!$A:$A,0),2)),"",INDEX('Yardi Report'!$A:$E,MATCH('Chart of Accounts'!$A25,'Yardi Report'!$A:$A,0),2))</f>
        <v/>
      </c>
      <c r="C19" t="str">
        <f>IF(A19="","",MAX($C$1:C18)+1)</f>
        <v/>
      </c>
      <c r="E19" t="str">
        <f t="shared" si="0"/>
        <v xml:space="preserve"> </v>
      </c>
      <c r="G19">
        <f t="shared" si="2"/>
        <v>19</v>
      </c>
      <c r="H19" t="str">
        <f t="shared" si="1"/>
        <v>1500-0001  5 Year Property</v>
      </c>
    </row>
    <row r="20" spans="1:8">
      <c r="A20" t="str">
        <f>IF(ISNA(INDEX('Yardi Report'!$A:$E,MATCH('Chart of Accounts'!$A26,'Yardi Report'!$A:$A,0),1)),"",INDEX('Yardi Report'!$A:$E,MATCH('Chart of Accounts'!$A26,'Yardi Report'!$A:$A,0),1))</f>
        <v/>
      </c>
      <c r="B20" t="str">
        <f>IF(ISNA(INDEX('Yardi Report'!$A:$E,MATCH('Chart of Accounts'!$A26,'Yardi Report'!$A:$A,0),2)),"",INDEX('Yardi Report'!$A:$E,MATCH('Chart of Accounts'!$A26,'Yardi Report'!$A:$A,0),2))</f>
        <v/>
      </c>
      <c r="C20" t="str">
        <f>IF(A20="","",MAX($C$1:C19)+1)</f>
        <v/>
      </c>
      <c r="E20" t="str">
        <f t="shared" si="0"/>
        <v xml:space="preserve"> </v>
      </c>
      <c r="G20">
        <f t="shared" si="2"/>
        <v>20</v>
      </c>
      <c r="H20" t="str">
        <f t="shared" si="1"/>
        <v>1500-0010  Building Improvements</v>
      </c>
    </row>
    <row r="21" spans="1:8">
      <c r="A21" t="str">
        <f>IF(ISNA(INDEX('Yardi Report'!$A:$E,MATCH('Chart of Accounts'!$A27,'Yardi Report'!$A:$A,0),1)),"",INDEX('Yardi Report'!$A:$E,MATCH('Chart of Accounts'!$A27,'Yardi Report'!$A:$A,0),1))</f>
        <v/>
      </c>
      <c r="B21" t="str">
        <f>IF(ISNA(INDEX('Yardi Report'!$A:$E,MATCH('Chart of Accounts'!$A27,'Yardi Report'!$A:$A,0),2)),"",INDEX('Yardi Report'!$A:$E,MATCH('Chart of Accounts'!$A27,'Yardi Report'!$A:$A,0),2))</f>
        <v/>
      </c>
      <c r="C21" t="str">
        <f>IF(A21="","",MAX($C$1:C20)+1)</f>
        <v/>
      </c>
      <c r="E21" t="str">
        <f t="shared" si="0"/>
        <v xml:space="preserve"> </v>
      </c>
      <c r="G21">
        <f t="shared" si="2"/>
        <v>21</v>
      </c>
      <c r="H21" t="str">
        <f t="shared" si="1"/>
        <v>1500-0040  Loan Fees  A</v>
      </c>
    </row>
    <row r="22" spans="1:8">
      <c r="A22" t="str">
        <f>IF(ISNA(INDEX('Yardi Report'!$A:$E,MATCH('Chart of Accounts'!$A28,'Yardi Report'!$A:$A,0),1)),"",INDEX('Yardi Report'!$A:$E,MATCH('Chart of Accounts'!$A28,'Yardi Report'!$A:$A,0),1))</f>
        <v/>
      </c>
      <c r="B22" t="str">
        <f>IF(ISNA(INDEX('Yardi Report'!$A:$E,MATCH('Chart of Accounts'!$A28,'Yardi Report'!$A:$A,0),2)),"",INDEX('Yardi Report'!$A:$E,MATCH('Chart of Accounts'!$A28,'Yardi Report'!$A:$A,0),2))</f>
        <v/>
      </c>
      <c r="C22" t="str">
        <f>IF(A22="","",MAX($C$1:C21)+1)</f>
        <v/>
      </c>
      <c r="E22" t="str">
        <f t="shared" si="0"/>
        <v xml:space="preserve"> </v>
      </c>
      <c r="G22">
        <f t="shared" si="2"/>
        <v>22</v>
      </c>
      <c r="H22" t="str">
        <f t="shared" si="1"/>
        <v>1500-0050  AD Building</v>
      </c>
    </row>
    <row r="23" spans="1:8">
      <c r="A23" t="str">
        <f>IF(ISNA(INDEX('Yardi Report'!$A:$E,MATCH('Chart of Accounts'!$A29,'Yardi Report'!$A:$A,0),1)),"",INDEX('Yardi Report'!$A:$E,MATCH('Chart of Accounts'!$A29,'Yardi Report'!$A:$A,0),1))</f>
        <v/>
      </c>
      <c r="B23" t="str">
        <f>IF(ISNA(INDEX('Yardi Report'!$A:$E,MATCH('Chart of Accounts'!$A29,'Yardi Report'!$A:$A,0),2)),"",INDEX('Yardi Report'!$A:$E,MATCH('Chart of Accounts'!$A29,'Yardi Report'!$A:$A,0),2))</f>
        <v/>
      </c>
      <c r="C23" t="str">
        <f>IF(A23="","",MAX($C$1:C22)+1)</f>
        <v/>
      </c>
      <c r="E23" t="str">
        <f t="shared" si="0"/>
        <v xml:space="preserve"> </v>
      </c>
      <c r="G23">
        <f t="shared" si="2"/>
        <v>23</v>
      </c>
      <c r="H23" t="str">
        <f t="shared" si="1"/>
        <v>1500-0051 A/D 5 Year Property</v>
      </c>
    </row>
    <row r="24" spans="1:8">
      <c r="A24" t="str">
        <f>IF(ISNA(INDEX('Yardi Report'!$A:$E,MATCH('Chart of Accounts'!$A30,'Yardi Report'!$A:$A,0),1)),"",INDEX('Yardi Report'!$A:$E,MATCH('Chart of Accounts'!$A30,'Yardi Report'!$A:$A,0),1))</f>
        <v/>
      </c>
      <c r="B24" t="str">
        <f>IF(ISNA(INDEX('Yardi Report'!$A:$E,MATCH('Chart of Accounts'!$A30,'Yardi Report'!$A:$A,0),2)),"",INDEX('Yardi Report'!$A:$E,MATCH('Chart of Accounts'!$A30,'Yardi Report'!$A:$A,0),2))</f>
        <v/>
      </c>
      <c r="C24" t="str">
        <f>IF(A24="","",MAX($C$1:C23)+1)</f>
        <v/>
      </c>
      <c r="E24" t="str">
        <f t="shared" si="0"/>
        <v xml:space="preserve"> </v>
      </c>
      <c r="G24">
        <f t="shared" si="2"/>
        <v>24</v>
      </c>
      <c r="H24" t="str">
        <f t="shared" si="1"/>
        <v>1500-0060  A/D Building Improvements</v>
      </c>
    </row>
    <row r="25" spans="1:8">
      <c r="A25" t="str">
        <f>IF(ISNA(INDEX('Yardi Report'!$A:$E,MATCH('Chart of Accounts'!$A31,'Yardi Report'!$A:$A,0),1)),"",INDEX('Yardi Report'!$A:$E,MATCH('Chart of Accounts'!$A31,'Yardi Report'!$A:$A,0),1))</f>
        <v/>
      </c>
      <c r="B25" t="str">
        <f>IF(ISNA(INDEX('Yardi Report'!$A:$E,MATCH('Chart of Accounts'!$A31,'Yardi Report'!$A:$A,0),2)),"",INDEX('Yardi Report'!$A:$E,MATCH('Chart of Accounts'!$A31,'Yardi Report'!$A:$A,0),2))</f>
        <v/>
      </c>
      <c r="C25" t="str">
        <f>IF(A25="","",MAX($C$1:C24)+1)</f>
        <v/>
      </c>
      <c r="E25" t="str">
        <f t="shared" si="0"/>
        <v xml:space="preserve"> </v>
      </c>
      <c r="G25">
        <f t="shared" si="2"/>
        <v>25</v>
      </c>
      <c r="H25" t="str">
        <f t="shared" si="1"/>
        <v>1500-0085  A/A Loan Fees - A</v>
      </c>
    </row>
    <row r="26" spans="1:8">
      <c r="A26" t="str">
        <f>IF(ISNA(INDEX('Yardi Report'!$A:$E,MATCH('Chart of Accounts'!$A32,'Yardi Report'!$A:$A,0),1)),"",INDEX('Yardi Report'!$A:$E,MATCH('Chart of Accounts'!$A32,'Yardi Report'!$A:$A,0),1))</f>
        <v/>
      </c>
      <c r="B26" t="str">
        <f>IF(ISNA(INDEX('Yardi Report'!$A:$E,MATCH('Chart of Accounts'!$A32,'Yardi Report'!$A:$A,0),2)),"",INDEX('Yardi Report'!$A:$E,MATCH('Chart of Accounts'!$A32,'Yardi Report'!$A:$A,0),2))</f>
        <v/>
      </c>
      <c r="C26" t="str">
        <f>IF(A26="","",MAX($C$1:C25)+1)</f>
        <v/>
      </c>
      <c r="E26" t="str">
        <f t="shared" si="0"/>
        <v xml:space="preserve"> </v>
      </c>
      <c r="G26">
        <f t="shared" si="2"/>
        <v>26</v>
      </c>
      <c r="H26" t="str">
        <f t="shared" si="1"/>
        <v>1600-0000  CONSTRUCTION IN PROGRESS</v>
      </c>
    </row>
    <row r="27" spans="1:8">
      <c r="A27" t="str">
        <f>IF(ISNA(INDEX('Yardi Report'!$A:$E,MATCH('Chart of Accounts'!$A33,'Yardi Report'!$A:$A,0),1)),"",INDEX('Yardi Report'!$A:$E,MATCH('Chart of Accounts'!$A33,'Yardi Report'!$A:$A,0),1))</f>
        <v/>
      </c>
      <c r="B27" t="str">
        <f>IF(ISNA(INDEX('Yardi Report'!$A:$E,MATCH('Chart of Accounts'!$A33,'Yardi Report'!$A:$A,0),2)),"",INDEX('Yardi Report'!$A:$E,MATCH('Chart of Accounts'!$A33,'Yardi Report'!$A:$A,0),2))</f>
        <v/>
      </c>
      <c r="C27" t="str">
        <f>IF(A27="","",MAX($C$1:C26)+1)</f>
        <v/>
      </c>
      <c r="E27" t="str">
        <f t="shared" si="0"/>
        <v xml:space="preserve"> </v>
      </c>
      <c r="G27">
        <f t="shared" si="2"/>
        <v>27</v>
      </c>
      <c r="H27" t="str">
        <f t="shared" si="1"/>
        <v>1600-0035  Architect</v>
      </c>
    </row>
    <row r="28" spans="1:8">
      <c r="A28" t="str">
        <f>IF(ISNA(INDEX('Yardi Report'!$A:$E,MATCH('Chart of Accounts'!$A34,'Yardi Report'!$A:$A,0),1)),"",INDEX('Yardi Report'!$A:$E,MATCH('Chart of Accounts'!$A34,'Yardi Report'!$A:$A,0),1))</f>
        <v/>
      </c>
      <c r="B28" t="str">
        <f>IF(ISNA(INDEX('Yardi Report'!$A:$E,MATCH('Chart of Accounts'!$A34,'Yardi Report'!$A:$A,0),2)),"",INDEX('Yardi Report'!$A:$E,MATCH('Chart of Accounts'!$A34,'Yardi Report'!$A:$A,0),2))</f>
        <v/>
      </c>
      <c r="C28" t="str">
        <f>IF(A28="","",MAX($C$1:C27)+1)</f>
        <v/>
      </c>
      <c r="E28" t="str">
        <f t="shared" si="0"/>
        <v xml:space="preserve"> </v>
      </c>
      <c r="G28">
        <f t="shared" si="2"/>
        <v>28</v>
      </c>
      <c r="H28" t="str">
        <f t="shared" si="1"/>
        <v>1600-1000 Draws</v>
      </c>
    </row>
    <row r="29" spans="1:8">
      <c r="A29" t="str">
        <f>IF(ISNA(INDEX('Yardi Report'!$A:$E,MATCH('Chart of Accounts'!$A35,'Yardi Report'!$A:$A,0),1)),"",INDEX('Yardi Report'!$A:$E,MATCH('Chart of Accounts'!$A35,'Yardi Report'!$A:$A,0),1))</f>
        <v/>
      </c>
      <c r="B29" t="str">
        <f>IF(ISNA(INDEX('Yardi Report'!$A:$E,MATCH('Chart of Accounts'!$A35,'Yardi Report'!$A:$A,0),2)),"",INDEX('Yardi Report'!$A:$E,MATCH('Chart of Accounts'!$A35,'Yardi Report'!$A:$A,0),2))</f>
        <v/>
      </c>
      <c r="C29" t="str">
        <f>IF(A29="","",MAX($C$1:C28)+1)</f>
        <v/>
      </c>
      <c r="E29" t="str">
        <f t="shared" si="0"/>
        <v xml:space="preserve"> </v>
      </c>
      <c r="G29">
        <f t="shared" si="2"/>
        <v>29</v>
      </c>
      <c r="H29" t="str">
        <f t="shared" si="1"/>
        <v>1600-9999   TOTAL CONSTRUCTION IN PROGRESS</v>
      </c>
    </row>
    <row r="30" spans="1:8">
      <c r="A30" t="str">
        <f>IF(ISNA(INDEX('Yardi Report'!$A:$E,MATCH('Chart of Accounts'!$A36,'Yardi Report'!$A:$A,0),1)),"",INDEX('Yardi Report'!$A:$E,MATCH('Chart of Accounts'!$A36,'Yardi Report'!$A:$A,0),1))</f>
        <v/>
      </c>
      <c r="B30" t="str">
        <f>IF(ISNA(INDEX('Yardi Report'!$A:$E,MATCH('Chart of Accounts'!$A36,'Yardi Report'!$A:$A,0),2)),"",INDEX('Yardi Report'!$A:$E,MATCH('Chart of Accounts'!$A36,'Yardi Report'!$A:$A,0),2))</f>
        <v/>
      </c>
      <c r="C30" t="str">
        <f>IF(A30="","",MAX($C$1:C29)+1)</f>
        <v/>
      </c>
      <c r="E30" t="str">
        <f t="shared" si="0"/>
        <v xml:space="preserve"> </v>
      </c>
      <c r="G30">
        <f t="shared" si="2"/>
        <v>30</v>
      </c>
      <c r="H30" t="str">
        <f t="shared" si="1"/>
        <v>1890-0000   TOTAL PROPERTY</v>
      </c>
    </row>
    <row r="31" spans="1:8">
      <c r="A31" t="str">
        <f>IF(ISNA(INDEX('Yardi Report'!$A:$E,MATCH('Chart of Accounts'!$A37,'Yardi Report'!$A:$A,0),1)),"",INDEX('Yardi Report'!$A:$E,MATCH('Chart of Accounts'!$A37,'Yardi Report'!$A:$A,0),1))</f>
        <v/>
      </c>
      <c r="B31" t="str">
        <f>IF(ISNA(INDEX('Yardi Report'!$A:$E,MATCH('Chart of Accounts'!$A37,'Yardi Report'!$A:$A,0),2)),"",INDEX('Yardi Report'!$A:$E,MATCH('Chart of Accounts'!$A37,'Yardi Report'!$A:$A,0),2))</f>
        <v/>
      </c>
      <c r="C31" t="str">
        <f>IF(A31="","",MAX($C$1:C30)+1)</f>
        <v/>
      </c>
      <c r="E31" t="str">
        <f t="shared" si="0"/>
        <v xml:space="preserve"> </v>
      </c>
      <c r="G31">
        <f t="shared" si="2"/>
        <v>31</v>
      </c>
      <c r="H31" t="str">
        <f t="shared" si="1"/>
        <v>1990-0000    TOTAL ASSETS</v>
      </c>
    </row>
    <row r="32" spans="1:8">
      <c r="A32" t="str">
        <f>IF(ISNA(INDEX('Yardi Report'!$A:$E,MATCH('Chart of Accounts'!$A38,'Yardi Report'!$A:$A,0),1)),"",INDEX('Yardi Report'!$A:$E,MATCH('Chart of Accounts'!$A38,'Yardi Report'!$A:$A,0),1))</f>
        <v/>
      </c>
      <c r="B32" t="str">
        <f>IF(ISNA(INDEX('Yardi Report'!$A:$E,MATCH('Chart of Accounts'!$A38,'Yardi Report'!$A:$A,0),2)),"",INDEX('Yardi Report'!$A:$E,MATCH('Chart of Accounts'!$A38,'Yardi Report'!$A:$A,0),2))</f>
        <v/>
      </c>
      <c r="C32" t="str">
        <f>IF(A32="","",MAX($C$1:C31)+1)</f>
        <v/>
      </c>
      <c r="E32" t="str">
        <f t="shared" si="0"/>
        <v xml:space="preserve"> </v>
      </c>
      <c r="G32">
        <f t="shared" si="2"/>
        <v>32</v>
      </c>
      <c r="H32" t="str">
        <f t="shared" si="1"/>
        <v>2000-0000  LIABILITIES AND CAPITAL</v>
      </c>
    </row>
    <row r="33" spans="1:8">
      <c r="A33" t="str">
        <f>IF(ISNA(INDEX('Yardi Report'!$A:$E,MATCH('Chart of Accounts'!$A39,'Yardi Report'!$A:$A,0),1)),"",INDEX('Yardi Report'!$A:$E,MATCH('Chart of Accounts'!$A39,'Yardi Report'!$A:$A,0),1))</f>
        <v/>
      </c>
      <c r="B33" t="str">
        <f>IF(ISNA(INDEX('Yardi Report'!$A:$E,MATCH('Chart of Accounts'!$A39,'Yardi Report'!$A:$A,0),2)),"",INDEX('Yardi Report'!$A:$E,MATCH('Chart of Accounts'!$A39,'Yardi Report'!$A:$A,0),2))</f>
        <v/>
      </c>
      <c r="C33" t="str">
        <f>IF(A33="","",MAX($C$1:C32)+1)</f>
        <v/>
      </c>
      <c r="E33" t="str">
        <f t="shared" si="0"/>
        <v xml:space="preserve"> </v>
      </c>
      <c r="G33">
        <f t="shared" si="2"/>
        <v>33</v>
      </c>
      <c r="H33" t="str">
        <f t="shared" si="1"/>
        <v>2100-0000  LIABILITIES</v>
      </c>
    </row>
    <row r="34" spans="1:8">
      <c r="A34" t="str">
        <f>IF(ISNA(INDEX('Yardi Report'!$A:$E,MATCH('Chart of Accounts'!$A40,'Yardi Report'!$A:$A,0),1)),"",INDEX('Yardi Report'!$A:$E,MATCH('Chart of Accounts'!$A40,'Yardi Report'!$A:$A,0),1))</f>
        <v/>
      </c>
      <c r="B34" t="str">
        <f>IF(ISNA(INDEX('Yardi Report'!$A:$E,MATCH('Chart of Accounts'!$A40,'Yardi Report'!$A:$A,0),2)),"",INDEX('Yardi Report'!$A:$E,MATCH('Chart of Accounts'!$A40,'Yardi Report'!$A:$A,0),2))</f>
        <v/>
      </c>
      <c r="C34" t="str">
        <f>IF(A34="","",MAX($C$1:C33)+1)</f>
        <v/>
      </c>
      <c r="E34" t="str">
        <f t="shared" si="0"/>
        <v xml:space="preserve"> </v>
      </c>
      <c r="G34">
        <f t="shared" si="2"/>
        <v>34</v>
      </c>
      <c r="H34" t="str">
        <f t="shared" si="1"/>
        <v>2110-0000  Note 1 Principal</v>
      </c>
    </row>
    <row r="35" spans="1:8">
      <c r="A35" t="str">
        <f>IF(ISNA(INDEX('Yardi Report'!$A:$E,MATCH('Chart of Accounts'!$A41,'Yardi Report'!$A:$A,0),1)),"",INDEX('Yardi Report'!$A:$E,MATCH('Chart of Accounts'!$A41,'Yardi Report'!$A:$A,0),1))</f>
        <v/>
      </c>
      <c r="B35" t="str">
        <f>IF(ISNA(INDEX('Yardi Report'!$A:$E,MATCH('Chart of Accounts'!$A41,'Yardi Report'!$A:$A,0),2)),"",INDEX('Yardi Report'!$A:$E,MATCH('Chart of Accounts'!$A41,'Yardi Report'!$A:$A,0),2))</f>
        <v/>
      </c>
      <c r="C35" t="str">
        <f>IF(A35="","",MAX($C$1:C34)+1)</f>
        <v/>
      </c>
      <c r="E35" t="str">
        <f t="shared" si="0"/>
        <v xml:space="preserve"> </v>
      </c>
      <c r="G35">
        <f t="shared" si="2"/>
        <v>35</v>
      </c>
      <c r="H35" t="str">
        <f t="shared" si="1"/>
        <v>2150-0020  Due To/(From) Other Property</v>
      </c>
    </row>
    <row r="36" spans="1:8">
      <c r="A36" t="str">
        <f>IF(ISNA(INDEX('Yardi Report'!$A:$E,MATCH('Chart of Accounts'!$A42,'Yardi Report'!$A:$A,0),1)),"",INDEX('Yardi Report'!$A:$E,MATCH('Chart of Accounts'!$A42,'Yardi Report'!$A:$A,0),1))</f>
        <v/>
      </c>
      <c r="B36" t="str">
        <f>IF(ISNA(INDEX('Yardi Report'!$A:$E,MATCH('Chart of Accounts'!$A42,'Yardi Report'!$A:$A,0),2)),"",INDEX('Yardi Report'!$A:$E,MATCH('Chart of Accounts'!$A42,'Yardi Report'!$A:$A,0),2))</f>
        <v/>
      </c>
      <c r="C36" t="str">
        <f>IF(A36="","",MAX($C$1:C35)+1)</f>
        <v/>
      </c>
      <c r="E36" t="str">
        <f t="shared" si="0"/>
        <v xml:space="preserve"> </v>
      </c>
      <c r="G36">
        <f t="shared" si="2"/>
        <v>36</v>
      </c>
      <c r="H36" t="str">
        <f t="shared" si="1"/>
        <v>2150-0022  Due To/(From) SSSM</v>
      </c>
    </row>
    <row r="37" spans="1:8">
      <c r="A37" t="str">
        <f>IF(ISNA(INDEX('Yardi Report'!$A:$E,MATCH('Chart of Accounts'!$A43,'Yardi Report'!$A:$A,0),1)),"",INDEX('Yardi Report'!$A:$E,MATCH('Chart of Accounts'!$A43,'Yardi Report'!$A:$A,0),1))</f>
        <v/>
      </c>
      <c r="B37" t="str">
        <f>IF(ISNA(INDEX('Yardi Report'!$A:$E,MATCH('Chart of Accounts'!$A43,'Yardi Report'!$A:$A,0),2)),"",INDEX('Yardi Report'!$A:$E,MATCH('Chart of Accounts'!$A43,'Yardi Report'!$A:$A,0),2))</f>
        <v/>
      </c>
      <c r="C37" t="str">
        <f>IF(A37="","",MAX($C$1:C36)+1)</f>
        <v/>
      </c>
      <c r="E37" t="str">
        <f t="shared" si="0"/>
        <v xml:space="preserve"> </v>
      </c>
      <c r="G37">
        <f t="shared" si="2"/>
        <v>37</v>
      </c>
      <c r="H37" t="str">
        <f t="shared" si="1"/>
        <v>2200-0000  Accounts Payable</v>
      </c>
    </row>
    <row r="38" spans="1:8">
      <c r="A38" t="str">
        <f>IF(ISNA(INDEX('Yardi Report'!$A:$E,MATCH('Chart of Accounts'!$A44,'Yardi Report'!$A:$A,0),1)),"",INDEX('Yardi Report'!$A:$E,MATCH('Chart of Accounts'!$A44,'Yardi Report'!$A:$A,0),1))</f>
        <v/>
      </c>
      <c r="B38" t="str">
        <f>IF(ISNA(INDEX('Yardi Report'!$A:$E,MATCH('Chart of Accounts'!$A44,'Yardi Report'!$A:$A,0),2)),"",INDEX('Yardi Report'!$A:$E,MATCH('Chart of Accounts'!$A44,'Yardi Report'!$A:$A,0),2))</f>
        <v/>
      </c>
      <c r="C38" t="str">
        <f>IF(A38="","",MAX($C$1:C37)+1)</f>
        <v/>
      </c>
      <c r="E38" t="str">
        <f t="shared" si="0"/>
        <v xml:space="preserve"> </v>
      </c>
      <c r="G38">
        <f t="shared" si="2"/>
        <v>38</v>
      </c>
      <c r="H38" t="str">
        <f t="shared" si="1"/>
        <v>2210-0000  Prepaid Rent</v>
      </c>
    </row>
    <row r="39" spans="1:8">
      <c r="A39" t="str">
        <f>IF(ISNA(INDEX('Yardi Report'!$A:$E,MATCH('Chart of Accounts'!$A45,'Yardi Report'!$A:$A,0),1)),"",INDEX('Yardi Report'!$A:$E,MATCH('Chart of Accounts'!$A45,'Yardi Report'!$A:$A,0),1))</f>
        <v/>
      </c>
      <c r="B39" t="str">
        <f>IF(ISNA(INDEX('Yardi Report'!$A:$E,MATCH('Chart of Accounts'!$A45,'Yardi Report'!$A:$A,0),2)),"",INDEX('Yardi Report'!$A:$E,MATCH('Chart of Accounts'!$A45,'Yardi Report'!$A:$A,0),2))</f>
        <v/>
      </c>
      <c r="C39" t="str">
        <f>IF(A39="","",MAX($C$1:C38)+1)</f>
        <v/>
      </c>
      <c r="E39" t="str">
        <f t="shared" si="0"/>
        <v xml:space="preserve"> </v>
      </c>
      <c r="G39">
        <f t="shared" si="2"/>
        <v>39</v>
      </c>
      <c r="H39" t="str">
        <f t="shared" si="1"/>
        <v>2250-0000  Tenant Deposits</v>
      </c>
    </row>
    <row r="40" spans="1:8">
      <c r="A40" t="str">
        <f>IF(ISNA(INDEX('Yardi Report'!$A:$E,MATCH('Chart of Accounts'!$A46,'Yardi Report'!$A:$A,0),1)),"",INDEX('Yardi Report'!$A:$E,MATCH('Chart of Accounts'!$A46,'Yardi Report'!$A:$A,0),1))</f>
        <v/>
      </c>
      <c r="B40" t="str">
        <f>IF(ISNA(INDEX('Yardi Report'!$A:$E,MATCH('Chart of Accounts'!$A46,'Yardi Report'!$A:$A,0),2)),"",INDEX('Yardi Report'!$A:$E,MATCH('Chart of Accounts'!$A46,'Yardi Report'!$A:$A,0),2))</f>
        <v/>
      </c>
      <c r="C40" t="str">
        <f>IF(A40="","",MAX($C$1:C39)+1)</f>
        <v/>
      </c>
      <c r="E40" t="str">
        <f t="shared" si="0"/>
        <v xml:space="preserve"> </v>
      </c>
      <c r="G40">
        <f t="shared" si="2"/>
        <v>40</v>
      </c>
      <c r="H40" t="str">
        <f t="shared" si="1"/>
        <v>2290-0000  Funds for Transfer</v>
      </c>
    </row>
    <row r="41" spans="1:8">
      <c r="A41" t="str">
        <f>IF(ISNA(INDEX('Yardi Report'!$A:$E,MATCH('Chart of Accounts'!$A47,'Yardi Report'!$A:$A,0),1)),"",INDEX('Yardi Report'!$A:$E,MATCH('Chart of Accounts'!$A47,'Yardi Report'!$A:$A,0),1))</f>
        <v/>
      </c>
      <c r="B41" t="str">
        <f>IF(ISNA(INDEX('Yardi Report'!$A:$E,MATCH('Chart of Accounts'!$A47,'Yardi Report'!$A:$A,0),2)),"",INDEX('Yardi Report'!$A:$E,MATCH('Chart of Accounts'!$A47,'Yardi Report'!$A:$A,0),2))</f>
        <v/>
      </c>
      <c r="C41" t="str">
        <f>IF(A41="","",MAX($C$1:C40)+1)</f>
        <v/>
      </c>
      <c r="E41" t="str">
        <f t="shared" si="0"/>
        <v xml:space="preserve"> </v>
      </c>
      <c r="G41">
        <f t="shared" si="2"/>
        <v>41</v>
      </c>
      <c r="H41" t="str">
        <f t="shared" si="1"/>
        <v>2300-0000  TAX LIABILITIES</v>
      </c>
    </row>
    <row r="42" spans="1:8">
      <c r="A42" t="str">
        <f>IF(ISNA(INDEX('Yardi Report'!$A:$E,MATCH('Chart of Accounts'!$A48,'Yardi Report'!$A:$A,0),1)),"",INDEX('Yardi Report'!$A:$E,MATCH('Chart of Accounts'!$A48,'Yardi Report'!$A:$A,0),1))</f>
        <v/>
      </c>
      <c r="B42" t="str">
        <f>IF(ISNA(INDEX('Yardi Report'!$A:$E,MATCH('Chart of Accounts'!$A48,'Yardi Report'!$A:$A,0),2)),"",INDEX('Yardi Report'!$A:$E,MATCH('Chart of Accounts'!$A48,'Yardi Report'!$A:$A,0),2))</f>
        <v/>
      </c>
      <c r="C42" t="str">
        <f>IF(A42="","",MAX($C$1:C41)+1)</f>
        <v/>
      </c>
      <c r="E42" t="str">
        <f t="shared" si="0"/>
        <v xml:space="preserve"> </v>
      </c>
      <c r="G42">
        <f t="shared" si="2"/>
        <v>42</v>
      </c>
      <c r="H42" t="str">
        <f t="shared" si="1"/>
        <v>2305-0000  Real Estate Tax Accrual</v>
      </c>
    </row>
    <row r="43" spans="1:8">
      <c r="A43" t="str">
        <f>IF(ISNA(INDEX('Yardi Report'!$A:$E,MATCH('Chart of Accounts'!$A49,'Yardi Report'!$A:$A,0),1)),"",INDEX('Yardi Report'!$A:$E,MATCH('Chart of Accounts'!$A49,'Yardi Report'!$A:$A,0),1))</f>
        <v/>
      </c>
      <c r="B43" t="str">
        <f>IF(ISNA(INDEX('Yardi Report'!$A:$E,MATCH('Chart of Accounts'!$A49,'Yardi Report'!$A:$A,0),2)),"",INDEX('Yardi Report'!$A:$E,MATCH('Chart of Accounts'!$A49,'Yardi Report'!$A:$A,0),2))</f>
        <v/>
      </c>
      <c r="C43" t="str">
        <f>IF(A43="","",MAX($C$1:C42)+1)</f>
        <v/>
      </c>
      <c r="E43" t="str">
        <f t="shared" si="0"/>
        <v xml:space="preserve"> </v>
      </c>
      <c r="G43">
        <f t="shared" si="2"/>
        <v>43</v>
      </c>
      <c r="H43" t="str">
        <f t="shared" si="1"/>
        <v>2310-0000  Sales Tax Collected</v>
      </c>
    </row>
    <row r="44" spans="1:8">
      <c r="A44" t="str">
        <f>IF(ISNA(INDEX('Yardi Report'!$A:$E,MATCH('Chart of Accounts'!$A50,'Yardi Report'!$A:$A,0),1)),"",INDEX('Yardi Report'!$A:$E,MATCH('Chart of Accounts'!$A50,'Yardi Report'!$A:$A,0),1))</f>
        <v/>
      </c>
      <c r="B44" t="str">
        <f>IF(ISNA(INDEX('Yardi Report'!$A:$E,MATCH('Chart of Accounts'!$A50,'Yardi Report'!$A:$A,0),2)),"",INDEX('Yardi Report'!$A:$E,MATCH('Chart of Accounts'!$A50,'Yardi Report'!$A:$A,0),2))</f>
        <v/>
      </c>
      <c r="C44" t="str">
        <f>IF(A44="","",MAX($C$1:C43)+1)</f>
        <v/>
      </c>
      <c r="E44" t="str">
        <f t="shared" si="0"/>
        <v xml:space="preserve"> </v>
      </c>
      <c r="G44">
        <f t="shared" si="2"/>
        <v>44</v>
      </c>
      <c r="H44" t="str">
        <f t="shared" si="1"/>
        <v>2490-0000   TOTAL TAX LIABILITIES</v>
      </c>
    </row>
    <row r="45" spans="1:8">
      <c r="A45" t="str">
        <f>IF(ISNA(INDEX('Yardi Report'!$A:$E,MATCH('Chart of Accounts'!$A51,'Yardi Report'!$A:$A,0),1)),"",INDEX('Yardi Report'!$A:$E,MATCH('Chart of Accounts'!$A51,'Yardi Report'!$A:$A,0),1))</f>
        <v/>
      </c>
      <c r="B45" t="str">
        <f>IF(ISNA(INDEX('Yardi Report'!$A:$E,MATCH('Chart of Accounts'!$A51,'Yardi Report'!$A:$A,0),2)),"",INDEX('Yardi Report'!$A:$E,MATCH('Chart of Accounts'!$A51,'Yardi Report'!$A:$A,0),2))</f>
        <v/>
      </c>
      <c r="C45" t="str">
        <f>IF(A45="","",MAX($C$1:C44)+1)</f>
        <v/>
      </c>
      <c r="E45" t="str">
        <f t="shared" si="0"/>
        <v xml:space="preserve"> </v>
      </c>
      <c r="G45">
        <f t="shared" si="2"/>
        <v>45</v>
      </c>
      <c r="H45" t="str">
        <f t="shared" si="1"/>
        <v>2609-0000  Interest Accrual</v>
      </c>
    </row>
    <row r="46" spans="1:8">
      <c r="A46" t="str">
        <f>IF(ISNA(INDEX('Yardi Report'!$A:$E,MATCH('Chart of Accounts'!$A52,'Yardi Report'!$A:$A,0),1)),"",INDEX('Yardi Report'!$A:$E,MATCH('Chart of Accounts'!$A52,'Yardi Report'!$A:$A,0),1))</f>
        <v/>
      </c>
      <c r="B46" t="str">
        <f>IF(ISNA(INDEX('Yardi Report'!$A:$E,MATCH('Chart of Accounts'!$A52,'Yardi Report'!$A:$A,0),2)),"",INDEX('Yardi Report'!$A:$E,MATCH('Chart of Accounts'!$A52,'Yardi Report'!$A:$A,0),2))</f>
        <v/>
      </c>
      <c r="C46" t="str">
        <f>IF(A46="","",MAX($C$1:C45)+1)</f>
        <v/>
      </c>
      <c r="E46" t="str">
        <f t="shared" si="0"/>
        <v xml:space="preserve"> </v>
      </c>
      <c r="G46">
        <f t="shared" si="2"/>
        <v>46</v>
      </c>
      <c r="H46" t="str">
        <f t="shared" si="1"/>
        <v>2640-0998  Expense Accrual</v>
      </c>
    </row>
    <row r="47" spans="1:8">
      <c r="A47" t="str">
        <f>IF(ISNA(INDEX('Yardi Report'!$A:$E,MATCH('Chart of Accounts'!$A53,'Yardi Report'!$A:$A,0),1)),"",INDEX('Yardi Report'!$A:$E,MATCH('Chart of Accounts'!$A53,'Yardi Report'!$A:$A,0),1))</f>
        <v/>
      </c>
      <c r="B47" t="str">
        <f>IF(ISNA(INDEX('Yardi Report'!$A:$E,MATCH('Chart of Accounts'!$A53,'Yardi Report'!$A:$A,0),2)),"",INDEX('Yardi Report'!$A:$E,MATCH('Chart of Accounts'!$A53,'Yardi Report'!$A:$A,0),2))</f>
        <v/>
      </c>
      <c r="C47" t="str">
        <f>IF(A47="","",MAX($C$1:C46)+1)</f>
        <v/>
      </c>
      <c r="E47" t="str">
        <f t="shared" si="0"/>
        <v xml:space="preserve"> </v>
      </c>
      <c r="G47">
        <f t="shared" si="2"/>
        <v>47</v>
      </c>
      <c r="H47" t="str">
        <f t="shared" si="1"/>
        <v>2640-0999  Payroll Accrual</v>
      </c>
    </row>
    <row r="48" spans="1:8">
      <c r="A48" t="str">
        <f>IF(ISNA(INDEX('Yardi Report'!$A:$E,MATCH('Chart of Accounts'!$A54,'Yardi Report'!$A:$A,0),1)),"",INDEX('Yardi Report'!$A:$E,MATCH('Chart of Accounts'!$A54,'Yardi Report'!$A:$A,0),1))</f>
        <v/>
      </c>
      <c r="B48" t="str">
        <f>IF(ISNA(INDEX('Yardi Report'!$A:$E,MATCH('Chart of Accounts'!$A54,'Yardi Report'!$A:$A,0),2)),"",INDEX('Yardi Report'!$A:$E,MATCH('Chart of Accounts'!$A54,'Yardi Report'!$A:$A,0),2))</f>
        <v/>
      </c>
      <c r="C48" t="str">
        <f>IF(A48="","",MAX($C$1:C47)+1)</f>
        <v/>
      </c>
      <c r="E48" t="str">
        <f t="shared" si="0"/>
        <v xml:space="preserve"> </v>
      </c>
      <c r="G48">
        <f t="shared" si="2"/>
        <v>48</v>
      </c>
      <c r="H48" t="str">
        <f t="shared" si="1"/>
        <v>2990-0000   TOTAL LIABILITIES</v>
      </c>
    </row>
    <row r="49" spans="1:8">
      <c r="A49" t="str">
        <f>IF(ISNA(INDEX('Yardi Report'!$A:$E,MATCH('Chart of Accounts'!$A55,'Yardi Report'!$A:$A,0),1)),"",INDEX('Yardi Report'!$A:$E,MATCH('Chart of Accounts'!$A55,'Yardi Report'!$A:$A,0),1))</f>
        <v/>
      </c>
      <c r="B49" t="str">
        <f>IF(ISNA(INDEX('Yardi Report'!$A:$E,MATCH('Chart of Accounts'!$A55,'Yardi Report'!$A:$A,0),2)),"",INDEX('Yardi Report'!$A:$E,MATCH('Chart of Accounts'!$A55,'Yardi Report'!$A:$A,0),2))</f>
        <v/>
      </c>
      <c r="C49" t="str">
        <f>IF(A49="","",MAX($C$1:C48)+1)</f>
        <v/>
      </c>
      <c r="E49" t="str">
        <f t="shared" si="0"/>
        <v xml:space="preserve"> </v>
      </c>
      <c r="G49">
        <f t="shared" si="2"/>
        <v>49</v>
      </c>
      <c r="H49" t="str">
        <f t="shared" si="1"/>
        <v/>
      </c>
    </row>
    <row r="50" spans="1:8">
      <c r="A50" t="str">
        <f>IF(ISNA(INDEX('Yardi Report'!$A:$E,MATCH('Chart of Accounts'!$A56,'Yardi Report'!$A:$A,0),1)),"",INDEX('Yardi Report'!$A:$E,MATCH('Chart of Accounts'!$A56,'Yardi Report'!$A:$A,0),1))</f>
        <v/>
      </c>
      <c r="B50" t="str">
        <f>IF(ISNA(INDEX('Yardi Report'!$A:$E,MATCH('Chart of Accounts'!$A56,'Yardi Report'!$A:$A,0),2)),"",INDEX('Yardi Report'!$A:$E,MATCH('Chart of Accounts'!$A56,'Yardi Report'!$A:$A,0),2))</f>
        <v/>
      </c>
      <c r="C50" t="str">
        <f>IF(A50="","",MAX($C$1:C49)+1)</f>
        <v/>
      </c>
      <c r="E50" t="str">
        <f t="shared" si="0"/>
        <v xml:space="preserve"> </v>
      </c>
      <c r="G50">
        <f t="shared" si="2"/>
        <v>50</v>
      </c>
      <c r="H50" t="str">
        <f t="shared" si="1"/>
        <v/>
      </c>
    </row>
    <row r="51" spans="1:8">
      <c r="A51" t="str">
        <f>IF(ISNA(INDEX('Yardi Report'!$A:$E,MATCH('Chart of Accounts'!$A57,'Yardi Report'!$A:$A,0),1)),"",INDEX('Yardi Report'!$A:$E,MATCH('Chart of Accounts'!$A57,'Yardi Report'!$A:$A,0),1))</f>
        <v/>
      </c>
      <c r="B51" t="str">
        <f>IF(ISNA(INDEX('Yardi Report'!$A:$E,MATCH('Chart of Accounts'!$A57,'Yardi Report'!$A:$A,0),2)),"",INDEX('Yardi Report'!$A:$E,MATCH('Chart of Accounts'!$A57,'Yardi Report'!$A:$A,0),2))</f>
        <v/>
      </c>
      <c r="C51" t="str">
        <f>IF(A51="","",MAX($C$1:C50)+1)</f>
        <v/>
      </c>
      <c r="E51" t="str">
        <f t="shared" si="0"/>
        <v xml:space="preserve"> </v>
      </c>
      <c r="G51">
        <f t="shared" si="2"/>
        <v>51</v>
      </c>
      <c r="H51" t="str">
        <f t="shared" si="1"/>
        <v/>
      </c>
    </row>
    <row r="52" spans="1:8">
      <c r="A52" t="str">
        <f>IF(ISNA(INDEX('Yardi Report'!$A:$E,MATCH('Chart of Accounts'!$A58,'Yardi Report'!$A:$A,0),1)),"",INDEX('Yardi Report'!$A:$E,MATCH('Chart of Accounts'!$A58,'Yardi Report'!$A:$A,0),1))</f>
        <v/>
      </c>
      <c r="B52" t="str">
        <f>IF(ISNA(INDEX('Yardi Report'!$A:$E,MATCH('Chart of Accounts'!$A58,'Yardi Report'!$A:$A,0),2)),"",INDEX('Yardi Report'!$A:$E,MATCH('Chart of Accounts'!$A58,'Yardi Report'!$A:$A,0),2))</f>
        <v/>
      </c>
      <c r="C52" t="str">
        <f>IF(A52="","",MAX($C$1:C51)+1)</f>
        <v/>
      </c>
      <c r="E52" t="str">
        <f t="shared" si="0"/>
        <v xml:space="preserve"> </v>
      </c>
      <c r="G52">
        <f t="shared" si="2"/>
        <v>52</v>
      </c>
      <c r="H52" t="str">
        <f t="shared" si="1"/>
        <v/>
      </c>
    </row>
    <row r="53" spans="1:8">
      <c r="A53" t="str">
        <f>IF(ISNA(INDEX('Yardi Report'!$A:$E,MATCH('Chart of Accounts'!$A59,'Yardi Report'!$A:$A,0),1)),"",INDEX('Yardi Report'!$A:$E,MATCH('Chart of Accounts'!$A59,'Yardi Report'!$A:$A,0),1))</f>
        <v/>
      </c>
      <c r="B53" t="str">
        <f>IF(ISNA(INDEX('Yardi Report'!$A:$E,MATCH('Chart of Accounts'!$A59,'Yardi Report'!$A:$A,0),2)),"",INDEX('Yardi Report'!$A:$E,MATCH('Chart of Accounts'!$A59,'Yardi Report'!$A:$A,0),2))</f>
        <v/>
      </c>
      <c r="C53" t="str">
        <f>IF(A53="","",MAX($C$1:C52)+1)</f>
        <v/>
      </c>
      <c r="E53" t="str">
        <f t="shared" si="0"/>
        <v xml:space="preserve"> </v>
      </c>
      <c r="G53">
        <f t="shared" si="2"/>
        <v>53</v>
      </c>
      <c r="H53" t="str">
        <f t="shared" si="1"/>
        <v/>
      </c>
    </row>
    <row r="54" spans="1:8">
      <c r="A54" t="str">
        <f>IF(ISNA(INDEX('Yardi Report'!$A:$E,MATCH('Chart of Accounts'!$A60,'Yardi Report'!$A:$A,0),1)),"",INDEX('Yardi Report'!$A:$E,MATCH('Chart of Accounts'!$A60,'Yardi Report'!$A:$A,0),1))</f>
        <v/>
      </c>
      <c r="B54" t="str">
        <f>IF(ISNA(INDEX('Yardi Report'!$A:$E,MATCH('Chart of Accounts'!$A60,'Yardi Report'!$A:$A,0),2)),"",INDEX('Yardi Report'!$A:$E,MATCH('Chart of Accounts'!$A60,'Yardi Report'!$A:$A,0),2))</f>
        <v/>
      </c>
      <c r="C54" t="str">
        <f>IF(A54="","",MAX($C$1:C53)+1)</f>
        <v/>
      </c>
      <c r="E54" t="str">
        <f t="shared" si="0"/>
        <v xml:space="preserve"> </v>
      </c>
      <c r="G54">
        <f t="shared" si="2"/>
        <v>54</v>
      </c>
      <c r="H54" t="str">
        <f t="shared" si="1"/>
        <v/>
      </c>
    </row>
    <row r="55" spans="1:8">
      <c r="A55" t="str">
        <f>IF(ISNA(INDEX('Yardi Report'!$A:$E,MATCH('Chart of Accounts'!$A61,'Yardi Report'!$A:$A,0),1)),"",INDEX('Yardi Report'!$A:$E,MATCH('Chart of Accounts'!$A61,'Yardi Report'!$A:$A,0),1))</f>
        <v/>
      </c>
      <c r="B55" t="str">
        <f>IF(ISNA(INDEX('Yardi Report'!$A:$E,MATCH('Chart of Accounts'!$A61,'Yardi Report'!$A:$A,0),2)),"",INDEX('Yardi Report'!$A:$E,MATCH('Chart of Accounts'!$A61,'Yardi Report'!$A:$A,0),2))</f>
        <v/>
      </c>
      <c r="C55" t="str">
        <f>IF(A55="","",MAX($C$1:C54)+1)</f>
        <v/>
      </c>
      <c r="E55" t="str">
        <f t="shared" si="0"/>
        <v xml:space="preserve"> </v>
      </c>
      <c r="G55">
        <f t="shared" si="2"/>
        <v>55</v>
      </c>
      <c r="H55" t="str">
        <f t="shared" si="1"/>
        <v/>
      </c>
    </row>
    <row r="56" spans="1:8">
      <c r="A56" t="str">
        <f>IF(ISNA(INDEX('Yardi Report'!$A:$E,MATCH('Chart of Accounts'!$A62,'Yardi Report'!$A:$A,0),1)),"",INDEX('Yardi Report'!$A:$E,MATCH('Chart of Accounts'!$A62,'Yardi Report'!$A:$A,0),1))</f>
        <v/>
      </c>
      <c r="B56" t="str">
        <f>IF(ISNA(INDEX('Yardi Report'!$A:$E,MATCH('Chart of Accounts'!$A62,'Yardi Report'!$A:$A,0),2)),"",INDEX('Yardi Report'!$A:$E,MATCH('Chart of Accounts'!$A62,'Yardi Report'!$A:$A,0),2))</f>
        <v/>
      </c>
      <c r="C56" t="str">
        <f>IF(A56="","",MAX($C$1:C55)+1)</f>
        <v/>
      </c>
      <c r="E56" t="str">
        <f t="shared" si="0"/>
        <v xml:space="preserve"> </v>
      </c>
      <c r="G56">
        <f t="shared" si="2"/>
        <v>56</v>
      </c>
      <c r="H56" t="str">
        <f t="shared" si="1"/>
        <v/>
      </c>
    </row>
    <row r="57" spans="1:8">
      <c r="A57" t="str">
        <f>IF(ISNA(INDEX('Yardi Report'!$A:$E,MATCH('Chart of Accounts'!$A63,'Yardi Report'!$A:$A,0),1)),"",INDEX('Yardi Report'!$A:$E,MATCH('Chart of Accounts'!$A63,'Yardi Report'!$A:$A,0),1))</f>
        <v/>
      </c>
      <c r="B57" t="str">
        <f>IF(ISNA(INDEX('Yardi Report'!$A:$E,MATCH('Chart of Accounts'!$A63,'Yardi Report'!$A:$A,0),2)),"",INDEX('Yardi Report'!$A:$E,MATCH('Chart of Accounts'!$A63,'Yardi Report'!$A:$A,0),2))</f>
        <v/>
      </c>
      <c r="C57" t="str">
        <f>IF(A57="","",MAX($C$1:C56)+1)</f>
        <v/>
      </c>
      <c r="E57" t="str">
        <f t="shared" si="0"/>
        <v xml:space="preserve"> </v>
      </c>
      <c r="G57">
        <f t="shared" si="2"/>
        <v>57</v>
      </c>
      <c r="H57" t="str">
        <f t="shared" si="1"/>
        <v/>
      </c>
    </row>
    <row r="58" spans="1:8">
      <c r="A58" t="str">
        <f>IF(ISNA(INDEX('Yardi Report'!$A:$E,MATCH('Chart of Accounts'!$A64,'Yardi Report'!$A:$A,0),1)),"",INDEX('Yardi Report'!$A:$E,MATCH('Chart of Accounts'!$A64,'Yardi Report'!$A:$A,0),1))</f>
        <v/>
      </c>
      <c r="B58" t="str">
        <f>IF(ISNA(INDEX('Yardi Report'!$A:$E,MATCH('Chart of Accounts'!$A64,'Yardi Report'!$A:$A,0),2)),"",INDEX('Yardi Report'!$A:$E,MATCH('Chart of Accounts'!$A64,'Yardi Report'!$A:$A,0),2))</f>
        <v/>
      </c>
      <c r="C58" t="str">
        <f>IF(A58="","",MAX($C$1:C57)+1)</f>
        <v/>
      </c>
      <c r="E58" t="str">
        <f t="shared" si="0"/>
        <v xml:space="preserve"> </v>
      </c>
      <c r="G58">
        <f t="shared" si="2"/>
        <v>58</v>
      </c>
      <c r="H58" t="str">
        <f t="shared" si="1"/>
        <v/>
      </c>
    </row>
    <row r="59" spans="1:8">
      <c r="A59" t="str">
        <f>IF(ISNA(INDEX('Yardi Report'!$A:$E,MATCH('Chart of Accounts'!$A65,'Yardi Report'!$A:$A,0),1)),"",INDEX('Yardi Report'!$A:$E,MATCH('Chart of Accounts'!$A65,'Yardi Report'!$A:$A,0),1))</f>
        <v/>
      </c>
      <c r="B59" t="str">
        <f>IF(ISNA(INDEX('Yardi Report'!$A:$E,MATCH('Chart of Accounts'!$A65,'Yardi Report'!$A:$A,0),2)),"",INDEX('Yardi Report'!$A:$E,MATCH('Chart of Accounts'!$A65,'Yardi Report'!$A:$A,0),2))</f>
        <v/>
      </c>
      <c r="C59" t="str">
        <f>IF(A59="","",MAX($C$1:C58)+1)</f>
        <v/>
      </c>
      <c r="E59" t="str">
        <f t="shared" si="0"/>
        <v xml:space="preserve"> </v>
      </c>
      <c r="G59">
        <f t="shared" si="2"/>
        <v>59</v>
      </c>
      <c r="H59" t="str">
        <f t="shared" si="1"/>
        <v/>
      </c>
    </row>
    <row r="60" spans="1:8">
      <c r="A60" t="str">
        <f>IF(ISNA(INDEX('Yardi Report'!$A:$E,MATCH('Chart of Accounts'!$A66,'Yardi Report'!$A:$A,0),1)),"",INDEX('Yardi Report'!$A:$E,MATCH('Chart of Accounts'!$A66,'Yardi Report'!$A:$A,0),1))</f>
        <v/>
      </c>
      <c r="B60" t="str">
        <f>IF(ISNA(INDEX('Yardi Report'!$A:$E,MATCH('Chart of Accounts'!$A66,'Yardi Report'!$A:$A,0),2)),"",INDEX('Yardi Report'!$A:$E,MATCH('Chart of Accounts'!$A66,'Yardi Report'!$A:$A,0),2))</f>
        <v/>
      </c>
      <c r="C60" t="str">
        <f>IF(A60="","",MAX($C$1:C59)+1)</f>
        <v/>
      </c>
      <c r="E60" t="str">
        <f t="shared" si="0"/>
        <v xml:space="preserve"> </v>
      </c>
      <c r="G60">
        <f t="shared" si="2"/>
        <v>60</v>
      </c>
      <c r="H60" t="str">
        <f t="shared" si="1"/>
        <v/>
      </c>
    </row>
    <row r="61" spans="1:8">
      <c r="A61" t="str">
        <f>IF(ISNA(INDEX('Yardi Report'!$A:$E,MATCH('Chart of Accounts'!$A67,'Yardi Report'!$A:$A,0),1)),"",INDEX('Yardi Report'!$A:$E,MATCH('Chart of Accounts'!$A67,'Yardi Report'!$A:$A,0),1))</f>
        <v/>
      </c>
      <c r="B61" t="str">
        <f>IF(ISNA(INDEX('Yardi Report'!$A:$E,MATCH('Chart of Accounts'!$A67,'Yardi Report'!$A:$A,0),2)),"",INDEX('Yardi Report'!$A:$E,MATCH('Chart of Accounts'!$A67,'Yardi Report'!$A:$A,0),2))</f>
        <v/>
      </c>
      <c r="C61" t="str">
        <f>IF(A61="","",MAX($C$1:C60)+1)</f>
        <v/>
      </c>
      <c r="E61" t="str">
        <f t="shared" si="0"/>
        <v xml:space="preserve"> </v>
      </c>
      <c r="G61">
        <f t="shared" si="2"/>
        <v>61</v>
      </c>
      <c r="H61" t="str">
        <f t="shared" si="1"/>
        <v/>
      </c>
    </row>
    <row r="62" spans="1:8">
      <c r="A62" t="str">
        <f>IF(ISNA(INDEX('Yardi Report'!$A:$E,MATCH('Chart of Accounts'!$A68,'Yardi Report'!$A:$A,0),1)),"",INDEX('Yardi Report'!$A:$E,MATCH('Chart of Accounts'!$A68,'Yardi Report'!$A:$A,0),1))</f>
        <v/>
      </c>
      <c r="B62" t="str">
        <f>IF(ISNA(INDEX('Yardi Report'!$A:$E,MATCH('Chart of Accounts'!$A68,'Yardi Report'!$A:$A,0),2)),"",INDEX('Yardi Report'!$A:$E,MATCH('Chart of Accounts'!$A68,'Yardi Report'!$A:$A,0),2))</f>
        <v/>
      </c>
      <c r="C62" t="str">
        <f>IF(A62="","",MAX($C$1:C61)+1)</f>
        <v/>
      </c>
      <c r="E62" t="str">
        <f t="shared" si="0"/>
        <v xml:space="preserve"> </v>
      </c>
      <c r="G62">
        <f t="shared" si="2"/>
        <v>62</v>
      </c>
      <c r="H62" t="str">
        <f t="shared" si="1"/>
        <v/>
      </c>
    </row>
    <row r="63" spans="1:8">
      <c r="A63" t="str">
        <f>IF(ISNA(INDEX('Yardi Report'!$A:$E,MATCH('Chart of Accounts'!$A69,'Yardi Report'!$A:$A,0),1)),"",INDEX('Yardi Report'!$A:$E,MATCH('Chart of Accounts'!$A69,'Yardi Report'!$A:$A,0),1))</f>
        <v/>
      </c>
      <c r="B63" t="str">
        <f>IF(ISNA(INDEX('Yardi Report'!$A:$E,MATCH('Chart of Accounts'!$A69,'Yardi Report'!$A:$A,0),2)),"",INDEX('Yardi Report'!$A:$E,MATCH('Chart of Accounts'!$A69,'Yardi Report'!$A:$A,0),2))</f>
        <v/>
      </c>
      <c r="C63" t="str">
        <f>IF(A63="","",MAX($C$1:C62)+1)</f>
        <v/>
      </c>
      <c r="E63" t="str">
        <f t="shared" si="0"/>
        <v xml:space="preserve"> </v>
      </c>
      <c r="G63">
        <f t="shared" si="2"/>
        <v>63</v>
      </c>
      <c r="H63" t="str">
        <f t="shared" si="1"/>
        <v/>
      </c>
    </row>
    <row r="64" spans="1:8">
      <c r="A64" t="str">
        <f>IF(ISNA(INDEX('Yardi Report'!$A:$E,MATCH('Chart of Accounts'!$A70,'Yardi Report'!$A:$A,0),1)),"",INDEX('Yardi Report'!$A:$E,MATCH('Chart of Accounts'!$A70,'Yardi Report'!$A:$A,0),1))</f>
        <v/>
      </c>
      <c r="B64" t="str">
        <f>IF(ISNA(INDEX('Yardi Report'!$A:$E,MATCH('Chart of Accounts'!$A70,'Yardi Report'!$A:$A,0),2)),"",INDEX('Yardi Report'!$A:$E,MATCH('Chart of Accounts'!$A70,'Yardi Report'!$A:$A,0),2))</f>
        <v/>
      </c>
      <c r="C64" t="str">
        <f>IF(A64="","",MAX($C$1:C63)+1)</f>
        <v/>
      </c>
      <c r="E64" t="str">
        <f t="shared" si="0"/>
        <v xml:space="preserve"> </v>
      </c>
      <c r="G64">
        <f t="shared" si="2"/>
        <v>64</v>
      </c>
      <c r="H64" t="str">
        <f t="shared" si="1"/>
        <v/>
      </c>
    </row>
    <row r="65" spans="1:8">
      <c r="A65" t="str">
        <f>IF(ISNA(INDEX('Yardi Report'!$A:$E,MATCH('Chart of Accounts'!$A71,'Yardi Report'!$A:$A,0),1)),"",INDEX('Yardi Report'!$A:$E,MATCH('Chart of Accounts'!$A71,'Yardi Report'!$A:$A,0),1))</f>
        <v/>
      </c>
      <c r="B65" t="str">
        <f>IF(ISNA(INDEX('Yardi Report'!$A:$E,MATCH('Chart of Accounts'!$A71,'Yardi Report'!$A:$A,0),2)),"",INDEX('Yardi Report'!$A:$E,MATCH('Chart of Accounts'!$A71,'Yardi Report'!$A:$A,0),2))</f>
        <v/>
      </c>
      <c r="C65" t="str">
        <f>IF(A65="","",MAX($C$1:C64)+1)</f>
        <v/>
      </c>
      <c r="E65" t="str">
        <f t="shared" si="0"/>
        <v xml:space="preserve"> </v>
      </c>
      <c r="G65">
        <f t="shared" si="2"/>
        <v>65</v>
      </c>
      <c r="H65" t="str">
        <f t="shared" si="1"/>
        <v/>
      </c>
    </row>
    <row r="66" spans="1:8">
      <c r="A66" t="str">
        <f>IF(ISNA(INDEX('Yardi Report'!$A:$E,MATCH('Chart of Accounts'!$A72,'Yardi Report'!$A:$A,0),1)),"",INDEX('Yardi Report'!$A:$E,MATCH('Chart of Accounts'!$A72,'Yardi Report'!$A:$A,0),1))</f>
        <v/>
      </c>
      <c r="B66" t="str">
        <f>IF(ISNA(INDEX('Yardi Report'!$A:$E,MATCH('Chart of Accounts'!$A72,'Yardi Report'!$A:$A,0),2)),"",INDEX('Yardi Report'!$A:$E,MATCH('Chart of Accounts'!$A72,'Yardi Report'!$A:$A,0),2))</f>
        <v/>
      </c>
      <c r="C66" t="str">
        <f>IF(A66="","",MAX($C$1:C65)+1)</f>
        <v/>
      </c>
      <c r="E66" t="str">
        <f t="shared" ref="E66:E129" si="3">A66&amp;" "&amp;B66</f>
        <v xml:space="preserve"> </v>
      </c>
      <c r="G66">
        <f t="shared" si="2"/>
        <v>66</v>
      </c>
      <c r="H66" t="str">
        <f t="shared" ref="H66:H100" si="4">IF(ISNA(INDEX(C66:E565,MATCH(G66,C66:C565,0),3)),"",INDEX(C66:E565,MATCH(G66,C66:C565,0),3))</f>
        <v/>
      </c>
    </row>
    <row r="67" spans="1:8">
      <c r="A67" t="str">
        <f>IF(ISNA(INDEX('Yardi Report'!$A:$E,MATCH('Chart of Accounts'!$A73,'Yardi Report'!$A:$A,0),1)),"",INDEX('Yardi Report'!$A:$E,MATCH('Chart of Accounts'!$A73,'Yardi Report'!$A:$A,0),1))</f>
        <v/>
      </c>
      <c r="B67" t="str">
        <f>IF(ISNA(INDEX('Yardi Report'!$A:$E,MATCH('Chart of Accounts'!$A73,'Yardi Report'!$A:$A,0),2)),"",INDEX('Yardi Report'!$A:$E,MATCH('Chart of Accounts'!$A73,'Yardi Report'!$A:$A,0),2))</f>
        <v/>
      </c>
      <c r="C67" t="str">
        <f>IF(A67="","",MAX($C$1:C66)+1)</f>
        <v/>
      </c>
      <c r="E67" t="str">
        <f t="shared" si="3"/>
        <v xml:space="preserve"> </v>
      </c>
      <c r="G67">
        <f t="shared" ref="G67:G130" si="5">+G66+1</f>
        <v>67</v>
      </c>
      <c r="H67" t="str">
        <f t="shared" si="4"/>
        <v/>
      </c>
    </row>
    <row r="68" spans="1:8">
      <c r="A68" t="str">
        <f>IF(ISNA(INDEX('Yardi Report'!$A:$E,MATCH('Chart of Accounts'!$A74,'Yardi Report'!$A:$A,0),1)),"",INDEX('Yardi Report'!$A:$E,MATCH('Chart of Accounts'!$A74,'Yardi Report'!$A:$A,0),1))</f>
        <v/>
      </c>
      <c r="B68" t="str">
        <f>IF(ISNA(INDEX('Yardi Report'!$A:$E,MATCH('Chart of Accounts'!$A74,'Yardi Report'!$A:$A,0),2)),"",INDEX('Yardi Report'!$A:$E,MATCH('Chart of Accounts'!$A74,'Yardi Report'!$A:$A,0),2))</f>
        <v/>
      </c>
      <c r="C68" t="str">
        <f>IF(A68="","",MAX($C$1:C67)+1)</f>
        <v/>
      </c>
      <c r="E68" t="str">
        <f t="shared" si="3"/>
        <v xml:space="preserve"> </v>
      </c>
      <c r="G68">
        <f t="shared" si="5"/>
        <v>68</v>
      </c>
      <c r="H68" t="str">
        <f t="shared" si="4"/>
        <v/>
      </c>
    </row>
    <row r="69" spans="1:8">
      <c r="A69" t="str">
        <f>IF(ISNA(INDEX('Yardi Report'!$A:$E,MATCH('Chart of Accounts'!$A75,'Yardi Report'!$A:$A,0),1)),"",INDEX('Yardi Report'!$A:$E,MATCH('Chart of Accounts'!$A75,'Yardi Report'!$A:$A,0),1))</f>
        <v/>
      </c>
      <c r="B69" t="str">
        <f>IF(ISNA(INDEX('Yardi Report'!$A:$E,MATCH('Chart of Accounts'!$A75,'Yardi Report'!$A:$A,0),2)),"",INDEX('Yardi Report'!$A:$E,MATCH('Chart of Accounts'!$A75,'Yardi Report'!$A:$A,0),2))</f>
        <v/>
      </c>
      <c r="C69" t="str">
        <f>IF(A69="","",MAX($C$1:C68)+1)</f>
        <v/>
      </c>
      <c r="E69" t="str">
        <f t="shared" si="3"/>
        <v xml:space="preserve"> </v>
      </c>
      <c r="G69">
        <f t="shared" si="5"/>
        <v>69</v>
      </c>
      <c r="H69" t="str">
        <f t="shared" si="4"/>
        <v/>
      </c>
    </row>
    <row r="70" spans="1:8">
      <c r="A70" t="str">
        <f>IF(ISNA(INDEX('Yardi Report'!$A:$E,MATCH('Chart of Accounts'!$A76,'Yardi Report'!$A:$A,0),1)),"",INDEX('Yardi Report'!$A:$E,MATCH('Chart of Accounts'!$A76,'Yardi Report'!$A:$A,0),1))</f>
        <v/>
      </c>
      <c r="B70" t="str">
        <f>IF(ISNA(INDEX('Yardi Report'!$A:$E,MATCH('Chart of Accounts'!$A76,'Yardi Report'!$A:$A,0),2)),"",INDEX('Yardi Report'!$A:$E,MATCH('Chart of Accounts'!$A76,'Yardi Report'!$A:$A,0),2))</f>
        <v/>
      </c>
      <c r="C70" t="str">
        <f>IF(A70="","",MAX($C$1:C69)+1)</f>
        <v/>
      </c>
      <c r="E70" t="str">
        <f t="shared" si="3"/>
        <v xml:space="preserve"> </v>
      </c>
      <c r="G70">
        <f t="shared" si="5"/>
        <v>70</v>
      </c>
      <c r="H70" t="str">
        <f t="shared" si="4"/>
        <v/>
      </c>
    </row>
    <row r="71" spans="1:8">
      <c r="A71" t="str">
        <f>IF(ISNA(INDEX('Yardi Report'!$A:$E,MATCH('Chart of Accounts'!$A77,'Yardi Report'!$A:$A,0),1)),"",INDEX('Yardi Report'!$A:$E,MATCH('Chart of Accounts'!$A77,'Yardi Report'!$A:$A,0),1))</f>
        <v/>
      </c>
      <c r="B71" t="str">
        <f>IF(ISNA(INDEX('Yardi Report'!$A:$E,MATCH('Chart of Accounts'!$A77,'Yardi Report'!$A:$A,0),2)),"",INDEX('Yardi Report'!$A:$E,MATCH('Chart of Accounts'!$A77,'Yardi Report'!$A:$A,0),2))</f>
        <v/>
      </c>
      <c r="C71" t="str">
        <f>IF(A71="","",MAX($C$1:C70)+1)</f>
        <v/>
      </c>
      <c r="E71" t="str">
        <f t="shared" si="3"/>
        <v xml:space="preserve"> </v>
      </c>
      <c r="G71">
        <f t="shared" si="5"/>
        <v>71</v>
      </c>
      <c r="H71" t="str">
        <f t="shared" si="4"/>
        <v/>
      </c>
    </row>
    <row r="72" spans="1:8">
      <c r="A72" t="str">
        <f>IF(ISNA(INDEX('Yardi Report'!$A:$E,MATCH('Chart of Accounts'!$A78,'Yardi Report'!$A:$A,0),1)),"",INDEX('Yardi Report'!$A:$E,MATCH('Chart of Accounts'!$A78,'Yardi Report'!$A:$A,0),1))</f>
        <v/>
      </c>
      <c r="B72" t="str">
        <f>IF(ISNA(INDEX('Yardi Report'!$A:$E,MATCH('Chart of Accounts'!$A78,'Yardi Report'!$A:$A,0),2)),"",INDEX('Yardi Report'!$A:$E,MATCH('Chart of Accounts'!$A78,'Yardi Report'!$A:$A,0),2))</f>
        <v/>
      </c>
      <c r="C72" t="str">
        <f>IF(A72="","",MAX($C$1:C71)+1)</f>
        <v/>
      </c>
      <c r="E72" t="str">
        <f t="shared" si="3"/>
        <v xml:space="preserve"> </v>
      </c>
      <c r="G72">
        <f t="shared" si="5"/>
        <v>72</v>
      </c>
      <c r="H72" t="str">
        <f t="shared" si="4"/>
        <v/>
      </c>
    </row>
    <row r="73" spans="1:8">
      <c r="A73" t="str">
        <f>IF(ISNA(INDEX('Yardi Report'!$A:$E,MATCH('Chart of Accounts'!$A79,'Yardi Report'!$A:$A,0),1)),"",INDEX('Yardi Report'!$A:$E,MATCH('Chart of Accounts'!$A79,'Yardi Report'!$A:$A,0),1))</f>
        <v/>
      </c>
      <c r="B73" t="str">
        <f>IF(ISNA(INDEX('Yardi Report'!$A:$E,MATCH('Chart of Accounts'!$A79,'Yardi Report'!$A:$A,0),2)),"",INDEX('Yardi Report'!$A:$E,MATCH('Chart of Accounts'!$A79,'Yardi Report'!$A:$A,0),2))</f>
        <v/>
      </c>
      <c r="C73" t="str">
        <f>IF(A73="","",MAX($C$1:C72)+1)</f>
        <v/>
      </c>
      <c r="E73" t="str">
        <f t="shared" si="3"/>
        <v xml:space="preserve"> </v>
      </c>
      <c r="G73">
        <f t="shared" si="5"/>
        <v>73</v>
      </c>
      <c r="H73" t="str">
        <f t="shared" si="4"/>
        <v/>
      </c>
    </row>
    <row r="74" spans="1:8">
      <c r="A74" t="str">
        <f>IF(ISNA(INDEX('Yardi Report'!$A:$E,MATCH('Chart of Accounts'!$A80,'Yardi Report'!$A:$A,0),1)),"",INDEX('Yardi Report'!$A:$E,MATCH('Chart of Accounts'!$A80,'Yardi Report'!$A:$A,0),1))</f>
        <v/>
      </c>
      <c r="B74" t="str">
        <f>IF(ISNA(INDEX('Yardi Report'!$A:$E,MATCH('Chart of Accounts'!$A80,'Yardi Report'!$A:$A,0),2)),"",INDEX('Yardi Report'!$A:$E,MATCH('Chart of Accounts'!$A80,'Yardi Report'!$A:$A,0),2))</f>
        <v/>
      </c>
      <c r="C74" t="str">
        <f>IF(A74="","",MAX($C$1:C73)+1)</f>
        <v/>
      </c>
      <c r="E74" t="str">
        <f t="shared" si="3"/>
        <v xml:space="preserve"> </v>
      </c>
      <c r="G74">
        <f t="shared" si="5"/>
        <v>74</v>
      </c>
      <c r="H74" t="str">
        <f t="shared" si="4"/>
        <v/>
      </c>
    </row>
    <row r="75" spans="1:8">
      <c r="A75" t="str">
        <f>IF(ISNA(INDEX('Yardi Report'!$A:$E,MATCH('Chart of Accounts'!$A81,'Yardi Report'!$A:$A,0),1)),"",INDEX('Yardi Report'!$A:$E,MATCH('Chart of Accounts'!$A81,'Yardi Report'!$A:$A,0),1))</f>
        <v/>
      </c>
      <c r="B75" t="str">
        <f>IF(ISNA(INDEX('Yardi Report'!$A:$E,MATCH('Chart of Accounts'!$A81,'Yardi Report'!$A:$A,0),2)),"",INDEX('Yardi Report'!$A:$E,MATCH('Chart of Accounts'!$A81,'Yardi Report'!$A:$A,0),2))</f>
        <v/>
      </c>
      <c r="C75" t="str">
        <f>IF(A75="","",MAX($C$1:C74)+1)</f>
        <v/>
      </c>
      <c r="E75" t="str">
        <f t="shared" si="3"/>
        <v xml:space="preserve"> </v>
      </c>
      <c r="G75">
        <f t="shared" si="5"/>
        <v>75</v>
      </c>
      <c r="H75" t="str">
        <f t="shared" si="4"/>
        <v/>
      </c>
    </row>
    <row r="76" spans="1:8">
      <c r="A76" t="str">
        <f>IF(ISNA(INDEX('Yardi Report'!$A:$E,MATCH('Chart of Accounts'!$A82,'Yardi Report'!$A:$A,0),1)),"",INDEX('Yardi Report'!$A:$E,MATCH('Chart of Accounts'!$A82,'Yardi Report'!$A:$A,0),1))</f>
        <v/>
      </c>
      <c r="B76" t="str">
        <f>IF(ISNA(INDEX('Yardi Report'!$A:$E,MATCH('Chart of Accounts'!$A82,'Yardi Report'!$A:$A,0),2)),"",INDEX('Yardi Report'!$A:$E,MATCH('Chart of Accounts'!$A82,'Yardi Report'!$A:$A,0),2))</f>
        <v/>
      </c>
      <c r="C76" t="str">
        <f>IF(A76="","",MAX($C$1:C75)+1)</f>
        <v/>
      </c>
      <c r="E76" t="str">
        <f t="shared" si="3"/>
        <v xml:space="preserve"> </v>
      </c>
      <c r="G76">
        <f t="shared" si="5"/>
        <v>76</v>
      </c>
      <c r="H76" t="str">
        <f t="shared" si="4"/>
        <v/>
      </c>
    </row>
    <row r="77" spans="1:8">
      <c r="A77" t="str">
        <f>IF(ISNA(INDEX('Yardi Report'!$A:$E,MATCH('Chart of Accounts'!$A83,'Yardi Report'!$A:$A,0),1)),"",INDEX('Yardi Report'!$A:$E,MATCH('Chart of Accounts'!$A83,'Yardi Report'!$A:$A,0),1))</f>
        <v/>
      </c>
      <c r="B77" t="str">
        <f>IF(ISNA(INDEX('Yardi Report'!$A:$E,MATCH('Chart of Accounts'!$A83,'Yardi Report'!$A:$A,0),2)),"",INDEX('Yardi Report'!$A:$E,MATCH('Chart of Accounts'!$A83,'Yardi Report'!$A:$A,0),2))</f>
        <v/>
      </c>
      <c r="C77" t="str">
        <f>IF(A77="","",MAX($C$1:C76)+1)</f>
        <v/>
      </c>
      <c r="E77" t="str">
        <f t="shared" si="3"/>
        <v xml:space="preserve"> </v>
      </c>
      <c r="G77">
        <f t="shared" si="5"/>
        <v>77</v>
      </c>
      <c r="H77" t="str">
        <f t="shared" si="4"/>
        <v/>
      </c>
    </row>
    <row r="78" spans="1:8">
      <c r="A78" t="str">
        <f>IF(ISNA(INDEX('Yardi Report'!$A:$E,MATCH('Chart of Accounts'!$A84,'Yardi Report'!$A:$A,0),1)),"",INDEX('Yardi Report'!$A:$E,MATCH('Chart of Accounts'!$A84,'Yardi Report'!$A:$A,0),1))</f>
        <v/>
      </c>
      <c r="B78" t="str">
        <f>IF(ISNA(INDEX('Yardi Report'!$A:$E,MATCH('Chart of Accounts'!$A84,'Yardi Report'!$A:$A,0),2)),"",INDEX('Yardi Report'!$A:$E,MATCH('Chart of Accounts'!$A84,'Yardi Report'!$A:$A,0),2))</f>
        <v/>
      </c>
      <c r="C78" t="str">
        <f>IF(A78="","",MAX($C$1:C77)+1)</f>
        <v/>
      </c>
      <c r="E78" t="str">
        <f t="shared" si="3"/>
        <v xml:space="preserve"> </v>
      </c>
      <c r="G78">
        <f t="shared" si="5"/>
        <v>78</v>
      </c>
      <c r="H78" t="str">
        <f t="shared" si="4"/>
        <v/>
      </c>
    </row>
    <row r="79" spans="1:8">
      <c r="A79" t="str">
        <f>IF(ISNA(INDEX('Yardi Report'!$A:$E,MATCH('Chart of Accounts'!$A85,'Yardi Report'!$A:$A,0),1)),"",INDEX('Yardi Report'!$A:$E,MATCH('Chart of Accounts'!$A85,'Yardi Report'!$A:$A,0),1))</f>
        <v/>
      </c>
      <c r="B79" t="str">
        <f>IF(ISNA(INDEX('Yardi Report'!$A:$E,MATCH('Chart of Accounts'!$A85,'Yardi Report'!$A:$A,0),2)),"",INDEX('Yardi Report'!$A:$E,MATCH('Chart of Accounts'!$A85,'Yardi Report'!$A:$A,0),2))</f>
        <v/>
      </c>
      <c r="C79" t="str">
        <f>IF(A79="","",MAX($C$1:C78)+1)</f>
        <v/>
      </c>
      <c r="E79" t="str">
        <f t="shared" si="3"/>
        <v xml:space="preserve"> </v>
      </c>
      <c r="G79">
        <f t="shared" si="5"/>
        <v>79</v>
      </c>
      <c r="H79" t="str">
        <f t="shared" si="4"/>
        <v/>
      </c>
    </row>
    <row r="80" spans="1:8">
      <c r="A80" t="str">
        <f>IF(ISNA(INDEX('Yardi Report'!$A:$E,MATCH('Chart of Accounts'!$A86,'Yardi Report'!$A:$A,0),1)),"",INDEX('Yardi Report'!$A:$E,MATCH('Chart of Accounts'!$A86,'Yardi Report'!$A:$A,0),1))</f>
        <v/>
      </c>
      <c r="B80" t="str">
        <f>IF(ISNA(INDEX('Yardi Report'!$A:$E,MATCH('Chart of Accounts'!$A86,'Yardi Report'!$A:$A,0),2)),"",INDEX('Yardi Report'!$A:$E,MATCH('Chart of Accounts'!$A86,'Yardi Report'!$A:$A,0),2))</f>
        <v/>
      </c>
      <c r="C80" t="str">
        <f>IF(A80="","",MAX($C$1:C79)+1)</f>
        <v/>
      </c>
      <c r="E80" t="str">
        <f t="shared" si="3"/>
        <v xml:space="preserve"> </v>
      </c>
      <c r="G80">
        <f t="shared" si="5"/>
        <v>80</v>
      </c>
      <c r="H80" t="str">
        <f t="shared" si="4"/>
        <v/>
      </c>
    </row>
    <row r="81" spans="1:8">
      <c r="A81" t="str">
        <f>IF(ISNA(INDEX('Yardi Report'!$A:$E,MATCH('Chart of Accounts'!$A87,'Yardi Report'!$A:$A,0),1)),"",INDEX('Yardi Report'!$A:$E,MATCH('Chart of Accounts'!$A87,'Yardi Report'!$A:$A,0),1))</f>
        <v/>
      </c>
      <c r="B81" t="str">
        <f>IF(ISNA(INDEX('Yardi Report'!$A:$E,MATCH('Chart of Accounts'!$A87,'Yardi Report'!$A:$A,0),2)),"",INDEX('Yardi Report'!$A:$E,MATCH('Chart of Accounts'!$A87,'Yardi Report'!$A:$A,0),2))</f>
        <v/>
      </c>
      <c r="C81" t="str">
        <f>IF(A81="","",MAX($C$1:C80)+1)</f>
        <v/>
      </c>
      <c r="E81" t="str">
        <f t="shared" si="3"/>
        <v xml:space="preserve"> </v>
      </c>
      <c r="G81">
        <f t="shared" si="5"/>
        <v>81</v>
      </c>
      <c r="H81" t="str">
        <f t="shared" si="4"/>
        <v/>
      </c>
    </row>
    <row r="82" spans="1:8">
      <c r="A82" t="str">
        <f>IF(ISNA(INDEX('Yardi Report'!$A:$E,MATCH('Chart of Accounts'!$A88,'Yardi Report'!$A:$A,0),1)),"",INDEX('Yardi Report'!$A:$E,MATCH('Chart of Accounts'!$A88,'Yardi Report'!$A:$A,0),1))</f>
        <v/>
      </c>
      <c r="B82" t="str">
        <f>IF(ISNA(INDEX('Yardi Report'!$A:$E,MATCH('Chart of Accounts'!$A88,'Yardi Report'!$A:$A,0),2)),"",INDEX('Yardi Report'!$A:$E,MATCH('Chart of Accounts'!$A88,'Yardi Report'!$A:$A,0),2))</f>
        <v/>
      </c>
      <c r="C82" t="str">
        <f>IF(A82="","",MAX($C$1:C81)+1)</f>
        <v/>
      </c>
      <c r="E82" t="str">
        <f t="shared" si="3"/>
        <v xml:space="preserve"> </v>
      </c>
      <c r="G82">
        <f t="shared" si="5"/>
        <v>82</v>
      </c>
      <c r="H82" t="str">
        <f t="shared" si="4"/>
        <v/>
      </c>
    </row>
    <row r="83" spans="1:8">
      <c r="A83" t="str">
        <f>IF(ISNA(INDEX('Yardi Report'!$A:$E,MATCH('Chart of Accounts'!$A89,'Yardi Report'!$A:$A,0),1)),"",INDEX('Yardi Report'!$A:$E,MATCH('Chart of Accounts'!$A89,'Yardi Report'!$A:$A,0),1))</f>
        <v/>
      </c>
      <c r="B83" t="str">
        <f>IF(ISNA(INDEX('Yardi Report'!$A:$E,MATCH('Chart of Accounts'!$A89,'Yardi Report'!$A:$A,0),2)),"",INDEX('Yardi Report'!$A:$E,MATCH('Chart of Accounts'!$A89,'Yardi Report'!$A:$A,0),2))</f>
        <v/>
      </c>
      <c r="C83" t="str">
        <f>IF(A83="","",MAX($C$1:C82)+1)</f>
        <v/>
      </c>
      <c r="E83" t="str">
        <f t="shared" si="3"/>
        <v xml:space="preserve"> </v>
      </c>
      <c r="G83">
        <f t="shared" si="5"/>
        <v>83</v>
      </c>
      <c r="H83" t="str">
        <f t="shared" si="4"/>
        <v/>
      </c>
    </row>
    <row r="84" spans="1:8">
      <c r="A84" t="str">
        <f>IF(ISNA(INDEX('Yardi Report'!$A:$E,MATCH('Chart of Accounts'!$A90,'Yardi Report'!$A:$A,0),1)),"",INDEX('Yardi Report'!$A:$E,MATCH('Chart of Accounts'!$A90,'Yardi Report'!$A:$A,0),1))</f>
        <v/>
      </c>
      <c r="B84" t="str">
        <f>IF(ISNA(INDEX('Yardi Report'!$A:$E,MATCH('Chart of Accounts'!$A90,'Yardi Report'!$A:$A,0),2)),"",INDEX('Yardi Report'!$A:$E,MATCH('Chart of Accounts'!$A90,'Yardi Report'!$A:$A,0),2))</f>
        <v/>
      </c>
      <c r="C84" t="str">
        <f>IF(A84="","",MAX($C$1:C83)+1)</f>
        <v/>
      </c>
      <c r="E84" t="str">
        <f t="shared" si="3"/>
        <v xml:space="preserve"> </v>
      </c>
      <c r="G84">
        <f t="shared" si="5"/>
        <v>84</v>
      </c>
      <c r="H84" t="str">
        <f t="shared" si="4"/>
        <v/>
      </c>
    </row>
    <row r="85" spans="1:8">
      <c r="A85" t="str">
        <f>IF(ISNA(INDEX('Yardi Report'!$A:$E,MATCH('Chart of Accounts'!$A91,'Yardi Report'!$A:$A,0),1)),"",INDEX('Yardi Report'!$A:$E,MATCH('Chart of Accounts'!$A91,'Yardi Report'!$A:$A,0),1))</f>
        <v/>
      </c>
      <c r="B85" t="str">
        <f>IF(ISNA(INDEX('Yardi Report'!$A:$E,MATCH('Chart of Accounts'!$A91,'Yardi Report'!$A:$A,0),2)),"",INDEX('Yardi Report'!$A:$E,MATCH('Chart of Accounts'!$A91,'Yardi Report'!$A:$A,0),2))</f>
        <v/>
      </c>
      <c r="C85" t="str">
        <f>IF(A85="","",MAX($C$1:C84)+1)</f>
        <v/>
      </c>
      <c r="E85" t="str">
        <f t="shared" si="3"/>
        <v xml:space="preserve"> </v>
      </c>
      <c r="G85">
        <f t="shared" si="5"/>
        <v>85</v>
      </c>
      <c r="H85" t="str">
        <f t="shared" si="4"/>
        <v/>
      </c>
    </row>
    <row r="86" spans="1:8">
      <c r="A86" t="str">
        <f>IF(ISNA(INDEX('Yardi Report'!$A:$E,MATCH('Chart of Accounts'!$A92,'Yardi Report'!$A:$A,0),1)),"",INDEX('Yardi Report'!$A:$E,MATCH('Chart of Accounts'!$A92,'Yardi Report'!$A:$A,0),1))</f>
        <v/>
      </c>
      <c r="B86" t="str">
        <f>IF(ISNA(INDEX('Yardi Report'!$A:$E,MATCH('Chart of Accounts'!$A92,'Yardi Report'!$A:$A,0),2)),"",INDEX('Yardi Report'!$A:$E,MATCH('Chart of Accounts'!$A92,'Yardi Report'!$A:$A,0),2))</f>
        <v/>
      </c>
      <c r="C86" t="str">
        <f>IF(A86="","",MAX($C$1:C85)+1)</f>
        <v/>
      </c>
      <c r="E86" t="str">
        <f t="shared" si="3"/>
        <v xml:space="preserve"> </v>
      </c>
      <c r="G86">
        <f t="shared" si="5"/>
        <v>86</v>
      </c>
      <c r="H86" t="str">
        <f t="shared" si="4"/>
        <v/>
      </c>
    </row>
    <row r="87" spans="1:8">
      <c r="A87" t="str">
        <f>IF(ISNA(INDEX('Yardi Report'!$A:$E,MATCH('Chart of Accounts'!$A93,'Yardi Report'!$A:$A,0),1)),"",INDEX('Yardi Report'!$A:$E,MATCH('Chart of Accounts'!$A93,'Yardi Report'!$A:$A,0),1))</f>
        <v/>
      </c>
      <c r="B87" t="str">
        <f>IF(ISNA(INDEX('Yardi Report'!$A:$E,MATCH('Chart of Accounts'!$A93,'Yardi Report'!$A:$A,0),2)),"",INDEX('Yardi Report'!$A:$E,MATCH('Chart of Accounts'!$A93,'Yardi Report'!$A:$A,0),2))</f>
        <v/>
      </c>
      <c r="C87" t="str">
        <f>IF(A87="","",MAX($C$1:C86)+1)</f>
        <v/>
      </c>
      <c r="E87" t="str">
        <f t="shared" si="3"/>
        <v xml:space="preserve"> </v>
      </c>
      <c r="G87">
        <f t="shared" si="5"/>
        <v>87</v>
      </c>
      <c r="H87" t="str">
        <f t="shared" si="4"/>
        <v/>
      </c>
    </row>
    <row r="88" spans="1:8">
      <c r="A88" t="str">
        <f>IF(ISNA(INDEX('Yardi Report'!$A:$E,MATCH('Chart of Accounts'!$A94,'Yardi Report'!$A:$A,0),1)),"",INDEX('Yardi Report'!$A:$E,MATCH('Chart of Accounts'!$A94,'Yardi Report'!$A:$A,0),1))</f>
        <v/>
      </c>
      <c r="B88" t="str">
        <f>IF(ISNA(INDEX('Yardi Report'!$A:$E,MATCH('Chart of Accounts'!$A94,'Yardi Report'!$A:$A,0),2)),"",INDEX('Yardi Report'!$A:$E,MATCH('Chart of Accounts'!$A94,'Yardi Report'!$A:$A,0),2))</f>
        <v/>
      </c>
      <c r="C88" t="str">
        <f>IF(A88="","",MAX($C$1:C87)+1)</f>
        <v/>
      </c>
      <c r="E88" t="str">
        <f t="shared" si="3"/>
        <v xml:space="preserve"> </v>
      </c>
      <c r="G88">
        <f t="shared" si="5"/>
        <v>88</v>
      </c>
      <c r="H88" t="str">
        <f t="shared" si="4"/>
        <v/>
      </c>
    </row>
    <row r="89" spans="1:8">
      <c r="A89" t="str">
        <f>IF(ISNA(INDEX('Yardi Report'!$A:$E,MATCH('Chart of Accounts'!$A95,'Yardi Report'!$A:$A,0),1)),"",INDEX('Yardi Report'!$A:$E,MATCH('Chart of Accounts'!$A95,'Yardi Report'!$A:$A,0),1))</f>
        <v/>
      </c>
      <c r="B89" t="str">
        <f>IF(ISNA(INDEX('Yardi Report'!$A:$E,MATCH('Chart of Accounts'!$A95,'Yardi Report'!$A:$A,0),2)),"",INDEX('Yardi Report'!$A:$E,MATCH('Chart of Accounts'!$A95,'Yardi Report'!$A:$A,0),2))</f>
        <v/>
      </c>
      <c r="C89" t="str">
        <f>IF(A89="","",MAX($C$1:C88)+1)</f>
        <v/>
      </c>
      <c r="E89" t="str">
        <f t="shared" si="3"/>
        <v xml:space="preserve"> </v>
      </c>
      <c r="G89">
        <f t="shared" si="5"/>
        <v>89</v>
      </c>
      <c r="H89" t="str">
        <f t="shared" si="4"/>
        <v/>
      </c>
    </row>
    <row r="90" spans="1:8">
      <c r="A90" t="str">
        <f>IF(ISNA(INDEX('Yardi Report'!$A:$E,MATCH('Chart of Accounts'!$A96,'Yardi Report'!$A:$A,0),1)),"",INDEX('Yardi Report'!$A:$E,MATCH('Chart of Accounts'!$A96,'Yardi Report'!$A:$A,0),1))</f>
        <v/>
      </c>
      <c r="B90" t="str">
        <f>IF(ISNA(INDEX('Yardi Report'!$A:$E,MATCH('Chart of Accounts'!$A96,'Yardi Report'!$A:$A,0),2)),"",INDEX('Yardi Report'!$A:$E,MATCH('Chart of Accounts'!$A96,'Yardi Report'!$A:$A,0),2))</f>
        <v/>
      </c>
      <c r="C90" t="str">
        <f>IF(A90="","",MAX($C$1:C89)+1)</f>
        <v/>
      </c>
      <c r="E90" t="str">
        <f t="shared" si="3"/>
        <v xml:space="preserve"> </v>
      </c>
      <c r="G90">
        <f t="shared" si="5"/>
        <v>90</v>
      </c>
      <c r="H90" t="str">
        <f t="shared" si="4"/>
        <v/>
      </c>
    </row>
    <row r="91" spans="1:8">
      <c r="A91" t="str">
        <f>IF(ISNA(INDEX('Yardi Report'!$A:$E,MATCH('Chart of Accounts'!$A97,'Yardi Report'!$A:$A,0),1)),"",INDEX('Yardi Report'!$A:$E,MATCH('Chart of Accounts'!$A97,'Yardi Report'!$A:$A,0),1))</f>
        <v/>
      </c>
      <c r="B91" t="str">
        <f>IF(ISNA(INDEX('Yardi Report'!$A:$E,MATCH('Chart of Accounts'!$A97,'Yardi Report'!$A:$A,0),2)),"",INDEX('Yardi Report'!$A:$E,MATCH('Chart of Accounts'!$A97,'Yardi Report'!$A:$A,0),2))</f>
        <v/>
      </c>
      <c r="C91" t="str">
        <f>IF(A91="","",MAX($C$1:C90)+1)</f>
        <v/>
      </c>
      <c r="E91" t="str">
        <f t="shared" si="3"/>
        <v xml:space="preserve"> </v>
      </c>
      <c r="G91">
        <f t="shared" si="5"/>
        <v>91</v>
      </c>
      <c r="H91" t="str">
        <f t="shared" si="4"/>
        <v/>
      </c>
    </row>
    <row r="92" spans="1:8">
      <c r="A92" t="str">
        <f>IF(ISNA(INDEX('Yardi Report'!$A:$E,MATCH('Chart of Accounts'!$A98,'Yardi Report'!$A:$A,0),1)),"",INDEX('Yardi Report'!$A:$E,MATCH('Chart of Accounts'!$A98,'Yardi Report'!$A:$A,0),1))</f>
        <v/>
      </c>
      <c r="B92" t="str">
        <f>IF(ISNA(INDEX('Yardi Report'!$A:$E,MATCH('Chart of Accounts'!$A98,'Yardi Report'!$A:$A,0),2)),"",INDEX('Yardi Report'!$A:$E,MATCH('Chart of Accounts'!$A98,'Yardi Report'!$A:$A,0),2))</f>
        <v/>
      </c>
      <c r="C92" t="str">
        <f>IF(A92="","",MAX($C$1:C91)+1)</f>
        <v/>
      </c>
      <c r="E92" t="str">
        <f t="shared" si="3"/>
        <v xml:space="preserve"> </v>
      </c>
      <c r="G92">
        <f t="shared" si="5"/>
        <v>92</v>
      </c>
      <c r="H92" t="str">
        <f t="shared" si="4"/>
        <v/>
      </c>
    </row>
    <row r="93" spans="1:8">
      <c r="A93" t="str">
        <f>IF(ISNA(INDEX('Yardi Report'!$A:$E,MATCH('Chart of Accounts'!$A99,'Yardi Report'!$A:$A,0),1)),"",INDEX('Yardi Report'!$A:$E,MATCH('Chart of Accounts'!$A99,'Yardi Report'!$A:$A,0),1))</f>
        <v/>
      </c>
      <c r="B93" t="str">
        <f>IF(ISNA(INDEX('Yardi Report'!$A:$E,MATCH('Chart of Accounts'!$A99,'Yardi Report'!$A:$A,0),2)),"",INDEX('Yardi Report'!$A:$E,MATCH('Chart of Accounts'!$A99,'Yardi Report'!$A:$A,0),2))</f>
        <v/>
      </c>
      <c r="C93" t="str">
        <f>IF(A93="","",MAX($C$1:C92)+1)</f>
        <v/>
      </c>
      <c r="E93" t="str">
        <f t="shared" si="3"/>
        <v xml:space="preserve"> </v>
      </c>
      <c r="G93">
        <f t="shared" si="5"/>
        <v>93</v>
      </c>
      <c r="H93" t="str">
        <f t="shared" si="4"/>
        <v/>
      </c>
    </row>
    <row r="94" spans="1:8">
      <c r="A94" t="str">
        <f>IF(ISNA(INDEX('Yardi Report'!$A:$E,MATCH('Chart of Accounts'!$A100,'Yardi Report'!$A:$A,0),1)),"",INDEX('Yardi Report'!$A:$E,MATCH('Chart of Accounts'!$A100,'Yardi Report'!$A:$A,0),1))</f>
        <v/>
      </c>
      <c r="B94" t="str">
        <f>IF(ISNA(INDEX('Yardi Report'!$A:$E,MATCH('Chart of Accounts'!$A100,'Yardi Report'!$A:$A,0),2)),"",INDEX('Yardi Report'!$A:$E,MATCH('Chart of Accounts'!$A100,'Yardi Report'!$A:$A,0),2))</f>
        <v/>
      </c>
      <c r="C94" t="str">
        <f>IF(A94="","",MAX($C$1:C93)+1)</f>
        <v/>
      </c>
      <c r="E94" t="str">
        <f t="shared" si="3"/>
        <v xml:space="preserve"> </v>
      </c>
      <c r="G94">
        <f t="shared" si="5"/>
        <v>94</v>
      </c>
      <c r="H94" t="str">
        <f t="shared" si="4"/>
        <v/>
      </c>
    </row>
    <row r="95" spans="1:8">
      <c r="A95" t="str">
        <f>IF(ISNA(INDEX('Yardi Report'!$A:$E,MATCH('Chart of Accounts'!$A101,'Yardi Report'!$A:$A,0),1)),"",INDEX('Yardi Report'!$A:$E,MATCH('Chart of Accounts'!$A101,'Yardi Report'!$A:$A,0),1))</f>
        <v/>
      </c>
      <c r="B95" t="str">
        <f>IF(ISNA(INDEX('Yardi Report'!$A:$E,MATCH('Chart of Accounts'!$A101,'Yardi Report'!$A:$A,0),2)),"",INDEX('Yardi Report'!$A:$E,MATCH('Chart of Accounts'!$A101,'Yardi Report'!$A:$A,0),2))</f>
        <v/>
      </c>
      <c r="C95" t="str">
        <f>IF(A95="","",MAX($C$1:C94)+1)</f>
        <v/>
      </c>
      <c r="E95" t="str">
        <f t="shared" si="3"/>
        <v xml:space="preserve"> </v>
      </c>
      <c r="G95">
        <f t="shared" si="5"/>
        <v>95</v>
      </c>
      <c r="H95" t="str">
        <f t="shared" si="4"/>
        <v/>
      </c>
    </row>
    <row r="96" spans="1:8">
      <c r="A96" t="str">
        <f>IF(ISNA(INDEX('Yardi Report'!$A:$E,MATCH('Chart of Accounts'!$A102,'Yardi Report'!$A:$A,0),1)),"",INDEX('Yardi Report'!$A:$E,MATCH('Chart of Accounts'!$A102,'Yardi Report'!$A:$A,0),1))</f>
        <v/>
      </c>
      <c r="B96" t="str">
        <f>IF(ISNA(INDEX('Yardi Report'!$A:$E,MATCH('Chart of Accounts'!$A102,'Yardi Report'!$A:$A,0),2)),"",INDEX('Yardi Report'!$A:$E,MATCH('Chart of Accounts'!$A102,'Yardi Report'!$A:$A,0),2))</f>
        <v/>
      </c>
      <c r="C96" t="str">
        <f>IF(A96="","",MAX($C$1:C95)+1)</f>
        <v/>
      </c>
      <c r="E96" t="str">
        <f t="shared" si="3"/>
        <v xml:space="preserve"> </v>
      </c>
      <c r="G96">
        <f t="shared" si="5"/>
        <v>96</v>
      </c>
      <c r="H96" t="str">
        <f t="shared" si="4"/>
        <v/>
      </c>
    </row>
    <row r="97" spans="1:8">
      <c r="A97" t="str">
        <f>IF(ISNA(INDEX('Yardi Report'!$A:$E,MATCH('Chart of Accounts'!$A103,'Yardi Report'!$A:$A,0),1)),"",INDEX('Yardi Report'!$A:$E,MATCH('Chart of Accounts'!$A103,'Yardi Report'!$A:$A,0),1))</f>
        <v/>
      </c>
      <c r="B97" t="str">
        <f>IF(ISNA(INDEX('Yardi Report'!$A:$E,MATCH('Chart of Accounts'!$A103,'Yardi Report'!$A:$A,0),2)),"",INDEX('Yardi Report'!$A:$E,MATCH('Chart of Accounts'!$A103,'Yardi Report'!$A:$A,0),2))</f>
        <v/>
      </c>
      <c r="C97" t="str">
        <f>IF(A97="","",MAX($C$1:C96)+1)</f>
        <v/>
      </c>
      <c r="E97" t="str">
        <f t="shared" si="3"/>
        <v xml:space="preserve"> </v>
      </c>
      <c r="G97">
        <f t="shared" si="5"/>
        <v>97</v>
      </c>
      <c r="H97" t="str">
        <f t="shared" si="4"/>
        <v/>
      </c>
    </row>
    <row r="98" spans="1:8">
      <c r="A98" t="str">
        <f>IF(ISNA(INDEX('Yardi Report'!$A:$E,MATCH('Chart of Accounts'!$A104,'Yardi Report'!$A:$A,0),1)),"",INDEX('Yardi Report'!$A:$E,MATCH('Chart of Accounts'!$A104,'Yardi Report'!$A:$A,0),1))</f>
        <v/>
      </c>
      <c r="B98" t="str">
        <f>IF(ISNA(INDEX('Yardi Report'!$A:$E,MATCH('Chart of Accounts'!$A104,'Yardi Report'!$A:$A,0),2)),"",INDEX('Yardi Report'!$A:$E,MATCH('Chart of Accounts'!$A104,'Yardi Report'!$A:$A,0),2))</f>
        <v/>
      </c>
      <c r="C98" t="str">
        <f>IF(A98="","",MAX($C$1:C97)+1)</f>
        <v/>
      </c>
      <c r="E98" t="str">
        <f t="shared" si="3"/>
        <v xml:space="preserve"> </v>
      </c>
      <c r="G98">
        <f t="shared" si="5"/>
        <v>98</v>
      </c>
      <c r="H98" t="str">
        <f t="shared" si="4"/>
        <v/>
      </c>
    </row>
    <row r="99" spans="1:8">
      <c r="A99" t="str">
        <f>IF(ISNA(INDEX('Yardi Report'!$A:$E,MATCH('Chart of Accounts'!$A105,'Yardi Report'!$A:$A,0),1)),"",INDEX('Yardi Report'!$A:$E,MATCH('Chart of Accounts'!$A105,'Yardi Report'!$A:$A,0),1))</f>
        <v/>
      </c>
      <c r="B99" t="str">
        <f>IF(ISNA(INDEX('Yardi Report'!$A:$E,MATCH('Chart of Accounts'!$A105,'Yardi Report'!$A:$A,0),2)),"",INDEX('Yardi Report'!$A:$E,MATCH('Chart of Accounts'!$A105,'Yardi Report'!$A:$A,0),2))</f>
        <v/>
      </c>
      <c r="C99" t="str">
        <f>IF(A99="","",MAX($C$1:C98)+1)</f>
        <v/>
      </c>
      <c r="E99" t="str">
        <f t="shared" si="3"/>
        <v xml:space="preserve"> </v>
      </c>
      <c r="G99">
        <f t="shared" si="5"/>
        <v>99</v>
      </c>
      <c r="H99" t="str">
        <f t="shared" si="4"/>
        <v/>
      </c>
    </row>
    <row r="100" spans="1:8">
      <c r="A100" t="str">
        <f>IF(ISNA(INDEX('Yardi Report'!$A:$E,MATCH('Chart of Accounts'!$A106,'Yardi Report'!$A:$A,0),1)),"",INDEX('Yardi Report'!$A:$E,MATCH('Chart of Accounts'!$A106,'Yardi Report'!$A:$A,0),1))</f>
        <v/>
      </c>
      <c r="B100" t="str">
        <f>IF(ISNA(INDEX('Yardi Report'!$A:$E,MATCH('Chart of Accounts'!$A106,'Yardi Report'!$A:$A,0),2)),"",INDEX('Yardi Report'!$A:$E,MATCH('Chart of Accounts'!$A106,'Yardi Report'!$A:$A,0),2))</f>
        <v/>
      </c>
      <c r="C100" t="str">
        <f>IF(A100="","",MAX($C$1:C99)+1)</f>
        <v/>
      </c>
      <c r="E100" t="str">
        <f t="shared" si="3"/>
        <v xml:space="preserve"> </v>
      </c>
      <c r="G100">
        <f t="shared" si="5"/>
        <v>100</v>
      </c>
      <c r="H100" t="str">
        <f t="shared" si="4"/>
        <v/>
      </c>
    </row>
    <row r="101" spans="1:8">
      <c r="A101" t="str">
        <f>IF(ISNA(INDEX('Yardi Report'!$A:$E,MATCH('Chart of Accounts'!$A107,'Yardi Report'!$A:$A,0),1)),"",INDEX('Yardi Report'!$A:$E,MATCH('Chart of Accounts'!$A107,'Yardi Report'!$A:$A,0),1))</f>
        <v/>
      </c>
      <c r="B101" t="str">
        <f>IF(ISNA(INDEX('Yardi Report'!$A:$E,MATCH('Chart of Accounts'!$A107,'Yardi Report'!$A:$A,0),2)),"",INDEX('Yardi Report'!$A:$E,MATCH('Chart of Accounts'!$A107,'Yardi Report'!$A:$A,0),2))</f>
        <v/>
      </c>
      <c r="C101" t="str">
        <f>IF(A101="","",MAX($C$1:C100)+1)</f>
        <v/>
      </c>
      <c r="E101" t="str">
        <f t="shared" si="3"/>
        <v xml:space="preserve"> </v>
      </c>
      <c r="G101">
        <f t="shared" si="5"/>
        <v>101</v>
      </c>
    </row>
    <row r="102" spans="1:8">
      <c r="A102" t="str">
        <f>IF(ISNA(INDEX('Yardi Report'!$A:$E,MATCH('Chart of Accounts'!$A108,'Yardi Report'!$A:$A,0),1)),"",INDEX('Yardi Report'!$A:$E,MATCH('Chart of Accounts'!$A108,'Yardi Report'!$A:$A,0),1))</f>
        <v/>
      </c>
      <c r="B102" t="str">
        <f>IF(ISNA(INDEX('Yardi Report'!$A:$E,MATCH('Chart of Accounts'!$A108,'Yardi Report'!$A:$A,0),2)),"",INDEX('Yardi Report'!$A:$E,MATCH('Chart of Accounts'!$A108,'Yardi Report'!$A:$A,0),2))</f>
        <v/>
      </c>
      <c r="C102" t="str">
        <f>IF(A102="","",MAX($C$1:C101)+1)</f>
        <v/>
      </c>
      <c r="E102" t="str">
        <f t="shared" si="3"/>
        <v xml:space="preserve"> </v>
      </c>
      <c r="G102">
        <f t="shared" si="5"/>
        <v>102</v>
      </c>
    </row>
    <row r="103" spans="1:8">
      <c r="A103" t="str">
        <f>IF(ISNA(INDEX('Yardi Report'!$A:$E,MATCH('Chart of Accounts'!$A109,'Yardi Report'!$A:$A,0),1)),"",INDEX('Yardi Report'!$A:$E,MATCH('Chart of Accounts'!$A109,'Yardi Report'!$A:$A,0),1))</f>
        <v/>
      </c>
      <c r="B103" t="str">
        <f>IF(ISNA(INDEX('Yardi Report'!$A:$E,MATCH('Chart of Accounts'!$A109,'Yardi Report'!$A:$A,0),2)),"",INDEX('Yardi Report'!$A:$E,MATCH('Chart of Accounts'!$A109,'Yardi Report'!$A:$A,0),2))</f>
        <v/>
      </c>
      <c r="C103" t="str">
        <f>IF(A103="","",MAX($C$1:C102)+1)</f>
        <v/>
      </c>
      <c r="E103" t="str">
        <f t="shared" si="3"/>
        <v xml:space="preserve"> </v>
      </c>
      <c r="G103">
        <f t="shared" si="5"/>
        <v>103</v>
      </c>
    </row>
    <row r="104" spans="1:8">
      <c r="A104" t="str">
        <f>IF(ISNA(INDEX('Yardi Report'!$A:$E,MATCH('Chart of Accounts'!$A110,'Yardi Report'!$A:$A,0),1)),"",INDEX('Yardi Report'!$A:$E,MATCH('Chart of Accounts'!$A110,'Yardi Report'!$A:$A,0),1))</f>
        <v/>
      </c>
      <c r="B104" t="str">
        <f>IF(ISNA(INDEX('Yardi Report'!$A:$E,MATCH('Chart of Accounts'!$A110,'Yardi Report'!$A:$A,0),2)),"",INDEX('Yardi Report'!$A:$E,MATCH('Chart of Accounts'!$A110,'Yardi Report'!$A:$A,0),2))</f>
        <v/>
      </c>
      <c r="C104" t="str">
        <f>IF(A104="","",MAX($C$1:C103)+1)</f>
        <v/>
      </c>
      <c r="E104" t="str">
        <f t="shared" si="3"/>
        <v xml:space="preserve"> </v>
      </c>
      <c r="G104">
        <f t="shared" si="5"/>
        <v>104</v>
      </c>
    </row>
    <row r="105" spans="1:8">
      <c r="A105" t="str">
        <f>IF(ISNA(INDEX('Yardi Report'!$A:$E,MATCH('Chart of Accounts'!$A111,'Yardi Report'!$A:$A,0),1)),"",INDEX('Yardi Report'!$A:$E,MATCH('Chart of Accounts'!$A111,'Yardi Report'!$A:$A,0),1))</f>
        <v/>
      </c>
      <c r="B105" t="str">
        <f>IF(ISNA(INDEX('Yardi Report'!$A:$E,MATCH('Chart of Accounts'!$A111,'Yardi Report'!$A:$A,0),2)),"",INDEX('Yardi Report'!$A:$E,MATCH('Chart of Accounts'!$A111,'Yardi Report'!$A:$A,0),2))</f>
        <v/>
      </c>
      <c r="C105" t="str">
        <f>IF(A105="","",MAX($C$1:C104)+1)</f>
        <v/>
      </c>
      <c r="E105" t="str">
        <f t="shared" si="3"/>
        <v xml:space="preserve"> </v>
      </c>
      <c r="G105">
        <f t="shared" si="5"/>
        <v>105</v>
      </c>
    </row>
    <row r="106" spans="1:8">
      <c r="A106" t="str">
        <f>IF(ISNA(INDEX('Yardi Report'!$A:$E,MATCH('Chart of Accounts'!$A112,'Yardi Report'!$A:$A,0),1)),"",INDEX('Yardi Report'!$A:$E,MATCH('Chart of Accounts'!$A112,'Yardi Report'!$A:$A,0),1))</f>
        <v/>
      </c>
      <c r="B106" t="str">
        <f>IF(ISNA(INDEX('Yardi Report'!$A:$E,MATCH('Chart of Accounts'!$A112,'Yardi Report'!$A:$A,0),2)),"",INDEX('Yardi Report'!$A:$E,MATCH('Chart of Accounts'!$A112,'Yardi Report'!$A:$A,0),2))</f>
        <v/>
      </c>
      <c r="C106" t="str">
        <f>IF(A106="","",MAX($C$1:C105)+1)</f>
        <v/>
      </c>
      <c r="E106" t="str">
        <f t="shared" si="3"/>
        <v xml:space="preserve"> </v>
      </c>
      <c r="G106">
        <f t="shared" si="5"/>
        <v>106</v>
      </c>
    </row>
    <row r="107" spans="1:8">
      <c r="A107" t="str">
        <f>IF(ISNA(INDEX('Yardi Report'!$A:$E,MATCH('Chart of Accounts'!$A113,'Yardi Report'!$A:$A,0),1)),"",INDEX('Yardi Report'!$A:$E,MATCH('Chart of Accounts'!$A113,'Yardi Report'!$A:$A,0),1))</f>
        <v/>
      </c>
      <c r="B107" t="str">
        <f>IF(ISNA(INDEX('Yardi Report'!$A:$E,MATCH('Chart of Accounts'!$A113,'Yardi Report'!$A:$A,0),2)),"",INDEX('Yardi Report'!$A:$E,MATCH('Chart of Accounts'!$A113,'Yardi Report'!$A:$A,0),2))</f>
        <v/>
      </c>
      <c r="C107" t="str">
        <f>IF(A107="","",MAX($C$1:C106)+1)</f>
        <v/>
      </c>
      <c r="E107" t="str">
        <f t="shared" si="3"/>
        <v xml:space="preserve"> </v>
      </c>
      <c r="G107">
        <f t="shared" si="5"/>
        <v>107</v>
      </c>
    </row>
    <row r="108" spans="1:8">
      <c r="A108" t="str">
        <f>IF(ISNA(INDEX('Yardi Report'!$A:$E,MATCH('Chart of Accounts'!$A114,'Yardi Report'!$A:$A,0),1)),"",INDEX('Yardi Report'!$A:$E,MATCH('Chart of Accounts'!$A114,'Yardi Report'!$A:$A,0),1))</f>
        <v/>
      </c>
      <c r="B108" t="str">
        <f>IF(ISNA(INDEX('Yardi Report'!$A:$E,MATCH('Chart of Accounts'!$A114,'Yardi Report'!$A:$A,0),2)),"",INDEX('Yardi Report'!$A:$E,MATCH('Chart of Accounts'!$A114,'Yardi Report'!$A:$A,0),2))</f>
        <v/>
      </c>
      <c r="C108" t="str">
        <f>IF(A108="","",MAX($C$1:C107)+1)</f>
        <v/>
      </c>
      <c r="E108" t="str">
        <f t="shared" si="3"/>
        <v xml:space="preserve"> </v>
      </c>
      <c r="G108">
        <f t="shared" si="5"/>
        <v>108</v>
      </c>
    </row>
    <row r="109" spans="1:8">
      <c r="A109" t="str">
        <f>IF(ISNA(INDEX('Yardi Report'!$A:$E,MATCH('Chart of Accounts'!$A115,'Yardi Report'!$A:$A,0),1)),"",INDEX('Yardi Report'!$A:$E,MATCH('Chart of Accounts'!$A115,'Yardi Report'!$A:$A,0),1))</f>
        <v/>
      </c>
      <c r="B109" t="str">
        <f>IF(ISNA(INDEX('Yardi Report'!$A:$E,MATCH('Chart of Accounts'!$A115,'Yardi Report'!$A:$A,0),2)),"",INDEX('Yardi Report'!$A:$E,MATCH('Chart of Accounts'!$A115,'Yardi Report'!$A:$A,0),2))</f>
        <v/>
      </c>
      <c r="C109" t="str">
        <f>IF(A109="","",MAX($C$1:C108)+1)</f>
        <v/>
      </c>
      <c r="E109" t="str">
        <f t="shared" si="3"/>
        <v xml:space="preserve"> </v>
      </c>
      <c r="G109">
        <f t="shared" si="5"/>
        <v>109</v>
      </c>
    </row>
    <row r="110" spans="1:8">
      <c r="A110" t="str">
        <f>IF(ISNA(INDEX('Yardi Report'!$A:$E,MATCH('Chart of Accounts'!$A116,'Yardi Report'!$A:$A,0),1)),"",INDEX('Yardi Report'!$A:$E,MATCH('Chart of Accounts'!$A116,'Yardi Report'!$A:$A,0),1))</f>
        <v/>
      </c>
      <c r="B110" t="str">
        <f>IF(ISNA(INDEX('Yardi Report'!$A:$E,MATCH('Chart of Accounts'!$A116,'Yardi Report'!$A:$A,0),2)),"",INDEX('Yardi Report'!$A:$E,MATCH('Chart of Accounts'!$A116,'Yardi Report'!$A:$A,0),2))</f>
        <v/>
      </c>
      <c r="C110" t="str">
        <f>IF(A110="","",MAX($C$1:C109)+1)</f>
        <v/>
      </c>
      <c r="E110" t="str">
        <f t="shared" si="3"/>
        <v xml:space="preserve"> </v>
      </c>
      <c r="G110">
        <f t="shared" si="5"/>
        <v>110</v>
      </c>
    </row>
    <row r="111" spans="1:8">
      <c r="A111" t="str">
        <f>IF(ISNA(INDEX('Yardi Report'!$A:$E,MATCH('Chart of Accounts'!$A117,'Yardi Report'!$A:$A,0),1)),"",INDEX('Yardi Report'!$A:$E,MATCH('Chart of Accounts'!$A117,'Yardi Report'!$A:$A,0),1))</f>
        <v/>
      </c>
      <c r="B111" t="str">
        <f>IF(ISNA(INDEX('Yardi Report'!$A:$E,MATCH('Chart of Accounts'!$A117,'Yardi Report'!$A:$A,0),2)),"",INDEX('Yardi Report'!$A:$E,MATCH('Chart of Accounts'!$A117,'Yardi Report'!$A:$A,0),2))</f>
        <v/>
      </c>
      <c r="C111" t="str">
        <f>IF(A111="","",MAX($C$1:C110)+1)</f>
        <v/>
      </c>
      <c r="E111" t="str">
        <f t="shared" si="3"/>
        <v xml:space="preserve"> </v>
      </c>
      <c r="G111">
        <f t="shared" si="5"/>
        <v>111</v>
      </c>
    </row>
    <row r="112" spans="1:8">
      <c r="A112" t="str">
        <f>IF(ISNA(INDEX('Yardi Report'!$A:$E,MATCH('Chart of Accounts'!$A118,'Yardi Report'!$A:$A,0),1)),"",INDEX('Yardi Report'!$A:$E,MATCH('Chart of Accounts'!$A118,'Yardi Report'!$A:$A,0),1))</f>
        <v/>
      </c>
      <c r="B112" t="str">
        <f>IF(ISNA(INDEX('Yardi Report'!$A:$E,MATCH('Chart of Accounts'!$A118,'Yardi Report'!$A:$A,0),2)),"",INDEX('Yardi Report'!$A:$E,MATCH('Chart of Accounts'!$A118,'Yardi Report'!$A:$A,0),2))</f>
        <v/>
      </c>
      <c r="C112" t="str">
        <f>IF(A112="","",MAX($C$1:C111)+1)</f>
        <v/>
      </c>
      <c r="E112" t="str">
        <f t="shared" si="3"/>
        <v xml:space="preserve"> </v>
      </c>
      <c r="G112">
        <f t="shared" si="5"/>
        <v>112</v>
      </c>
    </row>
    <row r="113" spans="1:7">
      <c r="A113" t="str">
        <f>IF(ISNA(INDEX('Yardi Report'!$A:$E,MATCH('Chart of Accounts'!$A119,'Yardi Report'!$A:$A,0),1)),"",INDEX('Yardi Report'!$A:$E,MATCH('Chart of Accounts'!$A119,'Yardi Report'!$A:$A,0),1))</f>
        <v/>
      </c>
      <c r="B113" t="str">
        <f>IF(ISNA(INDEX('Yardi Report'!$A:$E,MATCH('Chart of Accounts'!$A119,'Yardi Report'!$A:$A,0),2)),"",INDEX('Yardi Report'!$A:$E,MATCH('Chart of Accounts'!$A119,'Yardi Report'!$A:$A,0),2))</f>
        <v/>
      </c>
      <c r="C113" t="str">
        <f>IF(A113="","",MAX($C$1:C112)+1)</f>
        <v/>
      </c>
      <c r="E113" t="str">
        <f t="shared" si="3"/>
        <v xml:space="preserve"> </v>
      </c>
      <c r="G113">
        <f t="shared" si="5"/>
        <v>113</v>
      </c>
    </row>
    <row r="114" spans="1:7">
      <c r="A114" t="str">
        <f>IF(ISNA(INDEX('Yardi Report'!$A:$E,MATCH('Chart of Accounts'!$A120,'Yardi Report'!$A:$A,0),1)),"",INDEX('Yardi Report'!$A:$E,MATCH('Chart of Accounts'!$A120,'Yardi Report'!$A:$A,0),1))</f>
        <v/>
      </c>
      <c r="B114" t="str">
        <f>IF(ISNA(INDEX('Yardi Report'!$A:$E,MATCH('Chart of Accounts'!$A120,'Yardi Report'!$A:$A,0),2)),"",INDEX('Yardi Report'!$A:$E,MATCH('Chart of Accounts'!$A120,'Yardi Report'!$A:$A,0),2))</f>
        <v/>
      </c>
      <c r="C114" t="str">
        <f>IF(A114="","",MAX($C$1:C113)+1)</f>
        <v/>
      </c>
      <c r="E114" t="str">
        <f t="shared" si="3"/>
        <v xml:space="preserve"> </v>
      </c>
      <c r="G114">
        <f t="shared" si="5"/>
        <v>114</v>
      </c>
    </row>
    <row r="115" spans="1:7">
      <c r="A115" t="str">
        <f>IF(ISNA(INDEX('Yardi Report'!$A:$E,MATCH('Chart of Accounts'!$A121,'Yardi Report'!$A:$A,0),1)),"",INDEX('Yardi Report'!$A:$E,MATCH('Chart of Accounts'!$A121,'Yardi Report'!$A:$A,0),1))</f>
        <v/>
      </c>
      <c r="B115" t="str">
        <f>IF(ISNA(INDEX('Yardi Report'!$A:$E,MATCH('Chart of Accounts'!$A121,'Yardi Report'!$A:$A,0),2)),"",INDEX('Yardi Report'!$A:$E,MATCH('Chart of Accounts'!$A121,'Yardi Report'!$A:$A,0),2))</f>
        <v/>
      </c>
      <c r="C115" t="str">
        <f>IF(A115="","",MAX($C$1:C114)+1)</f>
        <v/>
      </c>
      <c r="E115" t="str">
        <f t="shared" si="3"/>
        <v xml:space="preserve"> </v>
      </c>
      <c r="G115">
        <f t="shared" si="5"/>
        <v>115</v>
      </c>
    </row>
    <row r="116" spans="1:7">
      <c r="A116" t="str">
        <f>IF(ISNA(INDEX('Yardi Report'!$A:$E,MATCH('Chart of Accounts'!$A122,'Yardi Report'!$A:$A,0),1)),"",INDEX('Yardi Report'!$A:$E,MATCH('Chart of Accounts'!$A122,'Yardi Report'!$A:$A,0),1))</f>
        <v/>
      </c>
      <c r="B116" t="str">
        <f>IF(ISNA(INDEX('Yardi Report'!$A:$E,MATCH('Chart of Accounts'!$A122,'Yardi Report'!$A:$A,0),2)),"",INDEX('Yardi Report'!$A:$E,MATCH('Chart of Accounts'!$A122,'Yardi Report'!$A:$A,0),2))</f>
        <v/>
      </c>
      <c r="C116" t="str">
        <f>IF(A116="","",MAX($C$1:C115)+1)</f>
        <v/>
      </c>
      <c r="E116" t="str">
        <f t="shared" si="3"/>
        <v xml:space="preserve"> </v>
      </c>
      <c r="G116">
        <f t="shared" si="5"/>
        <v>116</v>
      </c>
    </row>
    <row r="117" spans="1:7">
      <c r="A117" t="str">
        <f>IF(ISNA(INDEX('Yardi Report'!$A:$E,MATCH('Chart of Accounts'!$A123,'Yardi Report'!$A:$A,0),1)),"",INDEX('Yardi Report'!$A:$E,MATCH('Chart of Accounts'!$A123,'Yardi Report'!$A:$A,0),1))</f>
        <v/>
      </c>
      <c r="B117" t="str">
        <f>IF(ISNA(INDEX('Yardi Report'!$A:$E,MATCH('Chart of Accounts'!$A123,'Yardi Report'!$A:$A,0),2)),"",INDEX('Yardi Report'!$A:$E,MATCH('Chart of Accounts'!$A123,'Yardi Report'!$A:$A,0),2))</f>
        <v/>
      </c>
      <c r="C117" t="str">
        <f>IF(A117="","",MAX($C$1:C116)+1)</f>
        <v/>
      </c>
      <c r="E117" t="str">
        <f t="shared" si="3"/>
        <v xml:space="preserve"> </v>
      </c>
      <c r="G117">
        <f t="shared" si="5"/>
        <v>117</v>
      </c>
    </row>
    <row r="118" spans="1:7">
      <c r="A118" t="str">
        <f>IF(ISNA(INDEX('Yardi Report'!$A:$E,MATCH('Chart of Accounts'!$A124,'Yardi Report'!$A:$A,0),1)),"",INDEX('Yardi Report'!$A:$E,MATCH('Chart of Accounts'!$A124,'Yardi Report'!$A:$A,0),1))</f>
        <v/>
      </c>
      <c r="B118" t="str">
        <f>IF(ISNA(INDEX('Yardi Report'!$A:$E,MATCH('Chart of Accounts'!$A124,'Yardi Report'!$A:$A,0),2)),"",INDEX('Yardi Report'!$A:$E,MATCH('Chart of Accounts'!$A124,'Yardi Report'!$A:$A,0),2))</f>
        <v/>
      </c>
      <c r="C118" t="str">
        <f>IF(A118="","",MAX($C$1:C117)+1)</f>
        <v/>
      </c>
      <c r="E118" t="str">
        <f t="shared" si="3"/>
        <v xml:space="preserve"> </v>
      </c>
      <c r="G118">
        <f t="shared" si="5"/>
        <v>118</v>
      </c>
    </row>
    <row r="119" spans="1:7">
      <c r="A119" t="str">
        <f>IF(ISNA(INDEX('Yardi Report'!$A:$E,MATCH('Chart of Accounts'!$A125,'Yardi Report'!$A:$A,0),1)),"",INDEX('Yardi Report'!$A:$E,MATCH('Chart of Accounts'!$A125,'Yardi Report'!$A:$A,0),1))</f>
        <v/>
      </c>
      <c r="B119" t="str">
        <f>IF(ISNA(INDEX('Yardi Report'!$A:$E,MATCH('Chart of Accounts'!$A125,'Yardi Report'!$A:$A,0),2)),"",INDEX('Yardi Report'!$A:$E,MATCH('Chart of Accounts'!$A125,'Yardi Report'!$A:$A,0),2))</f>
        <v/>
      </c>
      <c r="C119" t="str">
        <f>IF(A119="","",MAX($C$1:C118)+1)</f>
        <v/>
      </c>
      <c r="E119" t="str">
        <f t="shared" si="3"/>
        <v xml:space="preserve"> </v>
      </c>
      <c r="G119">
        <f t="shared" si="5"/>
        <v>119</v>
      </c>
    </row>
    <row r="120" spans="1:7">
      <c r="A120" t="str">
        <f>IF(ISNA(INDEX('Yardi Report'!$A:$E,MATCH('Chart of Accounts'!$A126,'Yardi Report'!$A:$A,0),1)),"",INDEX('Yardi Report'!$A:$E,MATCH('Chart of Accounts'!$A126,'Yardi Report'!$A:$A,0),1))</f>
        <v/>
      </c>
      <c r="B120" t="str">
        <f>IF(ISNA(INDEX('Yardi Report'!$A:$E,MATCH('Chart of Accounts'!$A126,'Yardi Report'!$A:$A,0),2)),"",INDEX('Yardi Report'!$A:$E,MATCH('Chart of Accounts'!$A126,'Yardi Report'!$A:$A,0),2))</f>
        <v/>
      </c>
      <c r="C120" t="str">
        <f>IF(A120="","",MAX($C$1:C119)+1)</f>
        <v/>
      </c>
      <c r="E120" t="str">
        <f t="shared" si="3"/>
        <v xml:space="preserve"> </v>
      </c>
      <c r="G120">
        <f t="shared" si="5"/>
        <v>120</v>
      </c>
    </row>
    <row r="121" spans="1:7">
      <c r="A121" t="str">
        <f>IF(ISNA(INDEX('Yardi Report'!$A:$E,MATCH('Chart of Accounts'!$A127,'Yardi Report'!$A:$A,0),1)),"",INDEX('Yardi Report'!$A:$E,MATCH('Chart of Accounts'!$A127,'Yardi Report'!$A:$A,0),1))</f>
        <v/>
      </c>
      <c r="B121" t="str">
        <f>IF(ISNA(INDEX('Yardi Report'!$A:$E,MATCH('Chart of Accounts'!$A127,'Yardi Report'!$A:$A,0),2)),"",INDEX('Yardi Report'!$A:$E,MATCH('Chart of Accounts'!$A127,'Yardi Report'!$A:$A,0),2))</f>
        <v/>
      </c>
      <c r="C121" t="str">
        <f>IF(A121="","",MAX($C$1:C120)+1)</f>
        <v/>
      </c>
      <c r="E121" t="str">
        <f t="shared" si="3"/>
        <v xml:space="preserve"> </v>
      </c>
      <c r="G121">
        <f t="shared" si="5"/>
        <v>121</v>
      </c>
    </row>
    <row r="122" spans="1:7">
      <c r="A122" t="str">
        <f>IF(ISNA(INDEX('Yardi Report'!$A:$E,MATCH('Chart of Accounts'!$A128,'Yardi Report'!$A:$A,0),1)),"",INDEX('Yardi Report'!$A:$E,MATCH('Chart of Accounts'!$A128,'Yardi Report'!$A:$A,0),1))</f>
        <v/>
      </c>
      <c r="B122" t="str">
        <f>IF(ISNA(INDEX('Yardi Report'!$A:$E,MATCH('Chart of Accounts'!$A128,'Yardi Report'!$A:$A,0),2)),"",INDEX('Yardi Report'!$A:$E,MATCH('Chart of Accounts'!$A128,'Yardi Report'!$A:$A,0),2))</f>
        <v/>
      </c>
      <c r="C122" t="str">
        <f>IF(A122="","",MAX($C$1:C121)+1)</f>
        <v/>
      </c>
      <c r="E122" t="str">
        <f t="shared" si="3"/>
        <v xml:space="preserve"> </v>
      </c>
      <c r="G122">
        <f t="shared" si="5"/>
        <v>122</v>
      </c>
    </row>
    <row r="123" spans="1:7">
      <c r="A123" t="str">
        <f>IF(ISNA(INDEX('Yardi Report'!$A:$E,MATCH('Chart of Accounts'!$A129,'Yardi Report'!$A:$A,0),1)),"",INDEX('Yardi Report'!$A:$E,MATCH('Chart of Accounts'!$A129,'Yardi Report'!$A:$A,0),1))</f>
        <v/>
      </c>
      <c r="B123" t="str">
        <f>IF(ISNA(INDEX('Yardi Report'!$A:$E,MATCH('Chart of Accounts'!$A129,'Yardi Report'!$A:$A,0),2)),"",INDEX('Yardi Report'!$A:$E,MATCH('Chart of Accounts'!$A129,'Yardi Report'!$A:$A,0),2))</f>
        <v/>
      </c>
      <c r="C123" t="str">
        <f>IF(A123="","",MAX($C$1:C122)+1)</f>
        <v/>
      </c>
      <c r="E123" t="str">
        <f t="shared" si="3"/>
        <v xml:space="preserve"> </v>
      </c>
      <c r="G123">
        <f t="shared" si="5"/>
        <v>123</v>
      </c>
    </row>
    <row r="124" spans="1:7">
      <c r="A124" t="str">
        <f>IF(ISNA(INDEX('Yardi Report'!$A:$E,MATCH('Chart of Accounts'!$A130,'Yardi Report'!$A:$A,0),1)),"",INDEX('Yardi Report'!$A:$E,MATCH('Chart of Accounts'!$A130,'Yardi Report'!$A:$A,0),1))</f>
        <v/>
      </c>
      <c r="B124" t="str">
        <f>IF(ISNA(INDEX('Yardi Report'!$A:$E,MATCH('Chart of Accounts'!$A130,'Yardi Report'!$A:$A,0),2)),"",INDEX('Yardi Report'!$A:$E,MATCH('Chart of Accounts'!$A130,'Yardi Report'!$A:$A,0),2))</f>
        <v/>
      </c>
      <c r="C124" t="str">
        <f>IF(A124="","",MAX($C$1:C123)+1)</f>
        <v/>
      </c>
      <c r="E124" t="str">
        <f t="shared" si="3"/>
        <v xml:space="preserve"> </v>
      </c>
      <c r="G124">
        <f t="shared" si="5"/>
        <v>124</v>
      </c>
    </row>
    <row r="125" spans="1:7">
      <c r="A125" t="str">
        <f>IF(ISNA(INDEX('Yardi Report'!$A:$E,MATCH('Chart of Accounts'!$A131,'Yardi Report'!$A:$A,0),1)),"",INDEX('Yardi Report'!$A:$E,MATCH('Chart of Accounts'!$A131,'Yardi Report'!$A:$A,0),1))</f>
        <v/>
      </c>
      <c r="B125" t="str">
        <f>IF(ISNA(INDEX('Yardi Report'!$A:$E,MATCH('Chart of Accounts'!$A131,'Yardi Report'!$A:$A,0),2)),"",INDEX('Yardi Report'!$A:$E,MATCH('Chart of Accounts'!$A131,'Yardi Report'!$A:$A,0),2))</f>
        <v/>
      </c>
      <c r="C125" t="str">
        <f>IF(A125="","",MAX($C$1:C124)+1)</f>
        <v/>
      </c>
      <c r="E125" t="str">
        <f t="shared" si="3"/>
        <v xml:space="preserve"> </v>
      </c>
      <c r="G125">
        <f t="shared" si="5"/>
        <v>125</v>
      </c>
    </row>
    <row r="126" spans="1:7">
      <c r="A126" t="str">
        <f>IF(ISNA(INDEX('Yardi Report'!$A:$E,MATCH('Chart of Accounts'!$A132,'Yardi Report'!$A:$A,0),1)),"",INDEX('Yardi Report'!$A:$E,MATCH('Chart of Accounts'!$A132,'Yardi Report'!$A:$A,0),1))</f>
        <v/>
      </c>
      <c r="B126" t="str">
        <f>IF(ISNA(INDEX('Yardi Report'!$A:$E,MATCH('Chart of Accounts'!$A132,'Yardi Report'!$A:$A,0),2)),"",INDEX('Yardi Report'!$A:$E,MATCH('Chart of Accounts'!$A132,'Yardi Report'!$A:$A,0),2))</f>
        <v/>
      </c>
      <c r="C126" t="str">
        <f>IF(A126="","",MAX($C$1:C125)+1)</f>
        <v/>
      </c>
      <c r="E126" t="str">
        <f t="shared" si="3"/>
        <v xml:space="preserve"> </v>
      </c>
      <c r="G126">
        <f t="shared" si="5"/>
        <v>126</v>
      </c>
    </row>
    <row r="127" spans="1:7">
      <c r="A127" t="str">
        <f>IF(ISNA(INDEX('Yardi Report'!$A:$E,MATCH('Chart of Accounts'!$A133,'Yardi Report'!$A:$A,0),1)),"",INDEX('Yardi Report'!$A:$E,MATCH('Chart of Accounts'!$A133,'Yardi Report'!$A:$A,0),1))</f>
        <v/>
      </c>
      <c r="B127" t="str">
        <f>IF(ISNA(INDEX('Yardi Report'!$A:$E,MATCH('Chart of Accounts'!$A133,'Yardi Report'!$A:$A,0),2)),"",INDEX('Yardi Report'!$A:$E,MATCH('Chart of Accounts'!$A133,'Yardi Report'!$A:$A,0),2))</f>
        <v/>
      </c>
      <c r="C127" t="str">
        <f>IF(A127="","",MAX($C$1:C126)+1)</f>
        <v/>
      </c>
      <c r="E127" t="str">
        <f t="shared" si="3"/>
        <v xml:space="preserve"> </v>
      </c>
      <c r="G127">
        <f t="shared" si="5"/>
        <v>127</v>
      </c>
    </row>
    <row r="128" spans="1:7">
      <c r="A128" t="str">
        <f>IF(ISNA(INDEX('Yardi Report'!$A:$E,MATCH('Chart of Accounts'!$A134,'Yardi Report'!$A:$A,0),1)),"",INDEX('Yardi Report'!$A:$E,MATCH('Chart of Accounts'!$A134,'Yardi Report'!$A:$A,0),1))</f>
        <v/>
      </c>
      <c r="B128" t="str">
        <f>IF(ISNA(INDEX('Yardi Report'!$A:$E,MATCH('Chart of Accounts'!$A134,'Yardi Report'!$A:$A,0),2)),"",INDEX('Yardi Report'!$A:$E,MATCH('Chart of Accounts'!$A134,'Yardi Report'!$A:$A,0),2))</f>
        <v/>
      </c>
      <c r="C128" t="str">
        <f>IF(A128="","",MAX($C$1:C127)+1)</f>
        <v/>
      </c>
      <c r="E128" t="str">
        <f t="shared" si="3"/>
        <v xml:space="preserve"> </v>
      </c>
      <c r="G128">
        <f t="shared" si="5"/>
        <v>128</v>
      </c>
    </row>
    <row r="129" spans="1:7">
      <c r="A129" t="str">
        <f>IF(ISNA(INDEX('Yardi Report'!$A:$E,MATCH('Chart of Accounts'!$A135,'Yardi Report'!$A:$A,0),1)),"",INDEX('Yardi Report'!$A:$E,MATCH('Chart of Accounts'!$A135,'Yardi Report'!$A:$A,0),1))</f>
        <v/>
      </c>
      <c r="B129" t="str">
        <f>IF(ISNA(INDEX('Yardi Report'!$A:$E,MATCH('Chart of Accounts'!$A135,'Yardi Report'!$A:$A,0),2)),"",INDEX('Yardi Report'!$A:$E,MATCH('Chart of Accounts'!$A135,'Yardi Report'!$A:$A,0),2))</f>
        <v/>
      </c>
      <c r="C129" t="str">
        <f>IF(A129="","",MAX($C$1:C128)+1)</f>
        <v/>
      </c>
      <c r="E129" t="str">
        <f t="shared" si="3"/>
        <v xml:space="preserve"> </v>
      </c>
      <c r="G129">
        <f t="shared" si="5"/>
        <v>129</v>
      </c>
    </row>
    <row r="130" spans="1:7">
      <c r="A130" t="str">
        <f>IF(ISNA(INDEX('Yardi Report'!$A:$E,MATCH('Chart of Accounts'!$A136,'Yardi Report'!$A:$A,0),1)),"",INDEX('Yardi Report'!$A:$E,MATCH('Chart of Accounts'!$A136,'Yardi Report'!$A:$A,0),1))</f>
        <v/>
      </c>
      <c r="B130" t="str">
        <f>IF(ISNA(INDEX('Yardi Report'!$A:$E,MATCH('Chart of Accounts'!$A136,'Yardi Report'!$A:$A,0),2)),"",INDEX('Yardi Report'!$A:$E,MATCH('Chart of Accounts'!$A136,'Yardi Report'!$A:$A,0),2))</f>
        <v/>
      </c>
      <c r="C130" t="str">
        <f>IF(A130="","",MAX($C$1:C129)+1)</f>
        <v/>
      </c>
      <c r="E130" t="str">
        <f t="shared" ref="E130:E193" si="6">A130&amp;" "&amp;B130</f>
        <v xml:space="preserve"> </v>
      </c>
      <c r="G130">
        <f t="shared" si="5"/>
        <v>130</v>
      </c>
    </row>
    <row r="131" spans="1:7">
      <c r="A131" t="str">
        <f>IF(ISNA(INDEX('Yardi Report'!$A:$E,MATCH('Chart of Accounts'!$A137,'Yardi Report'!$A:$A,0),1)),"",INDEX('Yardi Report'!$A:$E,MATCH('Chart of Accounts'!$A137,'Yardi Report'!$A:$A,0),1))</f>
        <v/>
      </c>
      <c r="B131" t="str">
        <f>IF(ISNA(INDEX('Yardi Report'!$A:$E,MATCH('Chart of Accounts'!$A137,'Yardi Report'!$A:$A,0),2)),"",INDEX('Yardi Report'!$A:$E,MATCH('Chart of Accounts'!$A137,'Yardi Report'!$A:$A,0),2))</f>
        <v/>
      </c>
      <c r="C131" t="str">
        <f>IF(A131="","",MAX($C$1:C130)+1)</f>
        <v/>
      </c>
      <c r="E131" t="str">
        <f t="shared" si="6"/>
        <v xml:space="preserve"> </v>
      </c>
      <c r="G131">
        <f t="shared" ref="G131:G194" si="7">+G130+1</f>
        <v>131</v>
      </c>
    </row>
    <row r="132" spans="1:7">
      <c r="A132" t="str">
        <f>IF(ISNA(INDEX('Yardi Report'!$A:$E,MATCH('Chart of Accounts'!$A138,'Yardi Report'!$A:$A,0),1)),"",INDEX('Yardi Report'!$A:$E,MATCH('Chart of Accounts'!$A138,'Yardi Report'!$A:$A,0),1))</f>
        <v>1110-4947</v>
      </c>
      <c r="B132" t="str">
        <f>IF(ISNA(INDEX('Yardi Report'!$A:$E,MATCH('Chart of Accounts'!$A138,'Yardi Report'!$A:$A,0),2)),"",INDEX('Yardi Report'!$A:$E,MATCH('Chart of Accounts'!$A138,'Yardi Report'!$A:$A,0),2))</f>
        <v xml:space="preserve"> Crown Point West Chase</v>
      </c>
      <c r="C132">
        <f>IF(A132="","",MAX($C$1:C131)+1)</f>
        <v>3</v>
      </c>
      <c r="E132" t="str">
        <f t="shared" si="6"/>
        <v>1110-4947  Crown Point West Chase</v>
      </c>
      <c r="G132">
        <f t="shared" si="7"/>
        <v>132</v>
      </c>
    </row>
    <row r="133" spans="1:7">
      <c r="A133" t="str">
        <f>IF(ISNA(INDEX('Yardi Report'!$A:$E,MATCH('Chart of Accounts'!$A139,'Yardi Report'!$A:$A,0),1)),"",INDEX('Yardi Report'!$A:$E,MATCH('Chart of Accounts'!$A139,'Yardi Report'!$A:$A,0),1))</f>
        <v/>
      </c>
      <c r="B133" t="str">
        <f>IF(ISNA(INDEX('Yardi Report'!$A:$E,MATCH('Chart of Accounts'!$A139,'Yardi Report'!$A:$A,0),2)),"",INDEX('Yardi Report'!$A:$E,MATCH('Chart of Accounts'!$A139,'Yardi Report'!$A:$A,0),2))</f>
        <v/>
      </c>
      <c r="C133" t="str">
        <f>IF(A133="","",MAX($C$1:C132)+1)</f>
        <v/>
      </c>
      <c r="E133" t="str">
        <f t="shared" si="6"/>
        <v xml:space="preserve"> </v>
      </c>
      <c r="G133">
        <f t="shared" si="7"/>
        <v>133</v>
      </c>
    </row>
    <row r="134" spans="1:7">
      <c r="A134" t="str">
        <f>IF(ISNA(INDEX('Yardi Report'!$A:$E,MATCH('Chart of Accounts'!$A140,'Yardi Report'!$A:$A,0),1)),"",INDEX('Yardi Report'!$A:$E,MATCH('Chart of Accounts'!$A140,'Yardi Report'!$A:$A,0),1))</f>
        <v/>
      </c>
      <c r="B134" t="str">
        <f>IF(ISNA(INDEX('Yardi Report'!$A:$E,MATCH('Chart of Accounts'!$A140,'Yardi Report'!$A:$A,0),2)),"",INDEX('Yardi Report'!$A:$E,MATCH('Chart of Accounts'!$A140,'Yardi Report'!$A:$A,0),2))</f>
        <v/>
      </c>
      <c r="C134" t="str">
        <f>IF(A134="","",MAX($C$1:C133)+1)</f>
        <v/>
      </c>
      <c r="E134" t="str">
        <f t="shared" si="6"/>
        <v xml:space="preserve"> </v>
      </c>
      <c r="G134">
        <f t="shared" si="7"/>
        <v>134</v>
      </c>
    </row>
    <row r="135" spans="1:7">
      <c r="A135" t="str">
        <f>IF(ISNA(INDEX('Yardi Report'!$A:$E,MATCH('Chart of Accounts'!$A141,'Yardi Report'!$A:$A,0),1)),"",INDEX('Yardi Report'!$A:$E,MATCH('Chart of Accounts'!$A141,'Yardi Report'!$A:$A,0),1))</f>
        <v/>
      </c>
      <c r="B135" t="str">
        <f>IF(ISNA(INDEX('Yardi Report'!$A:$E,MATCH('Chart of Accounts'!$A141,'Yardi Report'!$A:$A,0),2)),"",INDEX('Yardi Report'!$A:$E,MATCH('Chart of Accounts'!$A141,'Yardi Report'!$A:$A,0),2))</f>
        <v/>
      </c>
      <c r="C135" t="str">
        <f>IF(A135="","",MAX($C$1:C134)+1)</f>
        <v/>
      </c>
      <c r="E135" t="str">
        <f t="shared" si="6"/>
        <v xml:space="preserve"> </v>
      </c>
      <c r="G135">
        <f t="shared" si="7"/>
        <v>135</v>
      </c>
    </row>
    <row r="136" spans="1:7">
      <c r="A136" t="str">
        <f>IF(ISNA(INDEX('Yardi Report'!$A:$E,MATCH('Chart of Accounts'!$A142,'Yardi Report'!$A:$A,0),1)),"",INDEX('Yardi Report'!$A:$E,MATCH('Chart of Accounts'!$A142,'Yardi Report'!$A:$A,0),1))</f>
        <v/>
      </c>
      <c r="B136" t="str">
        <f>IF(ISNA(INDEX('Yardi Report'!$A:$E,MATCH('Chart of Accounts'!$A142,'Yardi Report'!$A:$A,0),2)),"",INDEX('Yardi Report'!$A:$E,MATCH('Chart of Accounts'!$A142,'Yardi Report'!$A:$A,0),2))</f>
        <v/>
      </c>
      <c r="C136" t="str">
        <f>IF(A136="","",MAX($C$1:C135)+1)</f>
        <v/>
      </c>
      <c r="E136" t="str">
        <f t="shared" si="6"/>
        <v xml:space="preserve"> </v>
      </c>
      <c r="G136">
        <f t="shared" si="7"/>
        <v>136</v>
      </c>
    </row>
    <row r="137" spans="1:7">
      <c r="A137" t="str">
        <f>IF(ISNA(INDEX('Yardi Report'!$A:$E,MATCH('Chart of Accounts'!$A143,'Yardi Report'!$A:$A,0),1)),"",INDEX('Yardi Report'!$A:$E,MATCH('Chart of Accounts'!$A143,'Yardi Report'!$A:$A,0),1))</f>
        <v/>
      </c>
      <c r="B137" t="str">
        <f>IF(ISNA(INDEX('Yardi Report'!$A:$E,MATCH('Chart of Accounts'!$A143,'Yardi Report'!$A:$A,0),2)),"",INDEX('Yardi Report'!$A:$E,MATCH('Chart of Accounts'!$A143,'Yardi Report'!$A:$A,0),2))</f>
        <v/>
      </c>
      <c r="C137" t="str">
        <f>IF(A137="","",MAX($C$1:C136)+1)</f>
        <v/>
      </c>
      <c r="E137" t="str">
        <f t="shared" si="6"/>
        <v xml:space="preserve"> </v>
      </c>
      <c r="G137">
        <f t="shared" si="7"/>
        <v>137</v>
      </c>
    </row>
    <row r="138" spans="1:7">
      <c r="A138" t="str">
        <f>IF(ISNA(INDEX('Yardi Report'!$A:$E,MATCH('Chart of Accounts'!$A144,'Yardi Report'!$A:$A,0),1)),"",INDEX('Yardi Report'!$A:$E,MATCH('Chart of Accounts'!$A144,'Yardi Report'!$A:$A,0),1))</f>
        <v/>
      </c>
      <c r="B138" t="str">
        <f>IF(ISNA(INDEX('Yardi Report'!$A:$E,MATCH('Chart of Accounts'!$A144,'Yardi Report'!$A:$A,0),2)),"",INDEX('Yardi Report'!$A:$E,MATCH('Chart of Accounts'!$A144,'Yardi Report'!$A:$A,0),2))</f>
        <v/>
      </c>
      <c r="C138" t="str">
        <f>IF(A138="","",MAX($C$1:C137)+1)</f>
        <v/>
      </c>
      <c r="E138" t="str">
        <f t="shared" si="6"/>
        <v xml:space="preserve"> </v>
      </c>
      <c r="G138">
        <f t="shared" si="7"/>
        <v>138</v>
      </c>
    </row>
    <row r="139" spans="1:7">
      <c r="A139" t="str">
        <f>IF(ISNA(INDEX('Yardi Report'!$A:$E,MATCH('Chart of Accounts'!$A145,'Yardi Report'!$A:$A,0),1)),"",INDEX('Yardi Report'!$A:$E,MATCH('Chart of Accounts'!$A145,'Yardi Report'!$A:$A,0),1))</f>
        <v/>
      </c>
      <c r="B139" t="str">
        <f>IF(ISNA(INDEX('Yardi Report'!$A:$E,MATCH('Chart of Accounts'!$A145,'Yardi Report'!$A:$A,0),2)),"",INDEX('Yardi Report'!$A:$E,MATCH('Chart of Accounts'!$A145,'Yardi Report'!$A:$A,0),2))</f>
        <v/>
      </c>
      <c r="C139" t="str">
        <f>IF(A139="","",MAX($C$1:C138)+1)</f>
        <v/>
      </c>
      <c r="E139" t="str">
        <f t="shared" si="6"/>
        <v xml:space="preserve"> </v>
      </c>
      <c r="G139">
        <f t="shared" si="7"/>
        <v>139</v>
      </c>
    </row>
    <row r="140" spans="1:7">
      <c r="A140" t="str">
        <f>IF(ISNA(INDEX('Yardi Report'!$A:$E,MATCH('Chart of Accounts'!$A146,'Yardi Report'!$A:$A,0),1)),"",INDEX('Yardi Report'!$A:$E,MATCH('Chart of Accounts'!$A146,'Yardi Report'!$A:$A,0),1))</f>
        <v/>
      </c>
      <c r="B140" t="str">
        <f>IF(ISNA(INDEX('Yardi Report'!$A:$E,MATCH('Chart of Accounts'!$A146,'Yardi Report'!$A:$A,0),2)),"",INDEX('Yardi Report'!$A:$E,MATCH('Chart of Accounts'!$A146,'Yardi Report'!$A:$A,0),2))</f>
        <v/>
      </c>
      <c r="C140" t="str">
        <f>IF(A140="","",MAX($C$1:C139)+1)</f>
        <v/>
      </c>
      <c r="E140" t="str">
        <f t="shared" si="6"/>
        <v xml:space="preserve"> </v>
      </c>
      <c r="G140">
        <f t="shared" si="7"/>
        <v>140</v>
      </c>
    </row>
    <row r="141" spans="1:7">
      <c r="A141" t="str">
        <f>IF(ISNA(INDEX('Yardi Report'!$A:$E,MATCH('Chart of Accounts'!$A147,'Yardi Report'!$A:$A,0),1)),"",INDEX('Yardi Report'!$A:$E,MATCH('Chart of Accounts'!$A147,'Yardi Report'!$A:$A,0),1))</f>
        <v>1110-4957</v>
      </c>
      <c r="B141" t="str">
        <f>IF(ISNA(INDEX('Yardi Report'!$A:$E,MATCH('Chart of Accounts'!$A147,'Yardi Report'!$A:$A,0),2)),"",INDEX('Yardi Report'!$A:$E,MATCH('Chart of Accounts'!$A147,'Yardi Report'!$A:$A,0),2))</f>
        <v xml:space="preserve"> Crown Point West Centier Operating</v>
      </c>
      <c r="C141">
        <f>IF(A141="","",MAX($C$1:C140)+1)</f>
        <v>4</v>
      </c>
      <c r="E141" t="str">
        <f t="shared" si="6"/>
        <v>1110-4957  Crown Point West Centier Operating</v>
      </c>
      <c r="G141">
        <f t="shared" si="7"/>
        <v>141</v>
      </c>
    </row>
    <row r="142" spans="1:7">
      <c r="A142" t="str">
        <f>IF(ISNA(INDEX('Yardi Report'!$A:$E,MATCH('Chart of Accounts'!$A148,'Yardi Report'!$A:$A,0),1)),"",INDEX('Yardi Report'!$A:$E,MATCH('Chart of Accounts'!$A148,'Yardi Report'!$A:$A,0),1))</f>
        <v/>
      </c>
      <c r="B142" t="str">
        <f>IF(ISNA(INDEX('Yardi Report'!$A:$E,MATCH('Chart of Accounts'!$A148,'Yardi Report'!$A:$A,0),2)),"",INDEX('Yardi Report'!$A:$E,MATCH('Chart of Accounts'!$A148,'Yardi Report'!$A:$A,0),2))</f>
        <v/>
      </c>
      <c r="C142" t="str">
        <f>IF(A142="","",MAX($C$1:C141)+1)</f>
        <v/>
      </c>
      <c r="E142" t="str">
        <f t="shared" si="6"/>
        <v xml:space="preserve"> </v>
      </c>
      <c r="G142">
        <f t="shared" si="7"/>
        <v>142</v>
      </c>
    </row>
    <row r="143" spans="1:7">
      <c r="A143" t="str">
        <f>IF(ISNA(INDEX('Yardi Report'!$A:$E,MATCH('Chart of Accounts'!$A149,'Yardi Report'!$A:$A,0),1)),"",INDEX('Yardi Report'!$A:$E,MATCH('Chart of Accounts'!$A149,'Yardi Report'!$A:$A,0),1))</f>
        <v/>
      </c>
      <c r="B143" t="str">
        <f>IF(ISNA(INDEX('Yardi Report'!$A:$E,MATCH('Chart of Accounts'!$A149,'Yardi Report'!$A:$A,0),2)),"",INDEX('Yardi Report'!$A:$E,MATCH('Chart of Accounts'!$A149,'Yardi Report'!$A:$A,0),2))</f>
        <v/>
      </c>
      <c r="C143" t="str">
        <f>IF(A143="","",MAX($C$1:C142)+1)</f>
        <v/>
      </c>
      <c r="E143" t="str">
        <f t="shared" si="6"/>
        <v xml:space="preserve"> </v>
      </c>
      <c r="G143">
        <f t="shared" si="7"/>
        <v>143</v>
      </c>
    </row>
    <row r="144" spans="1:7">
      <c r="A144" t="str">
        <f>IF(ISNA(INDEX('Yardi Report'!$A:$E,MATCH('Chart of Accounts'!$A150,'Yardi Report'!$A:$A,0),1)),"",INDEX('Yardi Report'!$A:$E,MATCH('Chart of Accounts'!$A150,'Yardi Report'!$A:$A,0),1))</f>
        <v/>
      </c>
      <c r="B144" t="str">
        <f>IF(ISNA(INDEX('Yardi Report'!$A:$E,MATCH('Chart of Accounts'!$A150,'Yardi Report'!$A:$A,0),2)),"",INDEX('Yardi Report'!$A:$E,MATCH('Chart of Accounts'!$A150,'Yardi Report'!$A:$A,0),2))</f>
        <v/>
      </c>
      <c r="C144" t="str">
        <f>IF(A144="","",MAX($C$1:C143)+1)</f>
        <v/>
      </c>
      <c r="E144" t="str">
        <f t="shared" si="6"/>
        <v xml:space="preserve"> </v>
      </c>
      <c r="G144">
        <f t="shared" si="7"/>
        <v>144</v>
      </c>
    </row>
    <row r="145" spans="1:7">
      <c r="A145" t="str">
        <f>IF(ISNA(INDEX('Yardi Report'!$A:$E,MATCH('Chart of Accounts'!$A151,'Yardi Report'!$A:$A,0),1)),"",INDEX('Yardi Report'!$A:$E,MATCH('Chart of Accounts'!$A151,'Yardi Report'!$A:$A,0),1))</f>
        <v/>
      </c>
      <c r="B145" t="str">
        <f>IF(ISNA(INDEX('Yardi Report'!$A:$E,MATCH('Chart of Accounts'!$A151,'Yardi Report'!$A:$A,0),2)),"",INDEX('Yardi Report'!$A:$E,MATCH('Chart of Accounts'!$A151,'Yardi Report'!$A:$A,0),2))</f>
        <v/>
      </c>
      <c r="C145" t="str">
        <f>IF(A145="","",MAX($C$1:C144)+1)</f>
        <v/>
      </c>
      <c r="E145" t="str">
        <f t="shared" si="6"/>
        <v xml:space="preserve"> </v>
      </c>
      <c r="G145">
        <f t="shared" si="7"/>
        <v>145</v>
      </c>
    </row>
    <row r="146" spans="1:7">
      <c r="A146" t="str">
        <f>IF(ISNA(INDEX('Yardi Report'!$A:$E,MATCH('Chart of Accounts'!$A152,'Yardi Report'!$A:$A,0),1)),"",INDEX('Yardi Report'!$A:$E,MATCH('Chart of Accounts'!$A152,'Yardi Report'!$A:$A,0),1))</f>
        <v/>
      </c>
      <c r="B146" t="str">
        <f>IF(ISNA(INDEX('Yardi Report'!$A:$E,MATCH('Chart of Accounts'!$A152,'Yardi Report'!$A:$A,0),2)),"",INDEX('Yardi Report'!$A:$E,MATCH('Chart of Accounts'!$A152,'Yardi Report'!$A:$A,0),2))</f>
        <v/>
      </c>
      <c r="C146" t="str">
        <f>IF(A146="","",MAX($C$1:C145)+1)</f>
        <v/>
      </c>
      <c r="E146" t="str">
        <f t="shared" si="6"/>
        <v xml:space="preserve"> </v>
      </c>
      <c r="G146">
        <f t="shared" si="7"/>
        <v>146</v>
      </c>
    </row>
    <row r="147" spans="1:7">
      <c r="A147" t="str">
        <f>IF(ISNA(INDEX('Yardi Report'!$A:$E,MATCH('Chart of Accounts'!$A153,'Yardi Report'!$A:$A,0),1)),"",INDEX('Yardi Report'!$A:$E,MATCH('Chart of Accounts'!$A153,'Yardi Report'!$A:$A,0),1))</f>
        <v/>
      </c>
      <c r="B147" t="str">
        <f>IF(ISNA(INDEX('Yardi Report'!$A:$E,MATCH('Chart of Accounts'!$A153,'Yardi Report'!$A:$A,0),2)),"",INDEX('Yardi Report'!$A:$E,MATCH('Chart of Accounts'!$A153,'Yardi Report'!$A:$A,0),2))</f>
        <v/>
      </c>
      <c r="C147" t="str">
        <f>IF(A147="","",MAX($C$1:C146)+1)</f>
        <v/>
      </c>
      <c r="E147" t="str">
        <f t="shared" si="6"/>
        <v xml:space="preserve"> </v>
      </c>
      <c r="G147">
        <f t="shared" si="7"/>
        <v>147</v>
      </c>
    </row>
    <row r="148" spans="1:7">
      <c r="A148" t="str">
        <f>IF(ISNA(INDEX('Yardi Report'!$A:$E,MATCH('Chart of Accounts'!$A154,'Yardi Report'!$A:$A,0),1)),"",INDEX('Yardi Report'!$A:$E,MATCH('Chart of Accounts'!$A154,'Yardi Report'!$A:$A,0),1))</f>
        <v/>
      </c>
      <c r="B148" t="str">
        <f>IF(ISNA(INDEX('Yardi Report'!$A:$E,MATCH('Chart of Accounts'!$A154,'Yardi Report'!$A:$A,0),2)),"",INDEX('Yardi Report'!$A:$E,MATCH('Chart of Accounts'!$A154,'Yardi Report'!$A:$A,0),2))</f>
        <v/>
      </c>
      <c r="C148" t="str">
        <f>IF(A148="","",MAX($C$1:C147)+1)</f>
        <v/>
      </c>
      <c r="E148" t="str">
        <f t="shared" si="6"/>
        <v xml:space="preserve"> </v>
      </c>
      <c r="G148">
        <f t="shared" si="7"/>
        <v>148</v>
      </c>
    </row>
    <row r="149" spans="1:7">
      <c r="A149" t="str">
        <f>IF(ISNA(INDEX('Yardi Report'!$A:$E,MATCH('Chart of Accounts'!$A155,'Yardi Report'!$A:$A,0),1)),"",INDEX('Yardi Report'!$A:$E,MATCH('Chart of Accounts'!$A155,'Yardi Report'!$A:$A,0),1))</f>
        <v/>
      </c>
      <c r="B149" t="str">
        <f>IF(ISNA(INDEX('Yardi Report'!$A:$E,MATCH('Chart of Accounts'!$A155,'Yardi Report'!$A:$A,0),2)),"",INDEX('Yardi Report'!$A:$E,MATCH('Chart of Accounts'!$A155,'Yardi Report'!$A:$A,0),2))</f>
        <v/>
      </c>
      <c r="C149" t="str">
        <f>IF(A149="","",MAX($C$1:C148)+1)</f>
        <v/>
      </c>
      <c r="E149" t="str">
        <f t="shared" si="6"/>
        <v xml:space="preserve"> </v>
      </c>
      <c r="G149">
        <f t="shared" si="7"/>
        <v>149</v>
      </c>
    </row>
    <row r="150" spans="1:7">
      <c r="A150" t="str">
        <f>IF(ISNA(INDEX('Yardi Report'!$A:$E,MATCH('Chart of Accounts'!$A156,'Yardi Report'!$A:$A,0),1)),"",INDEX('Yardi Report'!$A:$E,MATCH('Chart of Accounts'!$A156,'Yardi Report'!$A:$A,0),1))</f>
        <v/>
      </c>
      <c r="B150" t="str">
        <f>IF(ISNA(INDEX('Yardi Report'!$A:$E,MATCH('Chart of Accounts'!$A156,'Yardi Report'!$A:$A,0),2)),"",INDEX('Yardi Report'!$A:$E,MATCH('Chart of Accounts'!$A156,'Yardi Report'!$A:$A,0),2))</f>
        <v/>
      </c>
      <c r="C150" t="str">
        <f>IF(A150="","",MAX($C$1:C149)+1)</f>
        <v/>
      </c>
      <c r="E150" t="str">
        <f t="shared" si="6"/>
        <v xml:space="preserve"> </v>
      </c>
      <c r="G150">
        <f t="shared" si="7"/>
        <v>150</v>
      </c>
    </row>
    <row r="151" spans="1:7">
      <c r="A151" t="str">
        <f>IF(ISNA(INDEX('Yardi Report'!$A:$E,MATCH('Chart of Accounts'!$A157,'Yardi Report'!$A:$A,0),1)),"",INDEX('Yardi Report'!$A:$E,MATCH('Chart of Accounts'!$A157,'Yardi Report'!$A:$A,0),1))</f>
        <v/>
      </c>
      <c r="B151" t="str">
        <f>IF(ISNA(INDEX('Yardi Report'!$A:$E,MATCH('Chart of Accounts'!$A157,'Yardi Report'!$A:$A,0),2)),"",INDEX('Yardi Report'!$A:$E,MATCH('Chart of Accounts'!$A157,'Yardi Report'!$A:$A,0),2))</f>
        <v/>
      </c>
      <c r="C151" t="str">
        <f>IF(A151="","",MAX($C$1:C150)+1)</f>
        <v/>
      </c>
      <c r="E151" t="str">
        <f t="shared" si="6"/>
        <v xml:space="preserve"> </v>
      </c>
      <c r="G151">
        <f t="shared" si="7"/>
        <v>151</v>
      </c>
    </row>
    <row r="152" spans="1:7">
      <c r="A152" t="str">
        <f>IF(ISNA(INDEX('Yardi Report'!$A:$E,MATCH('Chart of Accounts'!$A158,'Yardi Report'!$A:$A,0),1)),"",INDEX('Yardi Report'!$A:$E,MATCH('Chart of Accounts'!$A158,'Yardi Report'!$A:$A,0),1))</f>
        <v/>
      </c>
      <c r="B152" t="str">
        <f>IF(ISNA(INDEX('Yardi Report'!$A:$E,MATCH('Chart of Accounts'!$A158,'Yardi Report'!$A:$A,0),2)),"",INDEX('Yardi Report'!$A:$E,MATCH('Chart of Accounts'!$A158,'Yardi Report'!$A:$A,0),2))</f>
        <v/>
      </c>
      <c r="C152" t="str">
        <f>IF(A152="","",MAX($C$1:C151)+1)</f>
        <v/>
      </c>
      <c r="E152" t="str">
        <f t="shared" si="6"/>
        <v xml:space="preserve"> </v>
      </c>
      <c r="G152">
        <f t="shared" si="7"/>
        <v>152</v>
      </c>
    </row>
    <row r="153" spans="1:7">
      <c r="A153" t="str">
        <f>IF(ISNA(INDEX('Yardi Report'!$A:$E,MATCH('Chart of Accounts'!$A159,'Yardi Report'!$A:$A,0),1)),"",INDEX('Yardi Report'!$A:$E,MATCH('Chart of Accounts'!$A159,'Yardi Report'!$A:$A,0),1))</f>
        <v/>
      </c>
      <c r="B153" t="str">
        <f>IF(ISNA(INDEX('Yardi Report'!$A:$E,MATCH('Chart of Accounts'!$A159,'Yardi Report'!$A:$A,0),2)),"",INDEX('Yardi Report'!$A:$E,MATCH('Chart of Accounts'!$A159,'Yardi Report'!$A:$A,0),2))</f>
        <v/>
      </c>
      <c r="C153" t="str">
        <f>IF(A153="","",MAX($C$1:C152)+1)</f>
        <v/>
      </c>
      <c r="E153" t="str">
        <f t="shared" si="6"/>
        <v xml:space="preserve"> </v>
      </c>
      <c r="G153">
        <f t="shared" si="7"/>
        <v>153</v>
      </c>
    </row>
    <row r="154" spans="1:7">
      <c r="A154" t="str">
        <f>IF(ISNA(INDEX('Yardi Report'!$A:$E,MATCH('Chart of Accounts'!$A160,'Yardi Report'!$A:$A,0),1)),"",INDEX('Yardi Report'!$A:$E,MATCH('Chart of Accounts'!$A160,'Yardi Report'!$A:$A,0),1))</f>
        <v/>
      </c>
      <c r="B154" t="str">
        <f>IF(ISNA(INDEX('Yardi Report'!$A:$E,MATCH('Chart of Accounts'!$A160,'Yardi Report'!$A:$A,0),2)),"",INDEX('Yardi Report'!$A:$E,MATCH('Chart of Accounts'!$A160,'Yardi Report'!$A:$A,0),2))</f>
        <v/>
      </c>
      <c r="C154" t="str">
        <f>IF(A154="","",MAX($C$1:C153)+1)</f>
        <v/>
      </c>
      <c r="E154" t="str">
        <f t="shared" si="6"/>
        <v xml:space="preserve"> </v>
      </c>
      <c r="G154">
        <f t="shared" si="7"/>
        <v>154</v>
      </c>
    </row>
    <row r="155" spans="1:7">
      <c r="A155" t="str">
        <f>IF(ISNA(INDEX('Yardi Report'!$A:$E,MATCH('Chart of Accounts'!$A161,'Yardi Report'!$A:$A,0),1)),"",INDEX('Yardi Report'!$A:$E,MATCH('Chart of Accounts'!$A161,'Yardi Report'!$A:$A,0),1))</f>
        <v/>
      </c>
      <c r="B155" t="str">
        <f>IF(ISNA(INDEX('Yardi Report'!$A:$E,MATCH('Chart of Accounts'!$A161,'Yardi Report'!$A:$A,0),2)),"",INDEX('Yardi Report'!$A:$E,MATCH('Chart of Accounts'!$A161,'Yardi Report'!$A:$A,0),2))</f>
        <v/>
      </c>
      <c r="C155" t="str">
        <f>IF(A155="","",MAX($C$1:C154)+1)</f>
        <v/>
      </c>
      <c r="E155" t="str">
        <f t="shared" si="6"/>
        <v xml:space="preserve"> </v>
      </c>
      <c r="G155">
        <f t="shared" si="7"/>
        <v>155</v>
      </c>
    </row>
    <row r="156" spans="1:7">
      <c r="A156" t="str">
        <f>IF(ISNA(INDEX('Yardi Report'!$A:$E,MATCH('Chart of Accounts'!$A162,'Yardi Report'!$A:$A,0),1)),"",INDEX('Yardi Report'!$A:$E,MATCH('Chart of Accounts'!$A162,'Yardi Report'!$A:$A,0),1))</f>
        <v/>
      </c>
      <c r="B156" t="str">
        <f>IF(ISNA(INDEX('Yardi Report'!$A:$E,MATCH('Chart of Accounts'!$A162,'Yardi Report'!$A:$A,0),2)),"",INDEX('Yardi Report'!$A:$E,MATCH('Chart of Accounts'!$A162,'Yardi Report'!$A:$A,0),2))</f>
        <v/>
      </c>
      <c r="C156" t="str">
        <f>IF(A156="","",MAX($C$1:C155)+1)</f>
        <v/>
      </c>
      <c r="E156" t="str">
        <f t="shared" si="6"/>
        <v xml:space="preserve"> </v>
      </c>
      <c r="G156">
        <f t="shared" si="7"/>
        <v>156</v>
      </c>
    </row>
    <row r="157" spans="1:7">
      <c r="A157" t="str">
        <f>IF(ISNA(INDEX('Yardi Report'!$A:$E,MATCH('Chart of Accounts'!$A163,'Yardi Report'!$A:$A,0),1)),"",INDEX('Yardi Report'!$A:$E,MATCH('Chart of Accounts'!$A163,'Yardi Report'!$A:$A,0),1))</f>
        <v/>
      </c>
      <c r="B157" t="str">
        <f>IF(ISNA(INDEX('Yardi Report'!$A:$E,MATCH('Chart of Accounts'!$A163,'Yardi Report'!$A:$A,0),2)),"",INDEX('Yardi Report'!$A:$E,MATCH('Chart of Accounts'!$A163,'Yardi Report'!$A:$A,0),2))</f>
        <v/>
      </c>
      <c r="C157" t="str">
        <f>IF(A157="","",MAX($C$1:C156)+1)</f>
        <v/>
      </c>
      <c r="E157" t="str">
        <f t="shared" si="6"/>
        <v xml:space="preserve"> </v>
      </c>
      <c r="G157">
        <f t="shared" si="7"/>
        <v>157</v>
      </c>
    </row>
    <row r="158" spans="1:7">
      <c r="A158" t="str">
        <f>IF(ISNA(INDEX('Yardi Report'!$A:$E,MATCH('Chart of Accounts'!$A164,'Yardi Report'!$A:$A,0),1)),"",INDEX('Yardi Report'!$A:$E,MATCH('Chart of Accounts'!$A164,'Yardi Report'!$A:$A,0),1))</f>
        <v/>
      </c>
      <c r="B158" t="str">
        <f>IF(ISNA(INDEX('Yardi Report'!$A:$E,MATCH('Chart of Accounts'!$A164,'Yardi Report'!$A:$A,0),2)),"",INDEX('Yardi Report'!$A:$E,MATCH('Chart of Accounts'!$A164,'Yardi Report'!$A:$A,0),2))</f>
        <v/>
      </c>
      <c r="C158" t="str">
        <f>IF(A158="","",MAX($C$1:C157)+1)</f>
        <v/>
      </c>
      <c r="E158" t="str">
        <f t="shared" si="6"/>
        <v xml:space="preserve"> </v>
      </c>
      <c r="G158">
        <f t="shared" si="7"/>
        <v>158</v>
      </c>
    </row>
    <row r="159" spans="1:7">
      <c r="A159" t="str">
        <f>IF(ISNA(INDEX('Yardi Report'!$A:$E,MATCH('Chart of Accounts'!$A165,'Yardi Report'!$A:$A,0),1)),"",INDEX('Yardi Report'!$A:$E,MATCH('Chart of Accounts'!$A165,'Yardi Report'!$A:$A,0),1))</f>
        <v/>
      </c>
      <c r="B159" t="str">
        <f>IF(ISNA(INDEX('Yardi Report'!$A:$E,MATCH('Chart of Accounts'!$A165,'Yardi Report'!$A:$A,0),2)),"",INDEX('Yardi Report'!$A:$E,MATCH('Chart of Accounts'!$A165,'Yardi Report'!$A:$A,0),2))</f>
        <v/>
      </c>
      <c r="C159" t="str">
        <f>IF(A159="","",MAX($C$1:C158)+1)</f>
        <v/>
      </c>
      <c r="E159" t="str">
        <f t="shared" si="6"/>
        <v xml:space="preserve"> </v>
      </c>
      <c r="G159">
        <f t="shared" si="7"/>
        <v>159</v>
      </c>
    </row>
    <row r="160" spans="1:7">
      <c r="A160" t="str">
        <f>IF(ISNA(INDEX('Yardi Report'!$A:$E,MATCH('Chart of Accounts'!$A166,'Yardi Report'!$A:$A,0),1)),"",INDEX('Yardi Report'!$A:$E,MATCH('Chart of Accounts'!$A166,'Yardi Report'!$A:$A,0),1))</f>
        <v/>
      </c>
      <c r="B160" t="str">
        <f>IF(ISNA(INDEX('Yardi Report'!$A:$E,MATCH('Chart of Accounts'!$A166,'Yardi Report'!$A:$A,0),2)),"",INDEX('Yardi Report'!$A:$E,MATCH('Chart of Accounts'!$A166,'Yardi Report'!$A:$A,0),2))</f>
        <v/>
      </c>
      <c r="C160" t="str">
        <f>IF(A160="","",MAX($C$1:C159)+1)</f>
        <v/>
      </c>
      <c r="E160" t="str">
        <f t="shared" si="6"/>
        <v xml:space="preserve"> </v>
      </c>
      <c r="G160">
        <f t="shared" si="7"/>
        <v>160</v>
      </c>
    </row>
    <row r="161" spans="1:7">
      <c r="A161" t="str">
        <f>IF(ISNA(INDEX('Yardi Report'!$A:$E,MATCH('Chart of Accounts'!$A167,'Yardi Report'!$A:$A,0),1)),"",INDEX('Yardi Report'!$A:$E,MATCH('Chart of Accounts'!$A167,'Yardi Report'!$A:$A,0),1))</f>
        <v/>
      </c>
      <c r="B161" t="str">
        <f>IF(ISNA(INDEX('Yardi Report'!$A:$E,MATCH('Chart of Accounts'!$A167,'Yardi Report'!$A:$A,0),2)),"",INDEX('Yardi Report'!$A:$E,MATCH('Chart of Accounts'!$A167,'Yardi Report'!$A:$A,0),2))</f>
        <v/>
      </c>
      <c r="C161" t="str">
        <f>IF(A161="","",MAX($C$1:C160)+1)</f>
        <v/>
      </c>
      <c r="E161" t="str">
        <f t="shared" si="6"/>
        <v xml:space="preserve"> </v>
      </c>
      <c r="G161">
        <f t="shared" si="7"/>
        <v>161</v>
      </c>
    </row>
    <row r="162" spans="1:7">
      <c r="A162" t="str">
        <f>IF(ISNA(INDEX('Yardi Report'!$A:$E,MATCH('Chart of Accounts'!$A168,'Yardi Report'!$A:$A,0),1)),"",INDEX('Yardi Report'!$A:$E,MATCH('Chart of Accounts'!$A168,'Yardi Report'!$A:$A,0),1))</f>
        <v/>
      </c>
      <c r="B162" t="str">
        <f>IF(ISNA(INDEX('Yardi Report'!$A:$E,MATCH('Chart of Accounts'!$A168,'Yardi Report'!$A:$A,0),2)),"",INDEX('Yardi Report'!$A:$E,MATCH('Chart of Accounts'!$A168,'Yardi Report'!$A:$A,0),2))</f>
        <v/>
      </c>
      <c r="C162" t="str">
        <f>IF(A162="","",MAX($C$1:C161)+1)</f>
        <v/>
      </c>
      <c r="E162" t="str">
        <f t="shared" si="6"/>
        <v xml:space="preserve"> </v>
      </c>
      <c r="G162">
        <f t="shared" si="7"/>
        <v>162</v>
      </c>
    </row>
    <row r="163" spans="1:7">
      <c r="A163" t="str">
        <f>IF(ISNA(INDEX('Yardi Report'!$A:$E,MATCH('Chart of Accounts'!$A169,'Yardi Report'!$A:$A,0),1)),"",INDEX('Yardi Report'!$A:$E,MATCH('Chart of Accounts'!$A169,'Yardi Report'!$A:$A,0),1))</f>
        <v/>
      </c>
      <c r="B163" t="str">
        <f>IF(ISNA(INDEX('Yardi Report'!$A:$E,MATCH('Chart of Accounts'!$A169,'Yardi Report'!$A:$A,0),2)),"",INDEX('Yardi Report'!$A:$E,MATCH('Chart of Accounts'!$A169,'Yardi Report'!$A:$A,0),2))</f>
        <v/>
      </c>
      <c r="C163" t="str">
        <f>IF(A163="","",MAX($C$1:C162)+1)</f>
        <v/>
      </c>
      <c r="E163" t="str">
        <f t="shared" si="6"/>
        <v xml:space="preserve"> </v>
      </c>
      <c r="G163">
        <f t="shared" si="7"/>
        <v>163</v>
      </c>
    </row>
    <row r="164" spans="1:7">
      <c r="A164" t="str">
        <f>IF(ISNA(INDEX('Yardi Report'!$A:$E,MATCH('Chart of Accounts'!$A170,'Yardi Report'!$A:$A,0),1)),"",INDEX('Yardi Report'!$A:$E,MATCH('Chart of Accounts'!$A170,'Yardi Report'!$A:$A,0),1))</f>
        <v/>
      </c>
      <c r="B164" t="str">
        <f>IF(ISNA(INDEX('Yardi Report'!$A:$E,MATCH('Chart of Accounts'!$A170,'Yardi Report'!$A:$A,0),2)),"",INDEX('Yardi Report'!$A:$E,MATCH('Chart of Accounts'!$A170,'Yardi Report'!$A:$A,0),2))</f>
        <v/>
      </c>
      <c r="C164" t="str">
        <f>IF(A164="","",MAX($C$1:C163)+1)</f>
        <v/>
      </c>
      <c r="E164" t="str">
        <f t="shared" si="6"/>
        <v xml:space="preserve"> </v>
      </c>
      <c r="G164">
        <f t="shared" si="7"/>
        <v>164</v>
      </c>
    </row>
    <row r="165" spans="1:7">
      <c r="A165" t="str">
        <f>IF(ISNA(INDEX('Yardi Report'!$A:$E,MATCH('Chart of Accounts'!$A171,'Yardi Report'!$A:$A,0),1)),"",INDEX('Yardi Report'!$A:$E,MATCH('Chart of Accounts'!$A171,'Yardi Report'!$A:$A,0),1))</f>
        <v/>
      </c>
      <c r="B165" t="str">
        <f>IF(ISNA(INDEX('Yardi Report'!$A:$E,MATCH('Chart of Accounts'!$A171,'Yardi Report'!$A:$A,0),2)),"",INDEX('Yardi Report'!$A:$E,MATCH('Chart of Accounts'!$A171,'Yardi Report'!$A:$A,0),2))</f>
        <v/>
      </c>
      <c r="C165" t="str">
        <f>IF(A165="","",MAX($C$1:C164)+1)</f>
        <v/>
      </c>
      <c r="E165" t="str">
        <f t="shared" si="6"/>
        <v xml:space="preserve"> </v>
      </c>
      <c r="G165">
        <f t="shared" si="7"/>
        <v>165</v>
      </c>
    </row>
    <row r="166" spans="1:7">
      <c r="A166" t="str">
        <f>IF(ISNA(INDEX('Yardi Report'!$A:$E,MATCH('Chart of Accounts'!$A172,'Yardi Report'!$A:$A,0),1)),"",INDEX('Yardi Report'!$A:$E,MATCH('Chart of Accounts'!$A172,'Yardi Report'!$A:$A,0),1))</f>
        <v/>
      </c>
      <c r="B166" t="str">
        <f>IF(ISNA(INDEX('Yardi Report'!$A:$E,MATCH('Chart of Accounts'!$A172,'Yardi Report'!$A:$A,0),2)),"",INDEX('Yardi Report'!$A:$E,MATCH('Chart of Accounts'!$A172,'Yardi Report'!$A:$A,0),2))</f>
        <v/>
      </c>
      <c r="C166" t="str">
        <f>IF(A166="","",MAX($C$1:C165)+1)</f>
        <v/>
      </c>
      <c r="E166" t="str">
        <f t="shared" si="6"/>
        <v xml:space="preserve"> </v>
      </c>
      <c r="G166">
        <f t="shared" si="7"/>
        <v>166</v>
      </c>
    </row>
    <row r="167" spans="1:7">
      <c r="A167" t="str">
        <f>IF(ISNA(INDEX('Yardi Report'!$A:$E,MATCH('Chart of Accounts'!$A173,'Yardi Report'!$A:$A,0),1)),"",INDEX('Yardi Report'!$A:$E,MATCH('Chart of Accounts'!$A173,'Yardi Report'!$A:$A,0),1))</f>
        <v/>
      </c>
      <c r="B167" t="str">
        <f>IF(ISNA(INDEX('Yardi Report'!$A:$E,MATCH('Chart of Accounts'!$A173,'Yardi Report'!$A:$A,0),2)),"",INDEX('Yardi Report'!$A:$E,MATCH('Chart of Accounts'!$A173,'Yardi Report'!$A:$A,0),2))</f>
        <v/>
      </c>
      <c r="C167" t="str">
        <f>IF(A167="","",MAX($C$1:C166)+1)</f>
        <v/>
      </c>
      <c r="E167" t="str">
        <f t="shared" si="6"/>
        <v xml:space="preserve"> </v>
      </c>
      <c r="G167">
        <f t="shared" si="7"/>
        <v>167</v>
      </c>
    </row>
    <row r="168" spans="1:7">
      <c r="A168" t="str">
        <f>IF(ISNA(INDEX('Yardi Report'!$A:$E,MATCH('Chart of Accounts'!$A174,'Yardi Report'!$A:$A,0),1)),"",INDEX('Yardi Report'!$A:$E,MATCH('Chart of Accounts'!$A174,'Yardi Report'!$A:$A,0),1))</f>
        <v/>
      </c>
      <c r="B168" t="str">
        <f>IF(ISNA(INDEX('Yardi Report'!$A:$E,MATCH('Chart of Accounts'!$A174,'Yardi Report'!$A:$A,0),2)),"",INDEX('Yardi Report'!$A:$E,MATCH('Chart of Accounts'!$A174,'Yardi Report'!$A:$A,0),2))</f>
        <v/>
      </c>
      <c r="C168" t="str">
        <f>IF(A168="","",MAX($C$1:C167)+1)</f>
        <v/>
      </c>
      <c r="E168" t="str">
        <f t="shared" si="6"/>
        <v xml:space="preserve"> </v>
      </c>
      <c r="G168">
        <f t="shared" si="7"/>
        <v>168</v>
      </c>
    </row>
    <row r="169" spans="1:7">
      <c r="A169" t="str">
        <f>IF(ISNA(INDEX('Yardi Report'!$A:$E,MATCH('Chart of Accounts'!$A175,'Yardi Report'!$A:$A,0),1)),"",INDEX('Yardi Report'!$A:$E,MATCH('Chart of Accounts'!$A175,'Yardi Report'!$A:$A,0),1))</f>
        <v/>
      </c>
      <c r="B169" t="str">
        <f>IF(ISNA(INDEX('Yardi Report'!$A:$E,MATCH('Chart of Accounts'!$A175,'Yardi Report'!$A:$A,0),2)),"",INDEX('Yardi Report'!$A:$E,MATCH('Chart of Accounts'!$A175,'Yardi Report'!$A:$A,0),2))</f>
        <v/>
      </c>
      <c r="C169" t="str">
        <f>IF(A169="","",MAX($C$1:C168)+1)</f>
        <v/>
      </c>
      <c r="E169" t="str">
        <f t="shared" si="6"/>
        <v xml:space="preserve"> </v>
      </c>
      <c r="G169">
        <f t="shared" si="7"/>
        <v>169</v>
      </c>
    </row>
    <row r="170" spans="1:7">
      <c r="A170" t="str">
        <f>IF(ISNA(INDEX('Yardi Report'!$A:$E,MATCH('Chart of Accounts'!$A176,'Yardi Report'!$A:$A,0),1)),"",INDEX('Yardi Report'!$A:$E,MATCH('Chart of Accounts'!$A176,'Yardi Report'!$A:$A,0),1))</f>
        <v/>
      </c>
      <c r="B170" t="str">
        <f>IF(ISNA(INDEX('Yardi Report'!$A:$E,MATCH('Chart of Accounts'!$A176,'Yardi Report'!$A:$A,0),2)),"",INDEX('Yardi Report'!$A:$E,MATCH('Chart of Accounts'!$A176,'Yardi Report'!$A:$A,0),2))</f>
        <v/>
      </c>
      <c r="C170" t="str">
        <f>IF(A170="","",MAX($C$1:C169)+1)</f>
        <v/>
      </c>
      <c r="E170" t="str">
        <f t="shared" si="6"/>
        <v xml:space="preserve"> </v>
      </c>
      <c r="G170">
        <f t="shared" si="7"/>
        <v>170</v>
      </c>
    </row>
    <row r="171" spans="1:7">
      <c r="A171" t="str">
        <f>IF(ISNA(INDEX('Yardi Report'!$A:$E,MATCH('Chart of Accounts'!$A177,'Yardi Report'!$A:$A,0),1)),"",INDEX('Yardi Report'!$A:$E,MATCH('Chart of Accounts'!$A177,'Yardi Report'!$A:$A,0),1))</f>
        <v/>
      </c>
      <c r="B171" t="str">
        <f>IF(ISNA(INDEX('Yardi Report'!$A:$E,MATCH('Chart of Accounts'!$A177,'Yardi Report'!$A:$A,0),2)),"",INDEX('Yardi Report'!$A:$E,MATCH('Chart of Accounts'!$A177,'Yardi Report'!$A:$A,0),2))</f>
        <v/>
      </c>
      <c r="C171" t="str">
        <f>IF(A171="","",MAX($C$1:C170)+1)</f>
        <v/>
      </c>
      <c r="E171" t="str">
        <f t="shared" si="6"/>
        <v xml:space="preserve"> </v>
      </c>
      <c r="G171">
        <f t="shared" si="7"/>
        <v>171</v>
      </c>
    </row>
    <row r="172" spans="1:7">
      <c r="A172" t="str">
        <f>IF(ISNA(INDEX('Yardi Report'!$A:$E,MATCH('Chart of Accounts'!$A178,'Yardi Report'!$A:$A,0),1)),"",INDEX('Yardi Report'!$A:$E,MATCH('Chart of Accounts'!$A178,'Yardi Report'!$A:$A,0),1))</f>
        <v/>
      </c>
      <c r="B172" t="str">
        <f>IF(ISNA(INDEX('Yardi Report'!$A:$E,MATCH('Chart of Accounts'!$A178,'Yardi Report'!$A:$A,0),2)),"",INDEX('Yardi Report'!$A:$E,MATCH('Chart of Accounts'!$A178,'Yardi Report'!$A:$A,0),2))</f>
        <v/>
      </c>
      <c r="C172" t="str">
        <f>IF(A172="","",MAX($C$1:C171)+1)</f>
        <v/>
      </c>
      <c r="E172" t="str">
        <f t="shared" si="6"/>
        <v xml:space="preserve"> </v>
      </c>
      <c r="G172">
        <f t="shared" si="7"/>
        <v>172</v>
      </c>
    </row>
    <row r="173" spans="1:7">
      <c r="A173" t="str">
        <f>IF(ISNA(INDEX('Yardi Report'!$A:$E,MATCH('Chart of Accounts'!$A179,'Yardi Report'!$A:$A,0),1)),"",INDEX('Yardi Report'!$A:$E,MATCH('Chart of Accounts'!$A179,'Yardi Report'!$A:$A,0),1))</f>
        <v/>
      </c>
      <c r="B173" t="str">
        <f>IF(ISNA(INDEX('Yardi Report'!$A:$E,MATCH('Chart of Accounts'!$A179,'Yardi Report'!$A:$A,0),2)),"",INDEX('Yardi Report'!$A:$E,MATCH('Chart of Accounts'!$A179,'Yardi Report'!$A:$A,0),2))</f>
        <v/>
      </c>
      <c r="C173" t="str">
        <f>IF(A173="","",MAX($C$1:C172)+1)</f>
        <v/>
      </c>
      <c r="E173" t="str">
        <f t="shared" si="6"/>
        <v xml:space="preserve"> </v>
      </c>
      <c r="G173">
        <f t="shared" si="7"/>
        <v>173</v>
      </c>
    </row>
    <row r="174" spans="1:7">
      <c r="A174" t="str">
        <f>IF(ISNA(INDEX('Yardi Report'!$A:$E,MATCH('Chart of Accounts'!$A180,'Yardi Report'!$A:$A,0),1)),"",INDEX('Yardi Report'!$A:$E,MATCH('Chart of Accounts'!$A180,'Yardi Report'!$A:$A,0),1))</f>
        <v/>
      </c>
      <c r="B174" t="str">
        <f>IF(ISNA(INDEX('Yardi Report'!$A:$E,MATCH('Chart of Accounts'!$A180,'Yardi Report'!$A:$A,0),2)),"",INDEX('Yardi Report'!$A:$E,MATCH('Chart of Accounts'!$A180,'Yardi Report'!$A:$A,0),2))</f>
        <v/>
      </c>
      <c r="C174" t="str">
        <f>IF(A174="","",MAX($C$1:C173)+1)</f>
        <v/>
      </c>
      <c r="E174" t="str">
        <f t="shared" si="6"/>
        <v xml:space="preserve"> </v>
      </c>
      <c r="G174">
        <f t="shared" si="7"/>
        <v>174</v>
      </c>
    </row>
    <row r="175" spans="1:7">
      <c r="A175" t="str">
        <f>IF(ISNA(INDEX('Yardi Report'!$A:$E,MATCH('Chart of Accounts'!$A181,'Yardi Report'!$A:$A,0),1)),"",INDEX('Yardi Report'!$A:$E,MATCH('Chart of Accounts'!$A181,'Yardi Report'!$A:$A,0),1))</f>
        <v/>
      </c>
      <c r="B175" t="str">
        <f>IF(ISNA(INDEX('Yardi Report'!$A:$E,MATCH('Chart of Accounts'!$A181,'Yardi Report'!$A:$A,0),2)),"",INDEX('Yardi Report'!$A:$E,MATCH('Chart of Accounts'!$A181,'Yardi Report'!$A:$A,0),2))</f>
        <v/>
      </c>
      <c r="C175" t="str">
        <f>IF(A175="","",MAX($C$1:C174)+1)</f>
        <v/>
      </c>
      <c r="E175" t="str">
        <f t="shared" si="6"/>
        <v xml:space="preserve"> </v>
      </c>
      <c r="G175">
        <f t="shared" si="7"/>
        <v>175</v>
      </c>
    </row>
    <row r="176" spans="1:7">
      <c r="A176" t="str">
        <f>IF(ISNA(INDEX('Yardi Report'!$A:$E,MATCH('Chart of Accounts'!$A182,'Yardi Report'!$A:$A,0),1)),"",INDEX('Yardi Report'!$A:$E,MATCH('Chart of Accounts'!$A182,'Yardi Report'!$A:$A,0),1))</f>
        <v/>
      </c>
      <c r="B176" t="str">
        <f>IF(ISNA(INDEX('Yardi Report'!$A:$E,MATCH('Chart of Accounts'!$A182,'Yardi Report'!$A:$A,0),2)),"",INDEX('Yardi Report'!$A:$E,MATCH('Chart of Accounts'!$A182,'Yardi Report'!$A:$A,0),2))</f>
        <v/>
      </c>
      <c r="C176" t="str">
        <f>IF(A176="","",MAX($C$1:C175)+1)</f>
        <v/>
      </c>
      <c r="E176" t="str">
        <f t="shared" si="6"/>
        <v xml:space="preserve"> </v>
      </c>
      <c r="G176">
        <f t="shared" si="7"/>
        <v>176</v>
      </c>
    </row>
    <row r="177" spans="1:7">
      <c r="A177" t="str">
        <f>IF(ISNA(INDEX('Yardi Report'!$A:$E,MATCH('Chart of Accounts'!$A183,'Yardi Report'!$A:$A,0),1)),"",INDEX('Yardi Report'!$A:$E,MATCH('Chart of Accounts'!$A183,'Yardi Report'!$A:$A,0),1))</f>
        <v/>
      </c>
      <c r="B177" t="str">
        <f>IF(ISNA(INDEX('Yardi Report'!$A:$E,MATCH('Chart of Accounts'!$A183,'Yardi Report'!$A:$A,0),2)),"",INDEX('Yardi Report'!$A:$E,MATCH('Chart of Accounts'!$A183,'Yardi Report'!$A:$A,0),2))</f>
        <v/>
      </c>
      <c r="C177" t="str">
        <f>IF(A177="","",MAX($C$1:C176)+1)</f>
        <v/>
      </c>
      <c r="E177" t="str">
        <f t="shared" si="6"/>
        <v xml:space="preserve"> </v>
      </c>
      <c r="G177">
        <f t="shared" si="7"/>
        <v>177</v>
      </c>
    </row>
    <row r="178" spans="1:7">
      <c r="A178" t="str">
        <f>IF(ISNA(INDEX('Yardi Report'!$A:$E,MATCH('Chart of Accounts'!$A184,'Yardi Report'!$A:$A,0),1)),"",INDEX('Yardi Report'!$A:$E,MATCH('Chart of Accounts'!$A184,'Yardi Report'!$A:$A,0),1))</f>
        <v/>
      </c>
      <c r="B178" t="str">
        <f>IF(ISNA(INDEX('Yardi Report'!$A:$E,MATCH('Chart of Accounts'!$A184,'Yardi Report'!$A:$A,0),2)),"",INDEX('Yardi Report'!$A:$E,MATCH('Chart of Accounts'!$A184,'Yardi Report'!$A:$A,0),2))</f>
        <v/>
      </c>
      <c r="C178" t="str">
        <f>IF(A178="","",MAX($C$1:C177)+1)</f>
        <v/>
      </c>
      <c r="E178" t="str">
        <f t="shared" si="6"/>
        <v xml:space="preserve"> </v>
      </c>
      <c r="G178">
        <f t="shared" si="7"/>
        <v>178</v>
      </c>
    </row>
    <row r="179" spans="1:7">
      <c r="A179" t="str">
        <f>IF(ISNA(INDEX('Yardi Report'!$A:$E,MATCH('Chart of Accounts'!$A185,'Yardi Report'!$A:$A,0),1)),"",INDEX('Yardi Report'!$A:$E,MATCH('Chart of Accounts'!$A185,'Yardi Report'!$A:$A,0),1))</f>
        <v/>
      </c>
      <c r="B179" t="str">
        <f>IF(ISNA(INDEX('Yardi Report'!$A:$E,MATCH('Chart of Accounts'!$A185,'Yardi Report'!$A:$A,0),2)),"",INDEX('Yardi Report'!$A:$E,MATCH('Chart of Accounts'!$A185,'Yardi Report'!$A:$A,0),2))</f>
        <v/>
      </c>
      <c r="C179" t="str">
        <f>IF(A179="","",MAX($C$1:C178)+1)</f>
        <v/>
      </c>
      <c r="E179" t="str">
        <f t="shared" si="6"/>
        <v xml:space="preserve"> </v>
      </c>
      <c r="G179">
        <f t="shared" si="7"/>
        <v>179</v>
      </c>
    </row>
    <row r="180" spans="1:7">
      <c r="A180" t="str">
        <f>IF(ISNA(INDEX('Yardi Report'!$A:$E,MATCH('Chart of Accounts'!$A186,'Yardi Report'!$A:$A,0),1)),"",INDEX('Yardi Report'!$A:$E,MATCH('Chart of Accounts'!$A186,'Yardi Report'!$A:$A,0),1))</f>
        <v/>
      </c>
      <c r="B180" t="str">
        <f>IF(ISNA(INDEX('Yardi Report'!$A:$E,MATCH('Chart of Accounts'!$A186,'Yardi Report'!$A:$A,0),2)),"",INDEX('Yardi Report'!$A:$E,MATCH('Chart of Accounts'!$A186,'Yardi Report'!$A:$A,0),2))</f>
        <v/>
      </c>
      <c r="C180" t="str">
        <f>IF(A180="","",MAX($C$1:C179)+1)</f>
        <v/>
      </c>
      <c r="E180" t="str">
        <f t="shared" si="6"/>
        <v xml:space="preserve"> </v>
      </c>
      <c r="G180">
        <f t="shared" si="7"/>
        <v>180</v>
      </c>
    </row>
    <row r="181" spans="1:7">
      <c r="A181" t="str">
        <f>IF(ISNA(INDEX('Yardi Report'!$A:$E,MATCH('Chart of Accounts'!$A187,'Yardi Report'!$A:$A,0),1)),"",INDEX('Yardi Report'!$A:$E,MATCH('Chart of Accounts'!$A187,'Yardi Report'!$A:$A,0),1))</f>
        <v/>
      </c>
      <c r="B181" t="str">
        <f>IF(ISNA(INDEX('Yardi Report'!$A:$E,MATCH('Chart of Accounts'!$A187,'Yardi Report'!$A:$A,0),2)),"",INDEX('Yardi Report'!$A:$E,MATCH('Chart of Accounts'!$A187,'Yardi Report'!$A:$A,0),2))</f>
        <v/>
      </c>
      <c r="C181" t="str">
        <f>IF(A181="","",MAX($C$1:C180)+1)</f>
        <v/>
      </c>
      <c r="E181" t="str">
        <f t="shared" si="6"/>
        <v xml:space="preserve"> </v>
      </c>
      <c r="G181">
        <f t="shared" si="7"/>
        <v>181</v>
      </c>
    </row>
    <row r="182" spans="1:7">
      <c r="A182" t="str">
        <f>IF(ISNA(INDEX('Yardi Report'!$A:$E,MATCH('Chart of Accounts'!$A188,'Yardi Report'!$A:$A,0),1)),"",INDEX('Yardi Report'!$A:$E,MATCH('Chart of Accounts'!$A188,'Yardi Report'!$A:$A,0),1))</f>
        <v/>
      </c>
      <c r="B182" t="str">
        <f>IF(ISNA(INDEX('Yardi Report'!$A:$E,MATCH('Chart of Accounts'!$A188,'Yardi Report'!$A:$A,0),2)),"",INDEX('Yardi Report'!$A:$E,MATCH('Chart of Accounts'!$A188,'Yardi Report'!$A:$A,0),2))</f>
        <v/>
      </c>
      <c r="C182" t="str">
        <f>IF(A182="","",MAX($C$1:C181)+1)</f>
        <v/>
      </c>
      <c r="E182" t="str">
        <f t="shared" si="6"/>
        <v xml:space="preserve"> </v>
      </c>
      <c r="G182">
        <f t="shared" si="7"/>
        <v>182</v>
      </c>
    </row>
    <row r="183" spans="1:7">
      <c r="A183" t="str">
        <f>IF(ISNA(INDEX('Yardi Report'!$A:$E,MATCH('Chart of Accounts'!$A189,'Yardi Report'!$A:$A,0),1)),"",INDEX('Yardi Report'!$A:$E,MATCH('Chart of Accounts'!$A189,'Yardi Report'!$A:$A,0),1))</f>
        <v/>
      </c>
      <c r="B183" t="str">
        <f>IF(ISNA(INDEX('Yardi Report'!$A:$E,MATCH('Chart of Accounts'!$A189,'Yardi Report'!$A:$A,0),2)),"",INDEX('Yardi Report'!$A:$E,MATCH('Chart of Accounts'!$A189,'Yardi Report'!$A:$A,0),2))</f>
        <v/>
      </c>
      <c r="C183" t="str">
        <f>IF(A183="","",MAX($C$1:C182)+1)</f>
        <v/>
      </c>
      <c r="E183" t="str">
        <f t="shared" si="6"/>
        <v xml:space="preserve"> </v>
      </c>
      <c r="G183">
        <f t="shared" si="7"/>
        <v>183</v>
      </c>
    </row>
    <row r="184" spans="1:7">
      <c r="A184" t="str">
        <f>IF(ISNA(INDEX('Yardi Report'!$A:$E,MATCH('Chart of Accounts'!$A190,'Yardi Report'!$A:$A,0),1)),"",INDEX('Yardi Report'!$A:$E,MATCH('Chart of Accounts'!$A190,'Yardi Report'!$A:$A,0),1))</f>
        <v/>
      </c>
      <c r="B184" t="str">
        <f>IF(ISNA(INDEX('Yardi Report'!$A:$E,MATCH('Chart of Accounts'!$A190,'Yardi Report'!$A:$A,0),2)),"",INDEX('Yardi Report'!$A:$E,MATCH('Chart of Accounts'!$A190,'Yardi Report'!$A:$A,0),2))</f>
        <v/>
      </c>
      <c r="C184" t="str">
        <f>IF(A184="","",MAX($C$1:C183)+1)</f>
        <v/>
      </c>
      <c r="E184" t="str">
        <f t="shared" si="6"/>
        <v xml:space="preserve"> </v>
      </c>
      <c r="G184">
        <f t="shared" si="7"/>
        <v>184</v>
      </c>
    </row>
    <row r="185" spans="1:7">
      <c r="A185" t="str">
        <f>IF(ISNA(INDEX('Yardi Report'!$A:$E,MATCH('Chart of Accounts'!$A191,'Yardi Report'!$A:$A,0),1)),"",INDEX('Yardi Report'!$A:$E,MATCH('Chart of Accounts'!$A191,'Yardi Report'!$A:$A,0),1))</f>
        <v/>
      </c>
      <c r="B185" t="str">
        <f>IF(ISNA(INDEX('Yardi Report'!$A:$E,MATCH('Chart of Accounts'!$A191,'Yardi Report'!$A:$A,0),2)),"",INDEX('Yardi Report'!$A:$E,MATCH('Chart of Accounts'!$A191,'Yardi Report'!$A:$A,0),2))</f>
        <v/>
      </c>
      <c r="C185" t="str">
        <f>IF(A185="","",MAX($C$1:C184)+1)</f>
        <v/>
      </c>
      <c r="E185" t="str">
        <f t="shared" si="6"/>
        <v xml:space="preserve"> </v>
      </c>
      <c r="G185">
        <f t="shared" si="7"/>
        <v>185</v>
      </c>
    </row>
    <row r="186" spans="1:7">
      <c r="A186" t="str">
        <f>IF(ISNA(INDEX('Yardi Report'!$A:$E,MATCH('Chart of Accounts'!$A192,'Yardi Report'!$A:$A,0),1)),"",INDEX('Yardi Report'!$A:$E,MATCH('Chart of Accounts'!$A192,'Yardi Report'!$A:$A,0),1))</f>
        <v/>
      </c>
      <c r="B186" t="str">
        <f>IF(ISNA(INDEX('Yardi Report'!$A:$E,MATCH('Chart of Accounts'!$A192,'Yardi Report'!$A:$A,0),2)),"",INDEX('Yardi Report'!$A:$E,MATCH('Chart of Accounts'!$A192,'Yardi Report'!$A:$A,0),2))</f>
        <v/>
      </c>
      <c r="C186" t="str">
        <f>IF(A186="","",MAX($C$1:C185)+1)</f>
        <v/>
      </c>
      <c r="E186" t="str">
        <f t="shared" si="6"/>
        <v xml:space="preserve"> </v>
      </c>
      <c r="G186">
        <f t="shared" si="7"/>
        <v>186</v>
      </c>
    </row>
    <row r="187" spans="1:7">
      <c r="A187" t="str">
        <f>IF(ISNA(INDEX('Yardi Report'!$A:$E,MATCH('Chart of Accounts'!$A193,'Yardi Report'!$A:$A,0),1)),"",INDEX('Yardi Report'!$A:$E,MATCH('Chart of Accounts'!$A193,'Yardi Report'!$A:$A,0),1))</f>
        <v/>
      </c>
      <c r="B187" t="str">
        <f>IF(ISNA(INDEX('Yardi Report'!$A:$E,MATCH('Chart of Accounts'!$A193,'Yardi Report'!$A:$A,0),2)),"",INDEX('Yardi Report'!$A:$E,MATCH('Chart of Accounts'!$A193,'Yardi Report'!$A:$A,0),2))</f>
        <v/>
      </c>
      <c r="C187" t="str">
        <f>IF(A187="","",MAX($C$1:C186)+1)</f>
        <v/>
      </c>
      <c r="E187" t="str">
        <f t="shared" si="6"/>
        <v xml:space="preserve"> </v>
      </c>
      <c r="G187">
        <f t="shared" si="7"/>
        <v>187</v>
      </c>
    </row>
    <row r="188" spans="1:7">
      <c r="A188" t="str">
        <f>IF(ISNA(INDEX('Yardi Report'!$A:$E,MATCH('Chart of Accounts'!$A194,'Yardi Report'!$A:$A,0),1)),"",INDEX('Yardi Report'!$A:$E,MATCH('Chart of Accounts'!$A194,'Yardi Report'!$A:$A,0),1))</f>
        <v>1190-0000</v>
      </c>
      <c r="B188" t="str">
        <f>IF(ISNA(INDEX('Yardi Report'!$A:$E,MATCH('Chart of Accounts'!$A194,'Yardi Report'!$A:$A,0),2)),"",INDEX('Yardi Report'!$A:$E,MATCH('Chart of Accounts'!$A194,'Yardi Report'!$A:$A,0),2))</f>
        <v xml:space="preserve">  TOTAL CASH</v>
      </c>
      <c r="C188">
        <f>IF(A188="","",MAX($C$1:C187)+1)</f>
        <v>5</v>
      </c>
      <c r="E188" t="str">
        <f t="shared" si="6"/>
        <v>1190-0000   TOTAL CASH</v>
      </c>
      <c r="G188">
        <f t="shared" si="7"/>
        <v>188</v>
      </c>
    </row>
    <row r="189" spans="1:7">
      <c r="A189" t="str">
        <f>IF(ISNA(INDEX('Yardi Report'!$A:$E,MATCH('Chart of Accounts'!$A195,'Yardi Report'!$A:$A,0),1)),"",INDEX('Yardi Report'!$A:$E,MATCH('Chart of Accounts'!$A195,'Yardi Report'!$A:$A,0),1))</f>
        <v/>
      </c>
      <c r="B189" t="str">
        <f>IF(ISNA(INDEX('Yardi Report'!$A:$E,MATCH('Chart of Accounts'!$A195,'Yardi Report'!$A:$A,0),2)),"",INDEX('Yardi Report'!$A:$E,MATCH('Chart of Accounts'!$A195,'Yardi Report'!$A:$A,0),2))</f>
        <v/>
      </c>
      <c r="C189" t="str">
        <f>IF(A189="","",MAX($C$1:C188)+1)</f>
        <v/>
      </c>
      <c r="E189" t="str">
        <f t="shared" si="6"/>
        <v xml:space="preserve"> </v>
      </c>
      <c r="G189">
        <f t="shared" si="7"/>
        <v>189</v>
      </c>
    </row>
    <row r="190" spans="1:7">
      <c r="A190" t="str">
        <f>IF(ISNA(INDEX('Yardi Report'!$A:$E,MATCH('Chart of Accounts'!$A196,'Yardi Report'!$A:$A,0),1)),"",INDEX('Yardi Report'!$A:$E,MATCH('Chart of Accounts'!$A196,'Yardi Report'!$A:$A,0),1))</f>
        <v>1200-0000</v>
      </c>
      <c r="B190" t="str">
        <f>IF(ISNA(INDEX('Yardi Report'!$A:$E,MATCH('Chart of Accounts'!$A196,'Yardi Report'!$A:$A,0),2)),"",INDEX('Yardi Report'!$A:$E,MATCH('Chart of Accounts'!$A196,'Yardi Report'!$A:$A,0),2))</f>
        <v xml:space="preserve"> RESTRICTED CASH</v>
      </c>
      <c r="C190">
        <f>IF(A190="","",MAX($C$1:C189)+1)</f>
        <v>6</v>
      </c>
      <c r="E190" t="str">
        <f t="shared" si="6"/>
        <v>1200-0000  RESTRICTED CASH</v>
      </c>
      <c r="G190">
        <f t="shared" si="7"/>
        <v>190</v>
      </c>
    </row>
    <row r="191" spans="1:7">
      <c r="A191" t="str">
        <f>IF(ISNA(INDEX('Yardi Report'!$A:$E,MATCH('Chart of Accounts'!$A197,'Yardi Report'!$A:$A,0),1)),"",INDEX('Yardi Report'!$A:$E,MATCH('Chart of Accounts'!$A197,'Yardi Report'!$A:$A,0),1))</f>
        <v/>
      </c>
      <c r="B191" t="str">
        <f>IF(ISNA(INDEX('Yardi Report'!$A:$E,MATCH('Chart of Accounts'!$A197,'Yardi Report'!$A:$A,0),2)),"",INDEX('Yardi Report'!$A:$E,MATCH('Chart of Accounts'!$A197,'Yardi Report'!$A:$A,0),2))</f>
        <v/>
      </c>
      <c r="C191" t="str">
        <f>IF(A191="","",MAX($C$1:C190)+1)</f>
        <v/>
      </c>
      <c r="E191" t="str">
        <f t="shared" si="6"/>
        <v xml:space="preserve"> </v>
      </c>
      <c r="G191">
        <f t="shared" si="7"/>
        <v>191</v>
      </c>
    </row>
    <row r="192" spans="1:7">
      <c r="A192" t="str">
        <f>IF(ISNA(INDEX('Yardi Report'!$A:$E,MATCH('Chart of Accounts'!$A198,'Yardi Report'!$A:$A,0),1)),"",INDEX('Yardi Report'!$A:$E,MATCH('Chart of Accounts'!$A198,'Yardi Report'!$A:$A,0),1))</f>
        <v/>
      </c>
      <c r="B192" t="str">
        <f>IF(ISNA(INDEX('Yardi Report'!$A:$E,MATCH('Chart of Accounts'!$A198,'Yardi Report'!$A:$A,0),2)),"",INDEX('Yardi Report'!$A:$E,MATCH('Chart of Accounts'!$A198,'Yardi Report'!$A:$A,0),2))</f>
        <v/>
      </c>
      <c r="C192" t="str">
        <f>IF(A192="","",MAX($C$1:C191)+1)</f>
        <v/>
      </c>
      <c r="E192" t="str">
        <f t="shared" si="6"/>
        <v xml:space="preserve"> </v>
      </c>
      <c r="G192">
        <f t="shared" si="7"/>
        <v>192</v>
      </c>
    </row>
    <row r="193" spans="1:7">
      <c r="A193" t="str">
        <f>IF(ISNA(INDEX('Yardi Report'!$A:$E,MATCH('Chart of Accounts'!$A199,'Yardi Report'!$A:$A,0),1)),"",INDEX('Yardi Report'!$A:$E,MATCH('Chart of Accounts'!$A199,'Yardi Report'!$A:$A,0),1))</f>
        <v>1200-0003</v>
      </c>
      <c r="B193" t="str">
        <f>IF(ISNA(INDEX('Yardi Report'!$A:$E,MATCH('Chart of Accounts'!$A199,'Yardi Report'!$A:$A,0),2)),"",INDEX('Yardi Report'!$A:$E,MATCH('Chart of Accounts'!$A199,'Yardi Report'!$A:$A,0),2))</f>
        <v xml:space="preserve">  Escrow Reserve</v>
      </c>
      <c r="C193">
        <f>IF(A193="","",MAX($C$1:C192)+1)</f>
        <v>7</v>
      </c>
      <c r="E193" t="str">
        <f t="shared" si="6"/>
        <v>1200-0003   Escrow Reserve</v>
      </c>
      <c r="G193">
        <f t="shared" si="7"/>
        <v>193</v>
      </c>
    </row>
    <row r="194" spans="1:7">
      <c r="A194" t="str">
        <f>IF(ISNA(INDEX('Yardi Report'!$A:$E,MATCH('Chart of Accounts'!$A200,'Yardi Report'!$A:$A,0),1)),"",INDEX('Yardi Report'!$A:$E,MATCH('Chart of Accounts'!$A200,'Yardi Report'!$A:$A,0),1))</f>
        <v/>
      </c>
      <c r="B194" t="str">
        <f>IF(ISNA(INDEX('Yardi Report'!$A:$E,MATCH('Chart of Accounts'!$A200,'Yardi Report'!$A:$A,0),2)),"",INDEX('Yardi Report'!$A:$E,MATCH('Chart of Accounts'!$A200,'Yardi Report'!$A:$A,0),2))</f>
        <v/>
      </c>
      <c r="C194" t="str">
        <f>IF(A194="","",MAX($C$1:C193)+1)</f>
        <v/>
      </c>
      <c r="E194" t="str">
        <f t="shared" ref="E194:E257" si="8">A194&amp;" "&amp;B194</f>
        <v xml:space="preserve"> </v>
      </c>
      <c r="G194">
        <f t="shared" si="7"/>
        <v>194</v>
      </c>
    </row>
    <row r="195" spans="1:7">
      <c r="A195" t="str">
        <f>IF(ISNA(INDEX('Yardi Report'!$A:$E,MATCH('Chart of Accounts'!$A201,'Yardi Report'!$A:$A,0),1)),"",INDEX('Yardi Report'!$A:$E,MATCH('Chart of Accounts'!$A201,'Yardi Report'!$A:$A,0),1))</f>
        <v>1200-0005</v>
      </c>
      <c r="B195" t="str">
        <f>IF(ISNA(INDEX('Yardi Report'!$A:$E,MATCH('Chart of Accounts'!$A201,'Yardi Report'!$A:$A,0),2)),"",INDEX('Yardi Report'!$A:$E,MATCH('Chart of Accounts'!$A201,'Yardi Report'!$A:$A,0),2))</f>
        <v xml:space="preserve">  Utility Security Deposits</v>
      </c>
      <c r="C195">
        <f>IF(A195="","",MAX($C$1:C194)+1)</f>
        <v>8</v>
      </c>
      <c r="E195" t="str">
        <f t="shared" si="8"/>
        <v>1200-0005   Utility Security Deposits</v>
      </c>
      <c r="G195">
        <f t="shared" ref="G195:G258" si="9">+G194+1</f>
        <v>195</v>
      </c>
    </row>
    <row r="196" spans="1:7">
      <c r="A196" t="str">
        <f>IF(ISNA(INDEX('Yardi Report'!$A:$E,MATCH('Chart of Accounts'!$A202,'Yardi Report'!$A:$A,0),1)),"",INDEX('Yardi Report'!$A:$E,MATCH('Chart of Accounts'!$A202,'Yardi Report'!$A:$A,0),1))</f>
        <v>1200-0006</v>
      </c>
      <c r="B196" t="str">
        <f>IF(ISNA(INDEX('Yardi Report'!$A:$E,MATCH('Chart of Accounts'!$A202,'Yardi Report'!$A:$A,0),2)),"",INDEX('Yardi Report'!$A:$E,MATCH('Chart of Accounts'!$A202,'Yardi Report'!$A:$A,0),2))</f>
        <v xml:space="preserve">  Crown Point West Centier</v>
      </c>
      <c r="C196">
        <f>IF(A196="","",MAX($C$1:C195)+1)</f>
        <v>9</v>
      </c>
      <c r="E196" t="str">
        <f t="shared" si="8"/>
        <v>1200-0006   Crown Point West Centier</v>
      </c>
      <c r="G196">
        <f t="shared" si="9"/>
        <v>196</v>
      </c>
    </row>
    <row r="197" spans="1:7">
      <c r="A197" t="str">
        <f>IF(ISNA(INDEX('Yardi Report'!$A:$E,MATCH('Chart of Accounts'!$A203,'Yardi Report'!$A:$A,0),1)),"",INDEX('Yardi Report'!$A:$E,MATCH('Chart of Accounts'!$A203,'Yardi Report'!$A:$A,0),1))</f>
        <v/>
      </c>
      <c r="B197" t="str">
        <f>IF(ISNA(INDEX('Yardi Report'!$A:$E,MATCH('Chart of Accounts'!$A203,'Yardi Report'!$A:$A,0),2)),"",INDEX('Yardi Report'!$A:$E,MATCH('Chart of Accounts'!$A203,'Yardi Report'!$A:$A,0),2))</f>
        <v/>
      </c>
      <c r="C197" t="str">
        <f>IF(A197="","",MAX($C$1:C196)+1)</f>
        <v/>
      </c>
      <c r="E197" t="str">
        <f t="shared" si="8"/>
        <v xml:space="preserve"> </v>
      </c>
      <c r="G197">
        <f t="shared" si="9"/>
        <v>197</v>
      </c>
    </row>
    <row r="198" spans="1:7">
      <c r="A198" t="str">
        <f>IF(ISNA(INDEX('Yardi Report'!$A:$E,MATCH('Chart of Accounts'!$A204,'Yardi Report'!$A:$A,0),1)),"",INDEX('Yardi Report'!$A:$E,MATCH('Chart of Accounts'!$A204,'Yardi Report'!$A:$A,0),1))</f>
        <v>1200-0008</v>
      </c>
      <c r="B198" t="str">
        <f>IF(ISNA(INDEX('Yardi Report'!$A:$E,MATCH('Chart of Accounts'!$A204,'Yardi Report'!$A:$A,0),2)),"",INDEX('Yardi Report'!$A:$E,MATCH('Chart of Accounts'!$A204,'Yardi Report'!$A:$A,0),2))</f>
        <v xml:space="preserve">  SS of Crown Point West Held</v>
      </c>
      <c r="C198">
        <f>IF(A198="","",MAX($C$1:C197)+1)</f>
        <v>10</v>
      </c>
      <c r="E198" t="str">
        <f t="shared" si="8"/>
        <v>1200-0008   SS of Crown Point West Held</v>
      </c>
      <c r="G198">
        <f t="shared" si="9"/>
        <v>198</v>
      </c>
    </row>
    <row r="199" spans="1:7">
      <c r="A199" t="str">
        <f>IF(ISNA(INDEX('Yardi Report'!$A:$E,MATCH('Chart of Accounts'!$A205,'Yardi Report'!$A:$A,0),1)),"",INDEX('Yardi Report'!$A:$E,MATCH('Chart of Accounts'!$A205,'Yardi Report'!$A:$A,0),1))</f>
        <v/>
      </c>
      <c r="B199" t="str">
        <f>IF(ISNA(INDEX('Yardi Report'!$A:$E,MATCH('Chart of Accounts'!$A205,'Yardi Report'!$A:$A,0),2)),"",INDEX('Yardi Report'!$A:$E,MATCH('Chart of Accounts'!$A205,'Yardi Report'!$A:$A,0),2))</f>
        <v/>
      </c>
      <c r="C199" t="str">
        <f>IF(A199="","",MAX($C$1:C198)+1)</f>
        <v/>
      </c>
      <c r="E199" t="str">
        <f t="shared" si="8"/>
        <v xml:space="preserve"> </v>
      </c>
      <c r="G199">
        <f t="shared" si="9"/>
        <v>199</v>
      </c>
    </row>
    <row r="200" spans="1:7">
      <c r="A200" t="str">
        <f>IF(ISNA(INDEX('Yardi Report'!$A:$E,MATCH('Chart of Accounts'!$A206,'Yardi Report'!$A:$A,0),1)),"",INDEX('Yardi Report'!$A:$E,MATCH('Chart of Accounts'!$A206,'Yardi Report'!$A:$A,0),1))</f>
        <v>1250-0000</v>
      </c>
      <c r="B200" t="str">
        <f>IF(ISNA(INDEX('Yardi Report'!$A:$E,MATCH('Chart of Accounts'!$A206,'Yardi Report'!$A:$A,0),2)),"",INDEX('Yardi Report'!$A:$E,MATCH('Chart of Accounts'!$A206,'Yardi Report'!$A:$A,0),2))</f>
        <v xml:space="preserve">  TOTAL RESTRICTED CASH</v>
      </c>
      <c r="C200">
        <f>IF(A200="","",MAX($C$1:C199)+1)</f>
        <v>11</v>
      </c>
      <c r="E200" t="str">
        <f t="shared" si="8"/>
        <v>1250-0000   TOTAL RESTRICTED CASH</v>
      </c>
      <c r="G200">
        <f t="shared" si="9"/>
        <v>200</v>
      </c>
    </row>
    <row r="201" spans="1:7">
      <c r="A201" t="str">
        <f>IF(ISNA(INDEX('Yardi Report'!$A:$E,MATCH('Chart of Accounts'!$A207,'Yardi Report'!$A:$A,0),1)),"",INDEX('Yardi Report'!$A:$E,MATCH('Chart of Accounts'!$A207,'Yardi Report'!$A:$A,0),1))</f>
        <v>1300-0000</v>
      </c>
      <c r="B201" t="str">
        <f>IF(ISNA(INDEX('Yardi Report'!$A:$E,MATCH('Chart of Accounts'!$A207,'Yardi Report'!$A:$A,0),2)),"",INDEX('Yardi Report'!$A:$E,MATCH('Chart of Accounts'!$A207,'Yardi Report'!$A:$A,0),2))</f>
        <v xml:space="preserve"> Accounts Receivable</v>
      </c>
      <c r="C201">
        <f>IF(A201="","",MAX($C$1:C200)+1)</f>
        <v>12</v>
      </c>
      <c r="E201" t="str">
        <f t="shared" si="8"/>
        <v>1300-0000  Accounts Receivable</v>
      </c>
      <c r="G201">
        <f t="shared" si="9"/>
        <v>201</v>
      </c>
    </row>
    <row r="202" spans="1:7">
      <c r="A202" t="str">
        <f>IF(ISNA(INDEX('Yardi Report'!$A:$E,MATCH('Chart of Accounts'!$A208,'Yardi Report'!$A:$A,0),1)),"",INDEX('Yardi Report'!$A:$E,MATCH('Chart of Accounts'!$A208,'Yardi Report'!$A:$A,0),1))</f>
        <v>1350-0000</v>
      </c>
      <c r="B202" t="str">
        <f>IF(ISNA(INDEX('Yardi Report'!$A:$E,MATCH('Chart of Accounts'!$A208,'Yardi Report'!$A:$A,0),2)),"",INDEX('Yardi Report'!$A:$E,MATCH('Chart of Accounts'!$A208,'Yardi Report'!$A:$A,0),2))</f>
        <v xml:space="preserve"> Pre-Paid Expenses</v>
      </c>
      <c r="C202">
        <f>IF(A202="","",MAX($C$1:C201)+1)</f>
        <v>13</v>
      </c>
      <c r="E202" t="str">
        <f t="shared" si="8"/>
        <v>1350-0000  Pre-Paid Expenses</v>
      </c>
      <c r="G202">
        <f t="shared" si="9"/>
        <v>202</v>
      </c>
    </row>
    <row r="203" spans="1:7">
      <c r="A203" t="str">
        <f>IF(ISNA(INDEX('Yardi Report'!$A:$E,MATCH('Chart of Accounts'!$A209,'Yardi Report'!$A:$A,0),1)),"",INDEX('Yardi Report'!$A:$E,MATCH('Chart of Accounts'!$A209,'Yardi Report'!$A:$A,0),1))</f>
        <v>1350-0001</v>
      </c>
      <c r="B203" t="str">
        <f>IF(ISNA(INDEX('Yardi Report'!$A:$E,MATCH('Chart of Accounts'!$A209,'Yardi Report'!$A:$A,0),2)),"",INDEX('Yardi Report'!$A:$E,MATCH('Chart of Accounts'!$A209,'Yardi Report'!$A:$A,0),2))</f>
        <v xml:space="preserve"> Pre-Paid Insurance</v>
      </c>
      <c r="C203">
        <f>IF(A203="","",MAX($C$1:C202)+1)</f>
        <v>14</v>
      </c>
      <c r="E203" t="str">
        <f t="shared" si="8"/>
        <v>1350-0001  Pre-Paid Insurance</v>
      </c>
      <c r="G203">
        <f t="shared" si="9"/>
        <v>203</v>
      </c>
    </row>
    <row r="204" spans="1:7">
      <c r="A204" t="str">
        <f>IF(ISNA(INDEX('Yardi Report'!$A:$E,MATCH('Chart of Accounts'!$A210,'Yardi Report'!$A:$A,0),1)),"",INDEX('Yardi Report'!$A:$E,MATCH('Chart of Accounts'!$A210,'Yardi Report'!$A:$A,0),1))</f>
        <v/>
      </c>
      <c r="B204" t="str">
        <f>IF(ISNA(INDEX('Yardi Report'!$A:$E,MATCH('Chart of Accounts'!$A210,'Yardi Report'!$A:$A,0),2)),"",INDEX('Yardi Report'!$A:$E,MATCH('Chart of Accounts'!$A210,'Yardi Report'!$A:$A,0),2))</f>
        <v/>
      </c>
      <c r="C204" t="str">
        <f>IF(A204="","",MAX($C$1:C203)+1)</f>
        <v/>
      </c>
      <c r="E204" t="str">
        <f t="shared" si="8"/>
        <v xml:space="preserve"> </v>
      </c>
      <c r="G204">
        <f t="shared" si="9"/>
        <v>204</v>
      </c>
    </row>
    <row r="205" spans="1:7">
      <c r="A205" t="str">
        <f>IF(ISNA(INDEX('Yardi Report'!$A:$E,MATCH('Chart of Accounts'!$A211,'Yardi Report'!$A:$A,0),1)),"",INDEX('Yardi Report'!$A:$E,MATCH('Chart of Accounts'!$A211,'Yardi Report'!$A:$A,0),1))</f>
        <v/>
      </c>
      <c r="B205" t="str">
        <f>IF(ISNA(INDEX('Yardi Report'!$A:$E,MATCH('Chart of Accounts'!$A211,'Yardi Report'!$A:$A,0),2)),"",INDEX('Yardi Report'!$A:$E,MATCH('Chart of Accounts'!$A211,'Yardi Report'!$A:$A,0),2))</f>
        <v/>
      </c>
      <c r="C205" t="str">
        <f>IF(A205="","",MAX($C$1:C204)+1)</f>
        <v/>
      </c>
      <c r="E205" t="str">
        <f t="shared" si="8"/>
        <v xml:space="preserve"> </v>
      </c>
      <c r="G205">
        <f t="shared" si="9"/>
        <v>205</v>
      </c>
    </row>
    <row r="206" spans="1:7">
      <c r="A206" t="str">
        <f>IF(ISNA(INDEX('Yardi Report'!$A:$E,MATCH('Chart of Accounts'!$A212,'Yardi Report'!$A:$A,0),1)),"",INDEX('Yardi Report'!$A:$E,MATCH('Chart of Accounts'!$A212,'Yardi Report'!$A:$A,0),1))</f>
        <v>1350-9999</v>
      </c>
      <c r="B206" t="str">
        <f>IF(ISNA(INDEX('Yardi Report'!$A:$E,MATCH('Chart of Accounts'!$A212,'Yardi Report'!$A:$A,0),2)),"",INDEX('Yardi Report'!$A:$E,MATCH('Chart of Accounts'!$A212,'Yardi Report'!$A:$A,0),2))</f>
        <v xml:space="preserve">  Total Pre-Paid Expenses</v>
      </c>
      <c r="C206">
        <f>IF(A206="","",MAX($C$1:C205)+1)</f>
        <v>15</v>
      </c>
      <c r="E206" t="str">
        <f t="shared" si="8"/>
        <v>1350-9999   Total Pre-Paid Expenses</v>
      </c>
      <c r="G206">
        <f t="shared" si="9"/>
        <v>206</v>
      </c>
    </row>
    <row r="207" spans="1:7">
      <c r="A207" t="str">
        <f>IF(ISNA(INDEX('Yardi Report'!$A:$E,MATCH('Chart of Accounts'!$A213,'Yardi Report'!$A:$A,0),1)),"",INDEX('Yardi Report'!$A:$E,MATCH('Chart of Accounts'!$A213,'Yardi Report'!$A:$A,0),1))</f>
        <v>1400-0000</v>
      </c>
      <c r="B207" t="str">
        <f>IF(ISNA(INDEX('Yardi Report'!$A:$E,MATCH('Chart of Accounts'!$A213,'Yardi Report'!$A:$A,0),2)),"",INDEX('Yardi Report'!$A:$E,MATCH('Chart of Accounts'!$A213,'Yardi Report'!$A:$A,0),2))</f>
        <v xml:space="preserve"> PROPERTY</v>
      </c>
      <c r="C207">
        <f>IF(A207="","",MAX($C$1:C206)+1)</f>
        <v>16</v>
      </c>
      <c r="E207" t="str">
        <f t="shared" si="8"/>
        <v>1400-0000  PROPERTY</v>
      </c>
      <c r="G207">
        <f t="shared" si="9"/>
        <v>207</v>
      </c>
    </row>
    <row r="208" spans="1:7">
      <c r="A208" t="str">
        <f>IF(ISNA(INDEX('Yardi Report'!$A:$E,MATCH('Chart of Accounts'!$A214,'Yardi Report'!$A:$A,0),1)),"",INDEX('Yardi Report'!$A:$E,MATCH('Chart of Accounts'!$A214,'Yardi Report'!$A:$A,0),1))</f>
        <v/>
      </c>
      <c r="B208" t="str">
        <f>IF(ISNA(INDEX('Yardi Report'!$A:$E,MATCH('Chart of Accounts'!$A214,'Yardi Report'!$A:$A,0),2)),"",INDEX('Yardi Report'!$A:$E,MATCH('Chart of Accounts'!$A214,'Yardi Report'!$A:$A,0),2))</f>
        <v/>
      </c>
      <c r="C208" t="str">
        <f>IF(A208="","",MAX($C$1:C207)+1)</f>
        <v/>
      </c>
      <c r="E208" t="str">
        <f t="shared" si="8"/>
        <v xml:space="preserve"> </v>
      </c>
      <c r="G208">
        <f t="shared" si="9"/>
        <v>208</v>
      </c>
    </row>
    <row r="209" spans="1:7">
      <c r="A209" t="str">
        <f>IF(ISNA(INDEX('Yardi Report'!$A:$E,MATCH('Chart of Accounts'!$A215,'Yardi Report'!$A:$A,0),1)),"",INDEX('Yardi Report'!$A:$E,MATCH('Chart of Accounts'!$A215,'Yardi Report'!$A:$A,0),1))</f>
        <v/>
      </c>
      <c r="B209" t="str">
        <f>IF(ISNA(INDEX('Yardi Report'!$A:$E,MATCH('Chart of Accounts'!$A215,'Yardi Report'!$A:$A,0),2)),"",INDEX('Yardi Report'!$A:$E,MATCH('Chart of Accounts'!$A215,'Yardi Report'!$A:$A,0),2))</f>
        <v/>
      </c>
      <c r="C209" t="str">
        <f>IF(A209="","",MAX($C$1:C208)+1)</f>
        <v/>
      </c>
      <c r="E209" t="str">
        <f t="shared" si="8"/>
        <v xml:space="preserve"> </v>
      </c>
      <c r="G209">
        <f t="shared" si="9"/>
        <v>209</v>
      </c>
    </row>
    <row r="210" spans="1:7">
      <c r="A210" t="str">
        <f>IF(ISNA(INDEX('Yardi Report'!$A:$E,MATCH('Chart of Accounts'!$A216,'Yardi Report'!$A:$A,0),1)),"",INDEX('Yardi Report'!$A:$E,MATCH('Chart of Accounts'!$A216,'Yardi Report'!$A:$A,0),1))</f>
        <v/>
      </c>
      <c r="B210" t="str">
        <f>IF(ISNA(INDEX('Yardi Report'!$A:$E,MATCH('Chart of Accounts'!$A216,'Yardi Report'!$A:$A,0),2)),"",INDEX('Yardi Report'!$A:$E,MATCH('Chart of Accounts'!$A216,'Yardi Report'!$A:$A,0),2))</f>
        <v/>
      </c>
      <c r="C210" t="str">
        <f>IF(A210="","",MAX($C$1:C209)+1)</f>
        <v/>
      </c>
      <c r="E210" t="str">
        <f t="shared" si="8"/>
        <v xml:space="preserve"> </v>
      </c>
      <c r="G210">
        <f t="shared" si="9"/>
        <v>210</v>
      </c>
    </row>
    <row r="211" spans="1:7">
      <c r="A211" t="str">
        <f>IF(ISNA(INDEX('Yardi Report'!$A:$E,MATCH('Chart of Accounts'!$A217,'Yardi Report'!$A:$A,0),1)),"",INDEX('Yardi Report'!$A:$E,MATCH('Chart of Accounts'!$A217,'Yardi Report'!$A:$A,0),1))</f>
        <v/>
      </c>
      <c r="B211" t="str">
        <f>IF(ISNA(INDEX('Yardi Report'!$A:$E,MATCH('Chart of Accounts'!$A217,'Yardi Report'!$A:$A,0),2)),"",INDEX('Yardi Report'!$A:$E,MATCH('Chart of Accounts'!$A217,'Yardi Report'!$A:$A,0),2))</f>
        <v/>
      </c>
      <c r="C211" t="str">
        <f>IF(A211="","",MAX($C$1:C210)+1)</f>
        <v/>
      </c>
      <c r="E211" t="str">
        <f t="shared" si="8"/>
        <v xml:space="preserve"> </v>
      </c>
      <c r="G211">
        <f t="shared" si="9"/>
        <v>211</v>
      </c>
    </row>
    <row r="212" spans="1:7">
      <c r="A212" t="str">
        <f>IF(ISNA(INDEX('Yardi Report'!$A:$E,MATCH('Chart of Accounts'!$A218,'Yardi Report'!$A:$A,0),1)),"",INDEX('Yardi Report'!$A:$E,MATCH('Chart of Accounts'!$A218,'Yardi Report'!$A:$A,0),1))</f>
        <v/>
      </c>
      <c r="B212" t="str">
        <f>IF(ISNA(INDEX('Yardi Report'!$A:$E,MATCH('Chart of Accounts'!$A218,'Yardi Report'!$A:$A,0),2)),"",INDEX('Yardi Report'!$A:$E,MATCH('Chart of Accounts'!$A218,'Yardi Report'!$A:$A,0),2))</f>
        <v/>
      </c>
      <c r="C212" t="str">
        <f>IF(A212="","",MAX($C$1:C211)+1)</f>
        <v/>
      </c>
      <c r="E212" t="str">
        <f t="shared" si="8"/>
        <v xml:space="preserve"> </v>
      </c>
      <c r="G212">
        <f t="shared" si="9"/>
        <v>212</v>
      </c>
    </row>
    <row r="213" spans="1:7">
      <c r="A213" t="str">
        <f>IF(ISNA(INDEX('Yardi Report'!$A:$E,MATCH('Chart of Accounts'!$A219,'Yardi Report'!$A:$A,0),1)),"",INDEX('Yardi Report'!$A:$E,MATCH('Chart of Accounts'!$A219,'Yardi Report'!$A:$A,0),1))</f>
        <v/>
      </c>
      <c r="B213" t="str">
        <f>IF(ISNA(INDEX('Yardi Report'!$A:$E,MATCH('Chart of Accounts'!$A219,'Yardi Report'!$A:$A,0),2)),"",INDEX('Yardi Report'!$A:$E,MATCH('Chart of Accounts'!$A219,'Yardi Report'!$A:$A,0),2))</f>
        <v/>
      </c>
      <c r="C213" t="str">
        <f>IF(A213="","",MAX($C$1:C212)+1)</f>
        <v/>
      </c>
      <c r="E213" t="str">
        <f t="shared" si="8"/>
        <v xml:space="preserve"> </v>
      </c>
      <c r="G213">
        <f t="shared" si="9"/>
        <v>213</v>
      </c>
    </row>
    <row r="214" spans="1:7">
      <c r="A214" t="str">
        <f>IF(ISNA(INDEX('Yardi Report'!$A:$E,MATCH('Chart of Accounts'!$A220,'Yardi Report'!$A:$A,0),1)),"",INDEX('Yardi Report'!$A:$E,MATCH('Chart of Accounts'!$A220,'Yardi Report'!$A:$A,0),1))</f>
        <v/>
      </c>
      <c r="B214" t="str">
        <f>IF(ISNA(INDEX('Yardi Report'!$A:$E,MATCH('Chart of Accounts'!$A220,'Yardi Report'!$A:$A,0),2)),"",INDEX('Yardi Report'!$A:$E,MATCH('Chart of Accounts'!$A220,'Yardi Report'!$A:$A,0),2))</f>
        <v/>
      </c>
      <c r="C214" t="str">
        <f>IF(A214="","",MAX($C$1:C213)+1)</f>
        <v/>
      </c>
      <c r="E214" t="str">
        <f t="shared" si="8"/>
        <v xml:space="preserve"> </v>
      </c>
      <c r="G214">
        <f t="shared" si="9"/>
        <v>214</v>
      </c>
    </row>
    <row r="215" spans="1:7">
      <c r="A215" t="str">
        <f>IF(ISNA(INDEX('Yardi Report'!$A:$E,MATCH('Chart of Accounts'!$A221,'Yardi Report'!$A:$A,0),1)),"",INDEX('Yardi Report'!$A:$E,MATCH('Chart of Accounts'!$A221,'Yardi Report'!$A:$A,0),1))</f>
        <v>1410-0000</v>
      </c>
      <c r="B215" t="str">
        <f>IF(ISNA(INDEX('Yardi Report'!$A:$E,MATCH('Chart of Accounts'!$A221,'Yardi Report'!$A:$A,0),2)),"",INDEX('Yardi Report'!$A:$E,MATCH('Chart of Accounts'!$A221,'Yardi Report'!$A:$A,0),2))</f>
        <v xml:space="preserve"> Land</v>
      </c>
      <c r="C215">
        <f>IF(A215="","",MAX($C$1:C214)+1)</f>
        <v>17</v>
      </c>
      <c r="E215" t="str">
        <f t="shared" si="8"/>
        <v>1410-0000  Land</v>
      </c>
      <c r="G215">
        <f t="shared" si="9"/>
        <v>215</v>
      </c>
    </row>
    <row r="216" spans="1:7">
      <c r="A216" t="str">
        <f>IF(ISNA(INDEX('Yardi Report'!$A:$E,MATCH('Chart of Accounts'!$A222,'Yardi Report'!$A:$A,0),1)),"",INDEX('Yardi Report'!$A:$E,MATCH('Chart of Accounts'!$A222,'Yardi Report'!$A:$A,0),1))</f>
        <v/>
      </c>
      <c r="B216" t="str">
        <f>IF(ISNA(INDEX('Yardi Report'!$A:$E,MATCH('Chart of Accounts'!$A222,'Yardi Report'!$A:$A,0),2)),"",INDEX('Yardi Report'!$A:$E,MATCH('Chart of Accounts'!$A222,'Yardi Report'!$A:$A,0),2))</f>
        <v/>
      </c>
      <c r="C216" t="str">
        <f>IF(A216="","",MAX($C$1:C215)+1)</f>
        <v/>
      </c>
      <c r="E216" t="str">
        <f t="shared" si="8"/>
        <v xml:space="preserve"> </v>
      </c>
      <c r="G216">
        <f t="shared" si="9"/>
        <v>216</v>
      </c>
    </row>
    <row r="217" spans="1:7">
      <c r="A217" t="str">
        <f>IF(ISNA(INDEX('Yardi Report'!$A:$E,MATCH('Chart of Accounts'!$A223,'Yardi Report'!$A:$A,0),1)),"",INDEX('Yardi Report'!$A:$E,MATCH('Chart of Accounts'!$A223,'Yardi Report'!$A:$A,0),1))</f>
        <v/>
      </c>
      <c r="B217" t="str">
        <f>IF(ISNA(INDEX('Yardi Report'!$A:$E,MATCH('Chart of Accounts'!$A223,'Yardi Report'!$A:$A,0),2)),"",INDEX('Yardi Report'!$A:$E,MATCH('Chart of Accounts'!$A223,'Yardi Report'!$A:$A,0),2))</f>
        <v/>
      </c>
      <c r="C217" t="str">
        <f>IF(A217="","",MAX($C$1:C216)+1)</f>
        <v/>
      </c>
      <c r="E217" t="str">
        <f t="shared" si="8"/>
        <v xml:space="preserve"> </v>
      </c>
      <c r="G217">
        <f t="shared" si="9"/>
        <v>217</v>
      </c>
    </row>
    <row r="218" spans="1:7">
      <c r="A218" t="str">
        <f>IF(ISNA(INDEX('Yardi Report'!$A:$E,MATCH('Chart of Accounts'!$A224,'Yardi Report'!$A:$A,0),1)),"",INDEX('Yardi Report'!$A:$E,MATCH('Chart of Accounts'!$A224,'Yardi Report'!$A:$A,0),1))</f>
        <v/>
      </c>
      <c r="B218" t="str">
        <f>IF(ISNA(INDEX('Yardi Report'!$A:$E,MATCH('Chart of Accounts'!$A224,'Yardi Report'!$A:$A,0),2)),"",INDEX('Yardi Report'!$A:$E,MATCH('Chart of Accounts'!$A224,'Yardi Report'!$A:$A,0),2))</f>
        <v/>
      </c>
      <c r="C218" t="str">
        <f>IF(A218="","",MAX($C$1:C217)+1)</f>
        <v/>
      </c>
      <c r="E218" t="str">
        <f t="shared" si="8"/>
        <v xml:space="preserve"> </v>
      </c>
      <c r="G218">
        <f t="shared" si="9"/>
        <v>218</v>
      </c>
    </row>
    <row r="219" spans="1:7">
      <c r="A219" t="str">
        <f>IF(ISNA(INDEX('Yardi Report'!$A:$E,MATCH('Chart of Accounts'!$A225,'Yardi Report'!$A:$A,0),1)),"",INDEX('Yardi Report'!$A:$E,MATCH('Chart of Accounts'!$A225,'Yardi Report'!$A:$A,0),1))</f>
        <v/>
      </c>
      <c r="B219" t="str">
        <f>IF(ISNA(INDEX('Yardi Report'!$A:$E,MATCH('Chart of Accounts'!$A225,'Yardi Report'!$A:$A,0),2)),"",INDEX('Yardi Report'!$A:$E,MATCH('Chart of Accounts'!$A225,'Yardi Report'!$A:$A,0),2))</f>
        <v/>
      </c>
      <c r="C219" t="str">
        <f>IF(A219="","",MAX($C$1:C218)+1)</f>
        <v/>
      </c>
      <c r="E219" t="str">
        <f t="shared" si="8"/>
        <v xml:space="preserve"> </v>
      </c>
      <c r="G219">
        <f t="shared" si="9"/>
        <v>219</v>
      </c>
    </row>
    <row r="220" spans="1:7">
      <c r="A220" t="str">
        <f>IF(ISNA(INDEX('Yardi Report'!$A:$E,MATCH('Chart of Accounts'!$A226,'Yardi Report'!$A:$A,0),1)),"",INDEX('Yardi Report'!$A:$E,MATCH('Chart of Accounts'!$A226,'Yardi Report'!$A:$A,0),1))</f>
        <v/>
      </c>
      <c r="B220" t="str">
        <f>IF(ISNA(INDEX('Yardi Report'!$A:$E,MATCH('Chart of Accounts'!$A226,'Yardi Report'!$A:$A,0),2)),"",INDEX('Yardi Report'!$A:$E,MATCH('Chart of Accounts'!$A226,'Yardi Report'!$A:$A,0),2))</f>
        <v/>
      </c>
      <c r="C220" t="str">
        <f>IF(A220="","",MAX($C$1:C219)+1)</f>
        <v/>
      </c>
      <c r="E220" t="str">
        <f t="shared" si="8"/>
        <v xml:space="preserve"> </v>
      </c>
      <c r="G220">
        <f t="shared" si="9"/>
        <v>220</v>
      </c>
    </row>
    <row r="221" spans="1:7">
      <c r="A221" t="str">
        <f>IF(ISNA(INDEX('Yardi Report'!$A:$E,MATCH('Chart of Accounts'!$A227,'Yardi Report'!$A:$A,0),1)),"",INDEX('Yardi Report'!$A:$E,MATCH('Chart of Accounts'!$A227,'Yardi Report'!$A:$A,0),1))</f>
        <v/>
      </c>
      <c r="B221" t="str">
        <f>IF(ISNA(INDEX('Yardi Report'!$A:$E,MATCH('Chart of Accounts'!$A227,'Yardi Report'!$A:$A,0),2)),"",INDEX('Yardi Report'!$A:$E,MATCH('Chart of Accounts'!$A227,'Yardi Report'!$A:$A,0),2))</f>
        <v/>
      </c>
      <c r="C221" t="str">
        <f>IF(A221="","",MAX($C$1:C220)+1)</f>
        <v/>
      </c>
      <c r="E221" t="str">
        <f t="shared" si="8"/>
        <v xml:space="preserve"> </v>
      </c>
      <c r="G221">
        <f t="shared" si="9"/>
        <v>221</v>
      </c>
    </row>
    <row r="222" spans="1:7">
      <c r="A222" t="str">
        <f>IF(ISNA(INDEX('Yardi Report'!$A:$E,MATCH('Chart of Accounts'!$A228,'Yardi Report'!$A:$A,0),1)),"",INDEX('Yardi Report'!$A:$E,MATCH('Chart of Accounts'!$A228,'Yardi Report'!$A:$A,0),1))</f>
        <v/>
      </c>
      <c r="B222" t="str">
        <f>IF(ISNA(INDEX('Yardi Report'!$A:$E,MATCH('Chart of Accounts'!$A228,'Yardi Report'!$A:$A,0),2)),"",INDEX('Yardi Report'!$A:$E,MATCH('Chart of Accounts'!$A228,'Yardi Report'!$A:$A,0),2))</f>
        <v/>
      </c>
      <c r="C222" t="str">
        <f>IF(A222="","",MAX($C$1:C221)+1)</f>
        <v/>
      </c>
      <c r="E222" t="str">
        <f t="shared" si="8"/>
        <v xml:space="preserve"> </v>
      </c>
      <c r="G222">
        <f t="shared" si="9"/>
        <v>222</v>
      </c>
    </row>
    <row r="223" spans="1:7">
      <c r="A223" t="str">
        <f>IF(ISNA(INDEX('Yardi Report'!$A:$E,MATCH('Chart of Accounts'!$A229,'Yardi Report'!$A:$A,0),1)),"",INDEX('Yardi Report'!$A:$E,MATCH('Chart of Accounts'!$A229,'Yardi Report'!$A:$A,0),1))</f>
        <v/>
      </c>
      <c r="B223" t="str">
        <f>IF(ISNA(INDEX('Yardi Report'!$A:$E,MATCH('Chart of Accounts'!$A229,'Yardi Report'!$A:$A,0),2)),"",INDEX('Yardi Report'!$A:$E,MATCH('Chart of Accounts'!$A229,'Yardi Report'!$A:$A,0),2))</f>
        <v/>
      </c>
      <c r="C223" t="str">
        <f>IF(A223="","",MAX($C$1:C222)+1)</f>
        <v/>
      </c>
      <c r="E223" t="str">
        <f t="shared" si="8"/>
        <v xml:space="preserve"> </v>
      </c>
      <c r="G223">
        <f t="shared" si="9"/>
        <v>223</v>
      </c>
    </row>
    <row r="224" spans="1:7">
      <c r="A224" t="str">
        <f>IF(ISNA(INDEX('Yardi Report'!$A:$E,MATCH('Chart of Accounts'!$A230,'Yardi Report'!$A:$A,0),1)),"",INDEX('Yardi Report'!$A:$E,MATCH('Chart of Accounts'!$A230,'Yardi Report'!$A:$A,0),1))</f>
        <v/>
      </c>
      <c r="B224" t="str">
        <f>IF(ISNA(INDEX('Yardi Report'!$A:$E,MATCH('Chart of Accounts'!$A230,'Yardi Report'!$A:$A,0),2)),"",INDEX('Yardi Report'!$A:$E,MATCH('Chart of Accounts'!$A230,'Yardi Report'!$A:$A,0),2))</f>
        <v/>
      </c>
      <c r="C224" t="str">
        <f>IF(A224="","",MAX($C$1:C223)+1)</f>
        <v/>
      </c>
      <c r="E224" t="str">
        <f t="shared" si="8"/>
        <v xml:space="preserve"> </v>
      </c>
      <c r="G224">
        <f t="shared" si="9"/>
        <v>224</v>
      </c>
    </row>
    <row r="225" spans="1:7">
      <c r="A225" t="str">
        <f>IF(ISNA(INDEX('Yardi Report'!$A:$E,MATCH('Chart of Accounts'!$A231,'Yardi Report'!$A:$A,0),1)),"",INDEX('Yardi Report'!$A:$E,MATCH('Chart of Accounts'!$A231,'Yardi Report'!$A:$A,0),1))</f>
        <v/>
      </c>
      <c r="B225" t="str">
        <f>IF(ISNA(INDEX('Yardi Report'!$A:$E,MATCH('Chart of Accounts'!$A231,'Yardi Report'!$A:$A,0),2)),"",INDEX('Yardi Report'!$A:$E,MATCH('Chart of Accounts'!$A231,'Yardi Report'!$A:$A,0),2))</f>
        <v/>
      </c>
      <c r="C225" t="str">
        <f>IF(A225="","",MAX($C$1:C224)+1)</f>
        <v/>
      </c>
      <c r="E225" t="str">
        <f t="shared" si="8"/>
        <v xml:space="preserve"> </v>
      </c>
      <c r="G225">
        <f t="shared" si="9"/>
        <v>225</v>
      </c>
    </row>
    <row r="226" spans="1:7">
      <c r="A226" t="str">
        <f>IF(ISNA(INDEX('Yardi Report'!$A:$E,MATCH('Chart of Accounts'!$A232,'Yardi Report'!$A:$A,0),1)),"",INDEX('Yardi Report'!$A:$E,MATCH('Chart of Accounts'!$A232,'Yardi Report'!$A:$A,0),1))</f>
        <v/>
      </c>
      <c r="B226" t="str">
        <f>IF(ISNA(INDEX('Yardi Report'!$A:$E,MATCH('Chart of Accounts'!$A232,'Yardi Report'!$A:$A,0),2)),"",INDEX('Yardi Report'!$A:$E,MATCH('Chart of Accounts'!$A232,'Yardi Report'!$A:$A,0),2))</f>
        <v/>
      </c>
      <c r="C226" t="str">
        <f>IF(A226="","",MAX($C$1:C225)+1)</f>
        <v/>
      </c>
      <c r="E226" t="str">
        <f t="shared" si="8"/>
        <v xml:space="preserve"> </v>
      </c>
      <c r="G226">
        <f t="shared" si="9"/>
        <v>226</v>
      </c>
    </row>
    <row r="227" spans="1:7">
      <c r="A227" t="str">
        <f>IF(ISNA(INDEX('Yardi Report'!$A:$E,MATCH('Chart of Accounts'!$A233,'Yardi Report'!$A:$A,0),1)),"",INDEX('Yardi Report'!$A:$E,MATCH('Chart of Accounts'!$A233,'Yardi Report'!$A:$A,0),1))</f>
        <v/>
      </c>
      <c r="B227" t="str">
        <f>IF(ISNA(INDEX('Yardi Report'!$A:$E,MATCH('Chart of Accounts'!$A233,'Yardi Report'!$A:$A,0),2)),"",INDEX('Yardi Report'!$A:$E,MATCH('Chart of Accounts'!$A233,'Yardi Report'!$A:$A,0),2))</f>
        <v/>
      </c>
      <c r="C227" t="str">
        <f>IF(A227="","",MAX($C$1:C226)+1)</f>
        <v/>
      </c>
      <c r="E227" t="str">
        <f t="shared" si="8"/>
        <v xml:space="preserve"> </v>
      </c>
      <c r="G227">
        <f t="shared" si="9"/>
        <v>227</v>
      </c>
    </row>
    <row r="228" spans="1:7">
      <c r="A228" t="str">
        <f>IF(ISNA(INDEX('Yardi Report'!$A:$E,MATCH('Chart of Accounts'!$A234,'Yardi Report'!$A:$A,0),1)),"",INDEX('Yardi Report'!$A:$E,MATCH('Chart of Accounts'!$A234,'Yardi Report'!$A:$A,0),1))</f>
        <v/>
      </c>
      <c r="B228" t="str">
        <f>IF(ISNA(INDEX('Yardi Report'!$A:$E,MATCH('Chart of Accounts'!$A234,'Yardi Report'!$A:$A,0),2)),"",INDEX('Yardi Report'!$A:$E,MATCH('Chart of Accounts'!$A234,'Yardi Report'!$A:$A,0),2))</f>
        <v/>
      </c>
      <c r="C228" t="str">
        <f>IF(A228="","",MAX($C$1:C227)+1)</f>
        <v/>
      </c>
      <c r="E228" t="str">
        <f t="shared" si="8"/>
        <v xml:space="preserve"> </v>
      </c>
      <c r="G228">
        <f t="shared" si="9"/>
        <v>228</v>
      </c>
    </row>
    <row r="229" spans="1:7">
      <c r="A229" t="str">
        <f>IF(ISNA(INDEX('Yardi Report'!$A:$E,MATCH('Chart of Accounts'!$A235,'Yardi Report'!$A:$A,0),1)),"",INDEX('Yardi Report'!$A:$E,MATCH('Chart of Accounts'!$A235,'Yardi Report'!$A:$A,0),1))</f>
        <v>1500-0000</v>
      </c>
      <c r="B229" t="str">
        <f>IF(ISNA(INDEX('Yardi Report'!$A:$E,MATCH('Chart of Accounts'!$A235,'Yardi Report'!$A:$A,0),2)),"",INDEX('Yardi Report'!$A:$E,MATCH('Chart of Accounts'!$A235,'Yardi Report'!$A:$A,0),2))</f>
        <v xml:space="preserve"> Building</v>
      </c>
      <c r="C229">
        <f>IF(A229="","",MAX($C$1:C228)+1)</f>
        <v>18</v>
      </c>
      <c r="E229" t="str">
        <f t="shared" si="8"/>
        <v>1500-0000  Building</v>
      </c>
      <c r="G229">
        <f t="shared" si="9"/>
        <v>229</v>
      </c>
    </row>
    <row r="230" spans="1:7">
      <c r="A230" t="str">
        <f>IF(ISNA(INDEX('Yardi Report'!$A:$E,MATCH('Chart of Accounts'!$A236,'Yardi Report'!$A:$A,0),1)),"",INDEX('Yardi Report'!$A:$E,MATCH('Chart of Accounts'!$A236,'Yardi Report'!$A:$A,0),1))</f>
        <v>1500-0001</v>
      </c>
      <c r="B230" t="str">
        <f>IF(ISNA(INDEX('Yardi Report'!$A:$E,MATCH('Chart of Accounts'!$A236,'Yardi Report'!$A:$A,0),2)),"",INDEX('Yardi Report'!$A:$E,MATCH('Chart of Accounts'!$A236,'Yardi Report'!$A:$A,0),2))</f>
        <v xml:space="preserve"> 5 Year Property</v>
      </c>
      <c r="C230">
        <f>IF(A230="","",MAX($C$1:C229)+1)</f>
        <v>19</v>
      </c>
      <c r="E230" t="str">
        <f t="shared" si="8"/>
        <v>1500-0001  5 Year Property</v>
      </c>
      <c r="G230">
        <f t="shared" si="9"/>
        <v>230</v>
      </c>
    </row>
    <row r="231" spans="1:7">
      <c r="A231" t="str">
        <f>IF(ISNA(INDEX('Yardi Report'!$A:$E,MATCH('Chart of Accounts'!$A237,'Yardi Report'!$A:$A,0),1)),"",INDEX('Yardi Report'!$A:$E,MATCH('Chart of Accounts'!$A237,'Yardi Report'!$A:$A,0),1))</f>
        <v/>
      </c>
      <c r="B231" t="str">
        <f>IF(ISNA(INDEX('Yardi Report'!$A:$E,MATCH('Chart of Accounts'!$A237,'Yardi Report'!$A:$A,0),2)),"",INDEX('Yardi Report'!$A:$E,MATCH('Chart of Accounts'!$A237,'Yardi Report'!$A:$A,0),2))</f>
        <v/>
      </c>
      <c r="C231" t="str">
        <f>IF(A231="","",MAX($C$1:C230)+1)</f>
        <v/>
      </c>
      <c r="E231" t="str">
        <f t="shared" si="8"/>
        <v xml:space="preserve"> </v>
      </c>
      <c r="G231">
        <f t="shared" si="9"/>
        <v>231</v>
      </c>
    </row>
    <row r="232" spans="1:7">
      <c r="A232" t="str">
        <f>IF(ISNA(INDEX('Yardi Report'!$A:$E,MATCH('Chart of Accounts'!$A238,'Yardi Report'!$A:$A,0),1)),"",INDEX('Yardi Report'!$A:$E,MATCH('Chart of Accounts'!$A238,'Yardi Report'!$A:$A,0),1))</f>
        <v/>
      </c>
      <c r="B232" t="str">
        <f>IF(ISNA(INDEX('Yardi Report'!$A:$E,MATCH('Chart of Accounts'!$A238,'Yardi Report'!$A:$A,0),2)),"",INDEX('Yardi Report'!$A:$E,MATCH('Chart of Accounts'!$A238,'Yardi Report'!$A:$A,0),2))</f>
        <v/>
      </c>
      <c r="C232" t="str">
        <f>IF(A232="","",MAX($C$1:C231)+1)</f>
        <v/>
      </c>
      <c r="E232" t="str">
        <f t="shared" si="8"/>
        <v xml:space="preserve"> </v>
      </c>
      <c r="G232">
        <f t="shared" si="9"/>
        <v>232</v>
      </c>
    </row>
    <row r="233" spans="1:7">
      <c r="A233" t="str">
        <f>IF(ISNA(INDEX('Yardi Report'!$A:$E,MATCH('Chart of Accounts'!$A239,'Yardi Report'!$A:$A,0),1)),"",INDEX('Yardi Report'!$A:$E,MATCH('Chart of Accounts'!$A239,'Yardi Report'!$A:$A,0),1))</f>
        <v>1500-0010</v>
      </c>
      <c r="B233" t="str">
        <f>IF(ISNA(INDEX('Yardi Report'!$A:$E,MATCH('Chart of Accounts'!$A239,'Yardi Report'!$A:$A,0),2)),"",INDEX('Yardi Report'!$A:$E,MATCH('Chart of Accounts'!$A239,'Yardi Report'!$A:$A,0),2))</f>
        <v xml:space="preserve"> Building Improvements</v>
      </c>
      <c r="C233">
        <f>IF(A233="","",MAX($C$1:C232)+1)</f>
        <v>20</v>
      </c>
      <c r="E233" t="str">
        <f t="shared" si="8"/>
        <v>1500-0010  Building Improvements</v>
      </c>
      <c r="G233">
        <f t="shared" si="9"/>
        <v>233</v>
      </c>
    </row>
    <row r="234" spans="1:7">
      <c r="A234" t="str">
        <f>IF(ISNA(INDEX('Yardi Report'!$A:$E,MATCH('Chart of Accounts'!$A240,'Yardi Report'!$A:$A,0),1)),"",INDEX('Yardi Report'!$A:$E,MATCH('Chart of Accounts'!$A240,'Yardi Report'!$A:$A,0),1))</f>
        <v/>
      </c>
      <c r="B234" t="str">
        <f>IF(ISNA(INDEX('Yardi Report'!$A:$E,MATCH('Chart of Accounts'!$A240,'Yardi Report'!$A:$A,0),2)),"",INDEX('Yardi Report'!$A:$E,MATCH('Chart of Accounts'!$A240,'Yardi Report'!$A:$A,0),2))</f>
        <v/>
      </c>
      <c r="C234" t="str">
        <f>IF(A234="","",MAX($C$1:C233)+1)</f>
        <v/>
      </c>
      <c r="E234" t="str">
        <f t="shared" si="8"/>
        <v xml:space="preserve"> </v>
      </c>
      <c r="G234">
        <f t="shared" si="9"/>
        <v>234</v>
      </c>
    </row>
    <row r="235" spans="1:7">
      <c r="A235" t="str">
        <f>IF(ISNA(INDEX('Yardi Report'!$A:$E,MATCH('Chart of Accounts'!$A241,'Yardi Report'!$A:$A,0),1)),"",INDEX('Yardi Report'!$A:$E,MATCH('Chart of Accounts'!$A241,'Yardi Report'!$A:$A,0),1))</f>
        <v/>
      </c>
      <c r="B235" t="str">
        <f>IF(ISNA(INDEX('Yardi Report'!$A:$E,MATCH('Chart of Accounts'!$A241,'Yardi Report'!$A:$A,0),2)),"",INDEX('Yardi Report'!$A:$E,MATCH('Chart of Accounts'!$A241,'Yardi Report'!$A:$A,0),2))</f>
        <v/>
      </c>
      <c r="C235" t="str">
        <f>IF(A235="","",MAX($C$1:C234)+1)</f>
        <v/>
      </c>
      <c r="E235" t="str">
        <f t="shared" si="8"/>
        <v xml:space="preserve"> </v>
      </c>
      <c r="G235">
        <f t="shared" si="9"/>
        <v>235</v>
      </c>
    </row>
    <row r="236" spans="1:7">
      <c r="A236" t="str">
        <f>IF(ISNA(INDEX('Yardi Report'!$A:$E,MATCH('Chart of Accounts'!$A242,'Yardi Report'!$A:$A,0),1)),"",INDEX('Yardi Report'!$A:$E,MATCH('Chart of Accounts'!$A242,'Yardi Report'!$A:$A,0),1))</f>
        <v/>
      </c>
      <c r="B236" t="str">
        <f>IF(ISNA(INDEX('Yardi Report'!$A:$E,MATCH('Chart of Accounts'!$A242,'Yardi Report'!$A:$A,0),2)),"",INDEX('Yardi Report'!$A:$E,MATCH('Chart of Accounts'!$A242,'Yardi Report'!$A:$A,0),2))</f>
        <v/>
      </c>
      <c r="C236" t="str">
        <f>IF(A236="","",MAX($C$1:C235)+1)</f>
        <v/>
      </c>
      <c r="E236" t="str">
        <f t="shared" si="8"/>
        <v xml:space="preserve"> </v>
      </c>
      <c r="G236">
        <f t="shared" si="9"/>
        <v>236</v>
      </c>
    </row>
    <row r="237" spans="1:7">
      <c r="A237" t="str">
        <f>IF(ISNA(INDEX('Yardi Report'!$A:$E,MATCH('Chart of Accounts'!$A243,'Yardi Report'!$A:$A,0),1)),"",INDEX('Yardi Report'!$A:$E,MATCH('Chart of Accounts'!$A243,'Yardi Report'!$A:$A,0),1))</f>
        <v/>
      </c>
      <c r="B237" t="str">
        <f>IF(ISNA(INDEX('Yardi Report'!$A:$E,MATCH('Chart of Accounts'!$A243,'Yardi Report'!$A:$A,0),2)),"",INDEX('Yardi Report'!$A:$E,MATCH('Chart of Accounts'!$A243,'Yardi Report'!$A:$A,0),2))</f>
        <v/>
      </c>
      <c r="C237" t="str">
        <f>IF(A237="","",MAX($C$1:C236)+1)</f>
        <v/>
      </c>
      <c r="E237" t="str">
        <f t="shared" si="8"/>
        <v xml:space="preserve"> </v>
      </c>
      <c r="G237">
        <f t="shared" si="9"/>
        <v>237</v>
      </c>
    </row>
    <row r="238" spans="1:7">
      <c r="A238" t="str">
        <f>IF(ISNA(INDEX('Yardi Report'!$A:$E,MATCH('Chart of Accounts'!$A244,'Yardi Report'!$A:$A,0),1)),"",INDEX('Yardi Report'!$A:$E,MATCH('Chart of Accounts'!$A244,'Yardi Report'!$A:$A,0),1))</f>
        <v/>
      </c>
      <c r="B238" t="str">
        <f>IF(ISNA(INDEX('Yardi Report'!$A:$E,MATCH('Chart of Accounts'!$A244,'Yardi Report'!$A:$A,0),2)),"",INDEX('Yardi Report'!$A:$E,MATCH('Chart of Accounts'!$A244,'Yardi Report'!$A:$A,0),2))</f>
        <v/>
      </c>
      <c r="C238" t="str">
        <f>IF(A238="","",MAX($C$1:C237)+1)</f>
        <v/>
      </c>
      <c r="E238" t="str">
        <f t="shared" si="8"/>
        <v xml:space="preserve"> </v>
      </c>
      <c r="G238">
        <f t="shared" si="9"/>
        <v>238</v>
      </c>
    </row>
    <row r="239" spans="1:7">
      <c r="A239" t="str">
        <f>IF(ISNA(INDEX('Yardi Report'!$A:$E,MATCH('Chart of Accounts'!$A245,'Yardi Report'!$A:$A,0),1)),"",INDEX('Yardi Report'!$A:$E,MATCH('Chart of Accounts'!$A245,'Yardi Report'!$A:$A,0),1))</f>
        <v/>
      </c>
      <c r="B239" t="str">
        <f>IF(ISNA(INDEX('Yardi Report'!$A:$E,MATCH('Chart of Accounts'!$A245,'Yardi Report'!$A:$A,0),2)),"",INDEX('Yardi Report'!$A:$E,MATCH('Chart of Accounts'!$A245,'Yardi Report'!$A:$A,0),2))</f>
        <v/>
      </c>
      <c r="C239" t="str">
        <f>IF(A239="","",MAX($C$1:C238)+1)</f>
        <v/>
      </c>
      <c r="E239" t="str">
        <f t="shared" si="8"/>
        <v xml:space="preserve"> </v>
      </c>
      <c r="G239">
        <f t="shared" si="9"/>
        <v>239</v>
      </c>
    </row>
    <row r="240" spans="1:7">
      <c r="A240" t="str">
        <f>IF(ISNA(INDEX('Yardi Report'!$A:$E,MATCH('Chart of Accounts'!$A246,'Yardi Report'!$A:$A,0),1)),"",INDEX('Yardi Report'!$A:$E,MATCH('Chart of Accounts'!$A246,'Yardi Report'!$A:$A,0),1))</f>
        <v/>
      </c>
      <c r="B240" t="str">
        <f>IF(ISNA(INDEX('Yardi Report'!$A:$E,MATCH('Chart of Accounts'!$A246,'Yardi Report'!$A:$A,0),2)),"",INDEX('Yardi Report'!$A:$E,MATCH('Chart of Accounts'!$A246,'Yardi Report'!$A:$A,0),2))</f>
        <v/>
      </c>
      <c r="C240" t="str">
        <f>IF(A240="","",MAX($C$1:C239)+1)</f>
        <v/>
      </c>
      <c r="E240" t="str">
        <f t="shared" si="8"/>
        <v xml:space="preserve"> </v>
      </c>
      <c r="G240">
        <f t="shared" si="9"/>
        <v>240</v>
      </c>
    </row>
    <row r="241" spans="1:7">
      <c r="A241" t="str">
        <f>IF(ISNA(INDEX('Yardi Report'!$A:$E,MATCH('Chart of Accounts'!$A247,'Yardi Report'!$A:$A,0),1)),"",INDEX('Yardi Report'!$A:$E,MATCH('Chart of Accounts'!$A247,'Yardi Report'!$A:$A,0),1))</f>
        <v/>
      </c>
      <c r="B241" t="str">
        <f>IF(ISNA(INDEX('Yardi Report'!$A:$E,MATCH('Chart of Accounts'!$A247,'Yardi Report'!$A:$A,0),2)),"",INDEX('Yardi Report'!$A:$E,MATCH('Chart of Accounts'!$A247,'Yardi Report'!$A:$A,0),2))</f>
        <v/>
      </c>
      <c r="C241" t="str">
        <f>IF(A241="","",MAX($C$1:C240)+1)</f>
        <v/>
      </c>
      <c r="E241" t="str">
        <f t="shared" si="8"/>
        <v xml:space="preserve"> </v>
      </c>
      <c r="G241">
        <f t="shared" si="9"/>
        <v>241</v>
      </c>
    </row>
    <row r="242" spans="1:7">
      <c r="A242" t="str">
        <f>IF(ISNA(INDEX('Yardi Report'!$A:$E,MATCH('Chart of Accounts'!$A248,'Yardi Report'!$A:$A,0),1)),"",INDEX('Yardi Report'!$A:$E,MATCH('Chart of Accounts'!$A248,'Yardi Report'!$A:$A,0),1))</f>
        <v/>
      </c>
      <c r="B242" t="str">
        <f>IF(ISNA(INDEX('Yardi Report'!$A:$E,MATCH('Chart of Accounts'!$A248,'Yardi Report'!$A:$A,0),2)),"",INDEX('Yardi Report'!$A:$E,MATCH('Chart of Accounts'!$A248,'Yardi Report'!$A:$A,0),2))</f>
        <v/>
      </c>
      <c r="C242" t="str">
        <f>IF(A242="","",MAX($C$1:C241)+1)</f>
        <v/>
      </c>
      <c r="E242" t="str">
        <f t="shared" si="8"/>
        <v xml:space="preserve"> </v>
      </c>
      <c r="G242">
        <f t="shared" si="9"/>
        <v>242</v>
      </c>
    </row>
    <row r="243" spans="1:7">
      <c r="A243" t="str">
        <f>IF(ISNA(INDEX('Yardi Report'!$A:$E,MATCH('Chart of Accounts'!$A249,'Yardi Report'!$A:$A,0),1)),"",INDEX('Yardi Report'!$A:$E,MATCH('Chart of Accounts'!$A249,'Yardi Report'!$A:$A,0),1))</f>
        <v>1500-0040</v>
      </c>
      <c r="B243" t="str">
        <f>IF(ISNA(INDEX('Yardi Report'!$A:$E,MATCH('Chart of Accounts'!$A249,'Yardi Report'!$A:$A,0),2)),"",INDEX('Yardi Report'!$A:$E,MATCH('Chart of Accounts'!$A249,'Yardi Report'!$A:$A,0),2))</f>
        <v xml:space="preserve"> Loan Fees  A</v>
      </c>
      <c r="C243">
        <f>IF(A243="","",MAX($C$1:C242)+1)</f>
        <v>21</v>
      </c>
      <c r="E243" t="str">
        <f t="shared" si="8"/>
        <v>1500-0040  Loan Fees  A</v>
      </c>
      <c r="G243">
        <f t="shared" si="9"/>
        <v>243</v>
      </c>
    </row>
    <row r="244" spans="1:7">
      <c r="A244" t="str">
        <f>IF(ISNA(INDEX('Yardi Report'!$A:$E,MATCH('Chart of Accounts'!$A250,'Yardi Report'!$A:$A,0),1)),"",INDEX('Yardi Report'!$A:$E,MATCH('Chart of Accounts'!$A250,'Yardi Report'!$A:$A,0),1))</f>
        <v/>
      </c>
      <c r="B244" t="str">
        <f>IF(ISNA(INDEX('Yardi Report'!$A:$E,MATCH('Chart of Accounts'!$A250,'Yardi Report'!$A:$A,0),2)),"",INDEX('Yardi Report'!$A:$E,MATCH('Chart of Accounts'!$A250,'Yardi Report'!$A:$A,0),2))</f>
        <v/>
      </c>
      <c r="C244" t="str">
        <f>IF(A244="","",MAX($C$1:C243)+1)</f>
        <v/>
      </c>
      <c r="E244" t="str">
        <f t="shared" si="8"/>
        <v xml:space="preserve"> </v>
      </c>
      <c r="G244">
        <f t="shared" si="9"/>
        <v>244</v>
      </c>
    </row>
    <row r="245" spans="1:7">
      <c r="A245" t="str">
        <f>IF(ISNA(INDEX('Yardi Report'!$A:$E,MATCH('Chart of Accounts'!$A251,'Yardi Report'!$A:$A,0),1)),"",INDEX('Yardi Report'!$A:$E,MATCH('Chart of Accounts'!$A251,'Yardi Report'!$A:$A,0),1))</f>
        <v/>
      </c>
      <c r="B245" t="str">
        <f>IF(ISNA(INDEX('Yardi Report'!$A:$E,MATCH('Chart of Accounts'!$A251,'Yardi Report'!$A:$A,0),2)),"",INDEX('Yardi Report'!$A:$E,MATCH('Chart of Accounts'!$A251,'Yardi Report'!$A:$A,0),2))</f>
        <v/>
      </c>
      <c r="C245" t="str">
        <f>IF(A245="","",MAX($C$1:C244)+1)</f>
        <v/>
      </c>
      <c r="E245" t="str">
        <f t="shared" si="8"/>
        <v xml:space="preserve"> </v>
      </c>
      <c r="G245">
        <f t="shared" si="9"/>
        <v>245</v>
      </c>
    </row>
    <row r="246" spans="1:7">
      <c r="A246" t="str">
        <f>IF(ISNA(INDEX('Yardi Report'!$A:$E,MATCH('Chart of Accounts'!$A252,'Yardi Report'!$A:$A,0),1)),"",INDEX('Yardi Report'!$A:$E,MATCH('Chart of Accounts'!$A252,'Yardi Report'!$A:$A,0),1))</f>
        <v>1500-0050</v>
      </c>
      <c r="B246" t="str">
        <f>IF(ISNA(INDEX('Yardi Report'!$A:$E,MATCH('Chart of Accounts'!$A252,'Yardi Report'!$A:$A,0),2)),"",INDEX('Yardi Report'!$A:$E,MATCH('Chart of Accounts'!$A252,'Yardi Report'!$A:$A,0),2))</f>
        <v xml:space="preserve"> AD Building</v>
      </c>
      <c r="C246">
        <f>IF(A246="","",MAX($C$1:C245)+1)</f>
        <v>22</v>
      </c>
      <c r="E246" t="str">
        <f t="shared" si="8"/>
        <v>1500-0050  AD Building</v>
      </c>
      <c r="G246">
        <f t="shared" si="9"/>
        <v>246</v>
      </c>
    </row>
    <row r="247" spans="1:7">
      <c r="A247" t="str">
        <f>IF(ISNA(INDEX('Yardi Report'!$A:$E,MATCH('Chart of Accounts'!$A253,'Yardi Report'!$A:$A,0),1)),"",INDEX('Yardi Report'!$A:$E,MATCH('Chart of Accounts'!$A253,'Yardi Report'!$A:$A,0),1))</f>
        <v>1500-0051</v>
      </c>
      <c r="B247" t="str">
        <f>IF(ISNA(INDEX('Yardi Report'!$A:$E,MATCH('Chart of Accounts'!$A253,'Yardi Report'!$A:$A,0),2)),"",INDEX('Yardi Report'!$A:$E,MATCH('Chart of Accounts'!$A253,'Yardi Report'!$A:$A,0),2))</f>
        <v>A/D 5 Year Property</v>
      </c>
      <c r="C247">
        <f>IF(A247="","",MAX($C$1:C246)+1)</f>
        <v>23</v>
      </c>
      <c r="E247" t="str">
        <f t="shared" si="8"/>
        <v>1500-0051 A/D 5 Year Property</v>
      </c>
      <c r="G247">
        <f t="shared" si="9"/>
        <v>247</v>
      </c>
    </row>
    <row r="248" spans="1:7">
      <c r="A248" t="str">
        <f>IF(ISNA(INDEX('Yardi Report'!$A:$E,MATCH('Chart of Accounts'!$A254,'Yardi Report'!$A:$A,0),1)),"",INDEX('Yardi Report'!$A:$E,MATCH('Chart of Accounts'!$A254,'Yardi Report'!$A:$A,0),1))</f>
        <v/>
      </c>
      <c r="B248" t="str">
        <f>IF(ISNA(INDEX('Yardi Report'!$A:$E,MATCH('Chart of Accounts'!$A254,'Yardi Report'!$A:$A,0),2)),"",INDEX('Yardi Report'!$A:$E,MATCH('Chart of Accounts'!$A254,'Yardi Report'!$A:$A,0),2))</f>
        <v/>
      </c>
      <c r="C248" t="str">
        <f>IF(A248="","",MAX($C$1:C247)+1)</f>
        <v/>
      </c>
      <c r="E248" t="str">
        <f t="shared" si="8"/>
        <v xml:space="preserve"> </v>
      </c>
      <c r="G248">
        <f t="shared" si="9"/>
        <v>248</v>
      </c>
    </row>
    <row r="249" spans="1:7">
      <c r="A249" t="str">
        <f>IF(ISNA(INDEX('Yardi Report'!$A:$E,MATCH('Chart of Accounts'!$A255,'Yardi Report'!$A:$A,0),1)),"",INDEX('Yardi Report'!$A:$E,MATCH('Chart of Accounts'!$A255,'Yardi Report'!$A:$A,0),1))</f>
        <v>1500-0060</v>
      </c>
      <c r="B249" t="str">
        <f>IF(ISNA(INDEX('Yardi Report'!$A:$E,MATCH('Chart of Accounts'!$A255,'Yardi Report'!$A:$A,0),2)),"",INDEX('Yardi Report'!$A:$E,MATCH('Chart of Accounts'!$A255,'Yardi Report'!$A:$A,0),2))</f>
        <v xml:space="preserve"> A/D Building Improvements</v>
      </c>
      <c r="C249">
        <f>IF(A249="","",MAX($C$1:C248)+1)</f>
        <v>24</v>
      </c>
      <c r="E249" t="str">
        <f t="shared" si="8"/>
        <v>1500-0060  A/D Building Improvements</v>
      </c>
      <c r="G249">
        <f t="shared" si="9"/>
        <v>249</v>
      </c>
    </row>
    <row r="250" spans="1:7">
      <c r="A250" t="str">
        <f>IF(ISNA(INDEX('Yardi Report'!$A:$E,MATCH('Chart of Accounts'!$A256,'Yardi Report'!$A:$A,0),1)),"",INDEX('Yardi Report'!$A:$E,MATCH('Chart of Accounts'!$A256,'Yardi Report'!$A:$A,0),1))</f>
        <v/>
      </c>
      <c r="B250" t="str">
        <f>IF(ISNA(INDEX('Yardi Report'!$A:$E,MATCH('Chart of Accounts'!$A256,'Yardi Report'!$A:$A,0),2)),"",INDEX('Yardi Report'!$A:$E,MATCH('Chart of Accounts'!$A256,'Yardi Report'!$A:$A,0),2))</f>
        <v/>
      </c>
      <c r="C250" t="str">
        <f>IF(A250="","",MAX($C$1:C249)+1)</f>
        <v/>
      </c>
      <c r="E250" t="str">
        <f t="shared" si="8"/>
        <v xml:space="preserve"> </v>
      </c>
      <c r="G250">
        <f t="shared" si="9"/>
        <v>250</v>
      </c>
    </row>
    <row r="251" spans="1:7">
      <c r="A251" t="str">
        <f>IF(ISNA(INDEX('Yardi Report'!$A:$E,MATCH('Chart of Accounts'!$A257,'Yardi Report'!$A:$A,0),1)),"",INDEX('Yardi Report'!$A:$E,MATCH('Chart of Accounts'!$A257,'Yardi Report'!$A:$A,0),1))</f>
        <v/>
      </c>
      <c r="B251" t="str">
        <f>IF(ISNA(INDEX('Yardi Report'!$A:$E,MATCH('Chart of Accounts'!$A257,'Yardi Report'!$A:$A,0),2)),"",INDEX('Yardi Report'!$A:$E,MATCH('Chart of Accounts'!$A257,'Yardi Report'!$A:$A,0),2))</f>
        <v/>
      </c>
      <c r="C251" t="str">
        <f>IF(A251="","",MAX($C$1:C250)+1)</f>
        <v/>
      </c>
      <c r="E251" t="str">
        <f t="shared" si="8"/>
        <v xml:space="preserve"> </v>
      </c>
      <c r="G251">
        <f t="shared" si="9"/>
        <v>251</v>
      </c>
    </row>
    <row r="252" spans="1:7">
      <c r="A252" t="str">
        <f>IF(ISNA(INDEX('Yardi Report'!$A:$E,MATCH('Chart of Accounts'!$A258,'Yardi Report'!$A:$A,0),1)),"",INDEX('Yardi Report'!$A:$E,MATCH('Chart of Accounts'!$A258,'Yardi Report'!$A:$A,0),1))</f>
        <v/>
      </c>
      <c r="B252" t="str">
        <f>IF(ISNA(INDEX('Yardi Report'!$A:$E,MATCH('Chart of Accounts'!$A258,'Yardi Report'!$A:$A,0),2)),"",INDEX('Yardi Report'!$A:$E,MATCH('Chart of Accounts'!$A258,'Yardi Report'!$A:$A,0),2))</f>
        <v/>
      </c>
      <c r="C252" t="str">
        <f>IF(A252="","",MAX($C$1:C251)+1)</f>
        <v/>
      </c>
      <c r="E252" t="str">
        <f t="shared" si="8"/>
        <v xml:space="preserve"> </v>
      </c>
      <c r="G252">
        <f t="shared" si="9"/>
        <v>252</v>
      </c>
    </row>
    <row r="253" spans="1:7">
      <c r="A253" t="str">
        <f>IF(ISNA(INDEX('Yardi Report'!$A:$E,MATCH('Chart of Accounts'!$A259,'Yardi Report'!$A:$A,0),1)),"",INDEX('Yardi Report'!$A:$E,MATCH('Chart of Accounts'!$A259,'Yardi Report'!$A:$A,0),1))</f>
        <v/>
      </c>
      <c r="B253" t="str">
        <f>IF(ISNA(INDEX('Yardi Report'!$A:$E,MATCH('Chart of Accounts'!$A259,'Yardi Report'!$A:$A,0),2)),"",INDEX('Yardi Report'!$A:$E,MATCH('Chart of Accounts'!$A259,'Yardi Report'!$A:$A,0),2))</f>
        <v/>
      </c>
      <c r="C253" t="str">
        <f>IF(A253="","",MAX($C$1:C252)+1)</f>
        <v/>
      </c>
      <c r="E253" t="str">
        <f t="shared" si="8"/>
        <v xml:space="preserve"> </v>
      </c>
      <c r="G253">
        <f t="shared" si="9"/>
        <v>253</v>
      </c>
    </row>
    <row r="254" spans="1:7">
      <c r="A254" t="str">
        <f>IF(ISNA(INDEX('Yardi Report'!$A:$E,MATCH('Chart of Accounts'!$A260,'Yardi Report'!$A:$A,0),1)),"",INDEX('Yardi Report'!$A:$E,MATCH('Chart of Accounts'!$A260,'Yardi Report'!$A:$A,0),1))</f>
        <v/>
      </c>
      <c r="B254" t="str">
        <f>IF(ISNA(INDEX('Yardi Report'!$A:$E,MATCH('Chart of Accounts'!$A260,'Yardi Report'!$A:$A,0),2)),"",INDEX('Yardi Report'!$A:$E,MATCH('Chart of Accounts'!$A260,'Yardi Report'!$A:$A,0),2))</f>
        <v/>
      </c>
      <c r="C254" t="str">
        <f>IF(A254="","",MAX($C$1:C253)+1)</f>
        <v/>
      </c>
      <c r="E254" t="str">
        <f t="shared" si="8"/>
        <v xml:space="preserve"> </v>
      </c>
      <c r="G254">
        <f t="shared" si="9"/>
        <v>254</v>
      </c>
    </row>
    <row r="255" spans="1:7">
      <c r="A255" t="str">
        <f>IF(ISNA(INDEX('Yardi Report'!$A:$E,MATCH('Chart of Accounts'!$A261,'Yardi Report'!$A:$A,0),1)),"",INDEX('Yardi Report'!$A:$E,MATCH('Chart of Accounts'!$A261,'Yardi Report'!$A:$A,0),1))</f>
        <v/>
      </c>
      <c r="B255" t="str">
        <f>IF(ISNA(INDEX('Yardi Report'!$A:$E,MATCH('Chart of Accounts'!$A261,'Yardi Report'!$A:$A,0),2)),"",INDEX('Yardi Report'!$A:$E,MATCH('Chart of Accounts'!$A261,'Yardi Report'!$A:$A,0),2))</f>
        <v/>
      </c>
      <c r="C255" t="str">
        <f>IF(A255="","",MAX($C$1:C254)+1)</f>
        <v/>
      </c>
      <c r="E255" t="str">
        <f t="shared" si="8"/>
        <v xml:space="preserve"> </v>
      </c>
      <c r="G255">
        <f t="shared" si="9"/>
        <v>255</v>
      </c>
    </row>
    <row r="256" spans="1:7">
      <c r="A256" t="str">
        <f>IF(ISNA(INDEX('Yardi Report'!$A:$E,MATCH('Chart of Accounts'!$A262,'Yardi Report'!$A:$A,0),1)),"",INDEX('Yardi Report'!$A:$E,MATCH('Chart of Accounts'!$A262,'Yardi Report'!$A:$A,0),1))</f>
        <v>1500-0085</v>
      </c>
      <c r="B256" t="str">
        <f>IF(ISNA(INDEX('Yardi Report'!$A:$E,MATCH('Chart of Accounts'!$A262,'Yardi Report'!$A:$A,0),2)),"",INDEX('Yardi Report'!$A:$E,MATCH('Chart of Accounts'!$A262,'Yardi Report'!$A:$A,0),2))</f>
        <v xml:space="preserve"> A/A Loan Fees - A</v>
      </c>
      <c r="C256">
        <f>IF(A256="","",MAX($C$1:C255)+1)</f>
        <v>25</v>
      </c>
      <c r="E256" t="str">
        <f t="shared" si="8"/>
        <v>1500-0085  A/A Loan Fees - A</v>
      </c>
      <c r="G256">
        <f t="shared" si="9"/>
        <v>256</v>
      </c>
    </row>
    <row r="257" spans="1:7">
      <c r="A257" t="str">
        <f>IF(ISNA(INDEX('Yardi Report'!$A:$E,MATCH('Chart of Accounts'!$A263,'Yardi Report'!$A:$A,0),1)),"",INDEX('Yardi Report'!$A:$E,MATCH('Chart of Accounts'!$A263,'Yardi Report'!$A:$A,0),1))</f>
        <v/>
      </c>
      <c r="B257" t="str">
        <f>IF(ISNA(INDEX('Yardi Report'!$A:$E,MATCH('Chart of Accounts'!$A263,'Yardi Report'!$A:$A,0),2)),"",INDEX('Yardi Report'!$A:$E,MATCH('Chart of Accounts'!$A263,'Yardi Report'!$A:$A,0),2))</f>
        <v/>
      </c>
      <c r="C257" t="str">
        <f>IF(A257="","",MAX($C$1:C256)+1)</f>
        <v/>
      </c>
      <c r="E257" t="str">
        <f t="shared" si="8"/>
        <v xml:space="preserve"> </v>
      </c>
      <c r="G257">
        <f t="shared" si="9"/>
        <v>257</v>
      </c>
    </row>
    <row r="258" spans="1:7">
      <c r="A258" t="str">
        <f>IF(ISNA(INDEX('Yardi Report'!$A:$E,MATCH('Chart of Accounts'!$A264,'Yardi Report'!$A:$A,0),1)),"",INDEX('Yardi Report'!$A:$E,MATCH('Chart of Accounts'!$A264,'Yardi Report'!$A:$A,0),1))</f>
        <v/>
      </c>
      <c r="B258" t="str">
        <f>IF(ISNA(INDEX('Yardi Report'!$A:$E,MATCH('Chart of Accounts'!$A264,'Yardi Report'!$A:$A,0),2)),"",INDEX('Yardi Report'!$A:$E,MATCH('Chart of Accounts'!$A264,'Yardi Report'!$A:$A,0),2))</f>
        <v/>
      </c>
      <c r="C258" t="str">
        <f>IF(A258="","",MAX($C$1:C257)+1)</f>
        <v/>
      </c>
      <c r="E258" t="str">
        <f t="shared" ref="E258:E321" si="10">A258&amp;" "&amp;B258</f>
        <v xml:space="preserve"> </v>
      </c>
      <c r="G258">
        <f t="shared" si="9"/>
        <v>258</v>
      </c>
    </row>
    <row r="259" spans="1:7">
      <c r="A259" t="str">
        <f>IF(ISNA(INDEX('Yardi Report'!$A:$E,MATCH('Chart of Accounts'!$A265,'Yardi Report'!$A:$A,0),1)),"",INDEX('Yardi Report'!$A:$E,MATCH('Chart of Accounts'!$A265,'Yardi Report'!$A:$A,0),1))</f>
        <v/>
      </c>
      <c r="B259" t="str">
        <f>IF(ISNA(INDEX('Yardi Report'!$A:$E,MATCH('Chart of Accounts'!$A265,'Yardi Report'!$A:$A,0),2)),"",INDEX('Yardi Report'!$A:$E,MATCH('Chart of Accounts'!$A265,'Yardi Report'!$A:$A,0),2))</f>
        <v/>
      </c>
      <c r="C259" t="str">
        <f>IF(A259="","",MAX($C$1:C258)+1)</f>
        <v/>
      </c>
      <c r="E259" t="str">
        <f t="shared" si="10"/>
        <v xml:space="preserve"> </v>
      </c>
      <c r="G259">
        <f t="shared" ref="G259:G322" si="11">+G258+1</f>
        <v>259</v>
      </c>
    </row>
    <row r="260" spans="1:7">
      <c r="A260" t="str">
        <f>IF(ISNA(INDEX('Yardi Report'!$A:$E,MATCH('Chart of Accounts'!$A266,'Yardi Report'!$A:$A,0),1)),"",INDEX('Yardi Report'!$A:$E,MATCH('Chart of Accounts'!$A266,'Yardi Report'!$A:$A,0),1))</f>
        <v>1600-0000</v>
      </c>
      <c r="B260" t="str">
        <f>IF(ISNA(INDEX('Yardi Report'!$A:$E,MATCH('Chart of Accounts'!$A266,'Yardi Report'!$A:$A,0),2)),"",INDEX('Yardi Report'!$A:$E,MATCH('Chart of Accounts'!$A266,'Yardi Report'!$A:$A,0),2))</f>
        <v xml:space="preserve"> CONSTRUCTION IN PROGRESS</v>
      </c>
      <c r="C260">
        <f>IF(A260="","",MAX($C$1:C259)+1)</f>
        <v>26</v>
      </c>
      <c r="E260" t="str">
        <f t="shared" si="10"/>
        <v>1600-0000  CONSTRUCTION IN PROGRESS</v>
      </c>
      <c r="G260">
        <f t="shared" si="11"/>
        <v>260</v>
      </c>
    </row>
    <row r="261" spans="1:7">
      <c r="A261" t="str">
        <f>IF(ISNA(INDEX('Yardi Report'!$A:$E,MATCH('Chart of Accounts'!$A267,'Yardi Report'!$A:$A,0),1)),"",INDEX('Yardi Report'!$A:$E,MATCH('Chart of Accounts'!$A267,'Yardi Report'!$A:$A,0),1))</f>
        <v/>
      </c>
      <c r="B261" t="str">
        <f>IF(ISNA(INDEX('Yardi Report'!$A:$E,MATCH('Chart of Accounts'!$A267,'Yardi Report'!$A:$A,0),2)),"",INDEX('Yardi Report'!$A:$E,MATCH('Chart of Accounts'!$A267,'Yardi Report'!$A:$A,0),2))</f>
        <v/>
      </c>
      <c r="C261" t="str">
        <f>IF(A261="","",MAX($C$1:C260)+1)</f>
        <v/>
      </c>
      <c r="E261" t="str">
        <f t="shared" si="10"/>
        <v xml:space="preserve"> </v>
      </c>
      <c r="G261">
        <f t="shared" si="11"/>
        <v>261</v>
      </c>
    </row>
    <row r="262" spans="1:7">
      <c r="A262" t="str">
        <f>IF(ISNA(INDEX('Yardi Report'!$A:$E,MATCH('Chart of Accounts'!$A268,'Yardi Report'!$A:$A,0),1)),"",INDEX('Yardi Report'!$A:$E,MATCH('Chart of Accounts'!$A268,'Yardi Report'!$A:$A,0),1))</f>
        <v/>
      </c>
      <c r="B262" t="str">
        <f>IF(ISNA(INDEX('Yardi Report'!$A:$E,MATCH('Chart of Accounts'!$A268,'Yardi Report'!$A:$A,0),2)),"",INDEX('Yardi Report'!$A:$E,MATCH('Chart of Accounts'!$A268,'Yardi Report'!$A:$A,0),2))</f>
        <v/>
      </c>
      <c r="C262" t="str">
        <f>IF(A262="","",MAX($C$1:C261)+1)</f>
        <v/>
      </c>
      <c r="E262" t="str">
        <f t="shared" si="10"/>
        <v xml:space="preserve"> </v>
      </c>
      <c r="G262">
        <f t="shared" si="11"/>
        <v>262</v>
      </c>
    </row>
    <row r="263" spans="1:7">
      <c r="A263" t="str">
        <f>IF(ISNA(INDEX('Yardi Report'!$A:$E,MATCH('Chart of Accounts'!$A269,'Yardi Report'!$A:$A,0),1)),"",INDEX('Yardi Report'!$A:$E,MATCH('Chart of Accounts'!$A269,'Yardi Report'!$A:$A,0),1))</f>
        <v/>
      </c>
      <c r="B263" t="str">
        <f>IF(ISNA(INDEX('Yardi Report'!$A:$E,MATCH('Chart of Accounts'!$A269,'Yardi Report'!$A:$A,0),2)),"",INDEX('Yardi Report'!$A:$E,MATCH('Chart of Accounts'!$A269,'Yardi Report'!$A:$A,0),2))</f>
        <v/>
      </c>
      <c r="C263" t="str">
        <f>IF(A263="","",MAX($C$1:C262)+1)</f>
        <v/>
      </c>
      <c r="E263" t="str">
        <f t="shared" si="10"/>
        <v xml:space="preserve"> </v>
      </c>
      <c r="G263">
        <f t="shared" si="11"/>
        <v>263</v>
      </c>
    </row>
    <row r="264" spans="1:7">
      <c r="A264" t="str">
        <f>IF(ISNA(INDEX('Yardi Report'!$A:$E,MATCH('Chart of Accounts'!$A270,'Yardi Report'!$A:$A,0),1)),"",INDEX('Yardi Report'!$A:$E,MATCH('Chart of Accounts'!$A270,'Yardi Report'!$A:$A,0),1))</f>
        <v/>
      </c>
      <c r="B264" t="str">
        <f>IF(ISNA(INDEX('Yardi Report'!$A:$E,MATCH('Chart of Accounts'!$A270,'Yardi Report'!$A:$A,0),2)),"",INDEX('Yardi Report'!$A:$E,MATCH('Chart of Accounts'!$A270,'Yardi Report'!$A:$A,0),2))</f>
        <v/>
      </c>
      <c r="C264" t="str">
        <f>IF(A264="","",MAX($C$1:C263)+1)</f>
        <v/>
      </c>
      <c r="E264" t="str">
        <f t="shared" si="10"/>
        <v xml:space="preserve"> </v>
      </c>
      <c r="G264">
        <f t="shared" si="11"/>
        <v>264</v>
      </c>
    </row>
    <row r="265" spans="1:7">
      <c r="A265" t="str">
        <f>IF(ISNA(INDEX('Yardi Report'!$A:$E,MATCH('Chart of Accounts'!$A271,'Yardi Report'!$A:$A,0),1)),"",INDEX('Yardi Report'!$A:$E,MATCH('Chart of Accounts'!$A271,'Yardi Report'!$A:$A,0),1))</f>
        <v/>
      </c>
      <c r="B265" t="str">
        <f>IF(ISNA(INDEX('Yardi Report'!$A:$E,MATCH('Chart of Accounts'!$A271,'Yardi Report'!$A:$A,0),2)),"",INDEX('Yardi Report'!$A:$E,MATCH('Chart of Accounts'!$A271,'Yardi Report'!$A:$A,0),2))</f>
        <v/>
      </c>
      <c r="C265" t="str">
        <f>IF(A265="","",MAX($C$1:C264)+1)</f>
        <v/>
      </c>
      <c r="E265" t="str">
        <f t="shared" si="10"/>
        <v xml:space="preserve"> </v>
      </c>
      <c r="G265">
        <f t="shared" si="11"/>
        <v>265</v>
      </c>
    </row>
    <row r="266" spans="1:7">
      <c r="A266" t="str">
        <f>IF(ISNA(INDEX('Yardi Report'!$A:$E,MATCH('Chart of Accounts'!$A272,'Yardi Report'!$A:$A,0),1)),"",INDEX('Yardi Report'!$A:$E,MATCH('Chart of Accounts'!$A272,'Yardi Report'!$A:$A,0),1))</f>
        <v/>
      </c>
      <c r="B266" t="str">
        <f>IF(ISNA(INDEX('Yardi Report'!$A:$E,MATCH('Chart of Accounts'!$A272,'Yardi Report'!$A:$A,0),2)),"",INDEX('Yardi Report'!$A:$E,MATCH('Chart of Accounts'!$A272,'Yardi Report'!$A:$A,0),2))</f>
        <v/>
      </c>
      <c r="C266" t="str">
        <f>IF(A266="","",MAX($C$1:C265)+1)</f>
        <v/>
      </c>
      <c r="E266" t="str">
        <f t="shared" si="10"/>
        <v xml:space="preserve"> </v>
      </c>
      <c r="G266">
        <f t="shared" si="11"/>
        <v>266</v>
      </c>
    </row>
    <row r="267" spans="1:7">
      <c r="A267" t="str">
        <f>IF(ISNA(INDEX('Yardi Report'!$A:$E,MATCH('Chart of Accounts'!$A273,'Yardi Report'!$A:$A,0),1)),"",INDEX('Yardi Report'!$A:$E,MATCH('Chart of Accounts'!$A273,'Yardi Report'!$A:$A,0),1))</f>
        <v/>
      </c>
      <c r="B267" t="str">
        <f>IF(ISNA(INDEX('Yardi Report'!$A:$E,MATCH('Chart of Accounts'!$A273,'Yardi Report'!$A:$A,0),2)),"",INDEX('Yardi Report'!$A:$E,MATCH('Chart of Accounts'!$A273,'Yardi Report'!$A:$A,0),2))</f>
        <v/>
      </c>
      <c r="C267" t="str">
        <f>IF(A267="","",MAX($C$1:C266)+1)</f>
        <v/>
      </c>
      <c r="E267" t="str">
        <f t="shared" si="10"/>
        <v xml:space="preserve"> </v>
      </c>
      <c r="G267">
        <f t="shared" si="11"/>
        <v>267</v>
      </c>
    </row>
    <row r="268" spans="1:7">
      <c r="A268" t="str">
        <f>IF(ISNA(INDEX('Yardi Report'!$A:$E,MATCH('Chart of Accounts'!$A274,'Yardi Report'!$A:$A,0),1)),"",INDEX('Yardi Report'!$A:$E,MATCH('Chart of Accounts'!$A274,'Yardi Report'!$A:$A,0),1))</f>
        <v/>
      </c>
      <c r="B268" t="str">
        <f>IF(ISNA(INDEX('Yardi Report'!$A:$E,MATCH('Chart of Accounts'!$A274,'Yardi Report'!$A:$A,0),2)),"",INDEX('Yardi Report'!$A:$E,MATCH('Chart of Accounts'!$A274,'Yardi Report'!$A:$A,0),2))</f>
        <v/>
      </c>
      <c r="C268" t="str">
        <f>IF(A268="","",MAX($C$1:C267)+1)</f>
        <v/>
      </c>
      <c r="E268" t="str">
        <f t="shared" si="10"/>
        <v xml:space="preserve"> </v>
      </c>
      <c r="G268">
        <f t="shared" si="11"/>
        <v>268</v>
      </c>
    </row>
    <row r="269" spans="1:7">
      <c r="A269" t="str">
        <f>IF(ISNA(INDEX('Yardi Report'!$A:$E,MATCH('Chart of Accounts'!$A275,'Yardi Report'!$A:$A,0),1)),"",INDEX('Yardi Report'!$A:$E,MATCH('Chart of Accounts'!$A275,'Yardi Report'!$A:$A,0),1))</f>
        <v/>
      </c>
      <c r="B269" t="str">
        <f>IF(ISNA(INDEX('Yardi Report'!$A:$E,MATCH('Chart of Accounts'!$A275,'Yardi Report'!$A:$A,0),2)),"",INDEX('Yardi Report'!$A:$E,MATCH('Chart of Accounts'!$A275,'Yardi Report'!$A:$A,0),2))</f>
        <v/>
      </c>
      <c r="C269" t="str">
        <f>IF(A269="","",MAX($C$1:C268)+1)</f>
        <v/>
      </c>
      <c r="E269" t="str">
        <f t="shared" si="10"/>
        <v xml:space="preserve"> </v>
      </c>
      <c r="G269">
        <f t="shared" si="11"/>
        <v>269</v>
      </c>
    </row>
    <row r="270" spans="1:7">
      <c r="A270" t="str">
        <f>IF(ISNA(INDEX('Yardi Report'!$A:$E,MATCH('Chart of Accounts'!$A276,'Yardi Report'!$A:$A,0),1)),"",INDEX('Yardi Report'!$A:$E,MATCH('Chart of Accounts'!$A276,'Yardi Report'!$A:$A,0),1))</f>
        <v/>
      </c>
      <c r="B270" t="str">
        <f>IF(ISNA(INDEX('Yardi Report'!$A:$E,MATCH('Chart of Accounts'!$A276,'Yardi Report'!$A:$A,0),2)),"",INDEX('Yardi Report'!$A:$E,MATCH('Chart of Accounts'!$A276,'Yardi Report'!$A:$A,0),2))</f>
        <v/>
      </c>
      <c r="C270" t="str">
        <f>IF(A270="","",MAX($C$1:C269)+1)</f>
        <v/>
      </c>
      <c r="E270" t="str">
        <f t="shared" si="10"/>
        <v xml:space="preserve"> </v>
      </c>
      <c r="G270">
        <f t="shared" si="11"/>
        <v>270</v>
      </c>
    </row>
    <row r="271" spans="1:7">
      <c r="A271" t="str">
        <f>IF(ISNA(INDEX('Yardi Report'!$A:$E,MATCH('Chart of Accounts'!$A277,'Yardi Report'!$A:$A,0),1)),"",INDEX('Yardi Report'!$A:$E,MATCH('Chart of Accounts'!$A277,'Yardi Report'!$A:$A,0),1))</f>
        <v/>
      </c>
      <c r="B271" t="str">
        <f>IF(ISNA(INDEX('Yardi Report'!$A:$E,MATCH('Chart of Accounts'!$A277,'Yardi Report'!$A:$A,0),2)),"",INDEX('Yardi Report'!$A:$E,MATCH('Chart of Accounts'!$A277,'Yardi Report'!$A:$A,0),2))</f>
        <v/>
      </c>
      <c r="C271" t="str">
        <f>IF(A271="","",MAX($C$1:C270)+1)</f>
        <v/>
      </c>
      <c r="E271" t="str">
        <f t="shared" si="10"/>
        <v xml:space="preserve"> </v>
      </c>
      <c r="G271">
        <f t="shared" si="11"/>
        <v>271</v>
      </c>
    </row>
    <row r="272" spans="1:7">
      <c r="A272" t="str">
        <f>IF(ISNA(INDEX('Yardi Report'!$A:$E,MATCH('Chart of Accounts'!$A278,'Yardi Report'!$A:$A,0),1)),"",INDEX('Yardi Report'!$A:$E,MATCH('Chart of Accounts'!$A278,'Yardi Report'!$A:$A,0),1))</f>
        <v/>
      </c>
      <c r="B272" t="str">
        <f>IF(ISNA(INDEX('Yardi Report'!$A:$E,MATCH('Chart of Accounts'!$A278,'Yardi Report'!$A:$A,0),2)),"",INDEX('Yardi Report'!$A:$E,MATCH('Chart of Accounts'!$A278,'Yardi Report'!$A:$A,0),2))</f>
        <v/>
      </c>
      <c r="C272" t="str">
        <f>IF(A272="","",MAX($C$1:C271)+1)</f>
        <v/>
      </c>
      <c r="E272" t="str">
        <f t="shared" si="10"/>
        <v xml:space="preserve"> </v>
      </c>
      <c r="G272">
        <f t="shared" si="11"/>
        <v>272</v>
      </c>
    </row>
    <row r="273" spans="1:7">
      <c r="A273" t="str">
        <f>IF(ISNA(INDEX('Yardi Report'!$A:$E,MATCH('Chart of Accounts'!$A279,'Yardi Report'!$A:$A,0),1)),"",INDEX('Yardi Report'!$A:$E,MATCH('Chart of Accounts'!$A279,'Yardi Report'!$A:$A,0),1))</f>
        <v/>
      </c>
      <c r="B273" t="str">
        <f>IF(ISNA(INDEX('Yardi Report'!$A:$E,MATCH('Chart of Accounts'!$A279,'Yardi Report'!$A:$A,0),2)),"",INDEX('Yardi Report'!$A:$E,MATCH('Chart of Accounts'!$A279,'Yardi Report'!$A:$A,0),2))</f>
        <v/>
      </c>
      <c r="C273" t="str">
        <f>IF(A273="","",MAX($C$1:C272)+1)</f>
        <v/>
      </c>
      <c r="E273" t="str">
        <f t="shared" si="10"/>
        <v xml:space="preserve"> </v>
      </c>
      <c r="G273">
        <f t="shared" si="11"/>
        <v>273</v>
      </c>
    </row>
    <row r="274" spans="1:7">
      <c r="A274" t="str">
        <f>IF(ISNA(INDEX('Yardi Report'!$A:$E,MATCH('Chart of Accounts'!$A280,'Yardi Report'!$A:$A,0),1)),"",INDEX('Yardi Report'!$A:$E,MATCH('Chart of Accounts'!$A280,'Yardi Report'!$A:$A,0),1))</f>
        <v/>
      </c>
      <c r="B274" t="str">
        <f>IF(ISNA(INDEX('Yardi Report'!$A:$E,MATCH('Chart of Accounts'!$A280,'Yardi Report'!$A:$A,0),2)),"",INDEX('Yardi Report'!$A:$E,MATCH('Chart of Accounts'!$A280,'Yardi Report'!$A:$A,0),2))</f>
        <v/>
      </c>
      <c r="C274" t="str">
        <f>IF(A274="","",MAX($C$1:C273)+1)</f>
        <v/>
      </c>
      <c r="E274" t="str">
        <f t="shared" si="10"/>
        <v xml:space="preserve"> </v>
      </c>
      <c r="G274">
        <f t="shared" si="11"/>
        <v>274</v>
      </c>
    </row>
    <row r="275" spans="1:7">
      <c r="A275" t="str">
        <f>IF(ISNA(INDEX('Yardi Report'!$A:$E,MATCH('Chart of Accounts'!$A281,'Yardi Report'!$A:$A,0),1)),"",INDEX('Yardi Report'!$A:$E,MATCH('Chart of Accounts'!$A281,'Yardi Report'!$A:$A,0),1))</f>
        <v/>
      </c>
      <c r="B275" t="str">
        <f>IF(ISNA(INDEX('Yardi Report'!$A:$E,MATCH('Chart of Accounts'!$A281,'Yardi Report'!$A:$A,0),2)),"",INDEX('Yardi Report'!$A:$E,MATCH('Chart of Accounts'!$A281,'Yardi Report'!$A:$A,0),2))</f>
        <v/>
      </c>
      <c r="C275" t="str">
        <f>IF(A275="","",MAX($C$1:C274)+1)</f>
        <v/>
      </c>
      <c r="E275" t="str">
        <f t="shared" si="10"/>
        <v xml:space="preserve"> </v>
      </c>
      <c r="G275">
        <f t="shared" si="11"/>
        <v>275</v>
      </c>
    </row>
    <row r="276" spans="1:7">
      <c r="A276" t="str">
        <f>IF(ISNA(INDEX('Yardi Report'!$A:$E,MATCH('Chart of Accounts'!$A282,'Yardi Report'!$A:$A,0),1)),"",INDEX('Yardi Report'!$A:$E,MATCH('Chart of Accounts'!$A282,'Yardi Report'!$A:$A,0),1))</f>
        <v/>
      </c>
      <c r="B276" t="str">
        <f>IF(ISNA(INDEX('Yardi Report'!$A:$E,MATCH('Chart of Accounts'!$A282,'Yardi Report'!$A:$A,0),2)),"",INDEX('Yardi Report'!$A:$E,MATCH('Chart of Accounts'!$A282,'Yardi Report'!$A:$A,0),2))</f>
        <v/>
      </c>
      <c r="C276" t="str">
        <f>IF(A276="","",MAX($C$1:C275)+1)</f>
        <v/>
      </c>
      <c r="E276" t="str">
        <f t="shared" si="10"/>
        <v xml:space="preserve"> </v>
      </c>
      <c r="G276">
        <f t="shared" si="11"/>
        <v>276</v>
      </c>
    </row>
    <row r="277" spans="1:7">
      <c r="A277" t="str">
        <f>IF(ISNA(INDEX('Yardi Report'!$A:$E,MATCH('Chart of Accounts'!$A283,'Yardi Report'!$A:$A,0),1)),"",INDEX('Yardi Report'!$A:$E,MATCH('Chart of Accounts'!$A283,'Yardi Report'!$A:$A,0),1))</f>
        <v/>
      </c>
      <c r="B277" t="str">
        <f>IF(ISNA(INDEX('Yardi Report'!$A:$E,MATCH('Chart of Accounts'!$A283,'Yardi Report'!$A:$A,0),2)),"",INDEX('Yardi Report'!$A:$E,MATCH('Chart of Accounts'!$A283,'Yardi Report'!$A:$A,0),2))</f>
        <v/>
      </c>
      <c r="C277" t="str">
        <f>IF(A277="","",MAX($C$1:C276)+1)</f>
        <v/>
      </c>
      <c r="E277" t="str">
        <f t="shared" si="10"/>
        <v xml:space="preserve"> </v>
      </c>
      <c r="G277">
        <f t="shared" si="11"/>
        <v>277</v>
      </c>
    </row>
    <row r="278" spans="1:7">
      <c r="A278" t="str">
        <f>IF(ISNA(INDEX('Yardi Report'!$A:$E,MATCH('Chart of Accounts'!$A284,'Yardi Report'!$A:$A,0),1)),"",INDEX('Yardi Report'!$A:$E,MATCH('Chart of Accounts'!$A284,'Yardi Report'!$A:$A,0),1))</f>
        <v/>
      </c>
      <c r="B278" t="str">
        <f>IF(ISNA(INDEX('Yardi Report'!$A:$E,MATCH('Chart of Accounts'!$A284,'Yardi Report'!$A:$A,0),2)),"",INDEX('Yardi Report'!$A:$E,MATCH('Chart of Accounts'!$A284,'Yardi Report'!$A:$A,0),2))</f>
        <v/>
      </c>
      <c r="C278" t="str">
        <f>IF(A278="","",MAX($C$1:C277)+1)</f>
        <v/>
      </c>
      <c r="E278" t="str">
        <f t="shared" si="10"/>
        <v xml:space="preserve"> </v>
      </c>
      <c r="G278">
        <f t="shared" si="11"/>
        <v>278</v>
      </c>
    </row>
    <row r="279" spans="1:7">
      <c r="A279" t="str">
        <f>IF(ISNA(INDEX('Yardi Report'!$A:$E,MATCH('Chart of Accounts'!$A285,'Yardi Report'!$A:$A,0),1)),"",INDEX('Yardi Report'!$A:$E,MATCH('Chart of Accounts'!$A285,'Yardi Report'!$A:$A,0),1))</f>
        <v/>
      </c>
      <c r="B279" t="str">
        <f>IF(ISNA(INDEX('Yardi Report'!$A:$E,MATCH('Chart of Accounts'!$A285,'Yardi Report'!$A:$A,0),2)),"",INDEX('Yardi Report'!$A:$E,MATCH('Chart of Accounts'!$A285,'Yardi Report'!$A:$A,0),2))</f>
        <v/>
      </c>
      <c r="C279" t="str">
        <f>IF(A279="","",MAX($C$1:C278)+1)</f>
        <v/>
      </c>
      <c r="E279" t="str">
        <f t="shared" si="10"/>
        <v xml:space="preserve"> </v>
      </c>
      <c r="G279">
        <f t="shared" si="11"/>
        <v>279</v>
      </c>
    </row>
    <row r="280" spans="1:7">
      <c r="A280" t="str">
        <f>IF(ISNA(INDEX('Yardi Report'!$A:$E,MATCH('Chart of Accounts'!$A286,'Yardi Report'!$A:$A,0),1)),"",INDEX('Yardi Report'!$A:$E,MATCH('Chart of Accounts'!$A286,'Yardi Report'!$A:$A,0),1))</f>
        <v/>
      </c>
      <c r="B280" t="str">
        <f>IF(ISNA(INDEX('Yardi Report'!$A:$E,MATCH('Chart of Accounts'!$A286,'Yardi Report'!$A:$A,0),2)),"",INDEX('Yardi Report'!$A:$E,MATCH('Chart of Accounts'!$A286,'Yardi Report'!$A:$A,0),2))</f>
        <v/>
      </c>
      <c r="C280" t="str">
        <f>IF(A280="","",MAX($C$1:C279)+1)</f>
        <v/>
      </c>
      <c r="E280" t="str">
        <f t="shared" si="10"/>
        <v xml:space="preserve"> </v>
      </c>
      <c r="G280">
        <f t="shared" si="11"/>
        <v>280</v>
      </c>
    </row>
    <row r="281" spans="1:7">
      <c r="A281" t="str">
        <f>IF(ISNA(INDEX('Yardi Report'!$A:$E,MATCH('Chart of Accounts'!$A287,'Yardi Report'!$A:$A,0),1)),"",INDEX('Yardi Report'!$A:$E,MATCH('Chart of Accounts'!$A287,'Yardi Report'!$A:$A,0),1))</f>
        <v/>
      </c>
      <c r="B281" t="str">
        <f>IF(ISNA(INDEX('Yardi Report'!$A:$E,MATCH('Chart of Accounts'!$A287,'Yardi Report'!$A:$A,0),2)),"",INDEX('Yardi Report'!$A:$E,MATCH('Chart of Accounts'!$A287,'Yardi Report'!$A:$A,0),2))</f>
        <v/>
      </c>
      <c r="C281" t="str">
        <f>IF(A281="","",MAX($C$1:C280)+1)</f>
        <v/>
      </c>
      <c r="E281" t="str">
        <f t="shared" si="10"/>
        <v xml:space="preserve"> </v>
      </c>
      <c r="G281">
        <f t="shared" si="11"/>
        <v>281</v>
      </c>
    </row>
    <row r="282" spans="1:7">
      <c r="A282" t="str">
        <f>IF(ISNA(INDEX('Yardi Report'!$A:$E,MATCH('Chart of Accounts'!$A288,'Yardi Report'!$A:$A,0),1)),"",INDEX('Yardi Report'!$A:$E,MATCH('Chart of Accounts'!$A288,'Yardi Report'!$A:$A,0),1))</f>
        <v/>
      </c>
      <c r="B282" t="str">
        <f>IF(ISNA(INDEX('Yardi Report'!$A:$E,MATCH('Chart of Accounts'!$A288,'Yardi Report'!$A:$A,0),2)),"",INDEX('Yardi Report'!$A:$E,MATCH('Chart of Accounts'!$A288,'Yardi Report'!$A:$A,0),2))</f>
        <v/>
      </c>
      <c r="C282" t="str">
        <f>IF(A282="","",MAX($C$1:C281)+1)</f>
        <v/>
      </c>
      <c r="E282" t="str">
        <f t="shared" si="10"/>
        <v xml:space="preserve"> </v>
      </c>
      <c r="G282">
        <f t="shared" si="11"/>
        <v>282</v>
      </c>
    </row>
    <row r="283" spans="1:7">
      <c r="A283" t="str">
        <f>IF(ISNA(INDEX('Yardi Report'!$A:$E,MATCH('Chart of Accounts'!$A289,'Yardi Report'!$A:$A,0),1)),"",INDEX('Yardi Report'!$A:$E,MATCH('Chart of Accounts'!$A289,'Yardi Report'!$A:$A,0),1))</f>
        <v/>
      </c>
      <c r="B283" t="str">
        <f>IF(ISNA(INDEX('Yardi Report'!$A:$E,MATCH('Chart of Accounts'!$A289,'Yardi Report'!$A:$A,0),2)),"",INDEX('Yardi Report'!$A:$E,MATCH('Chart of Accounts'!$A289,'Yardi Report'!$A:$A,0),2))</f>
        <v/>
      </c>
      <c r="C283" t="str">
        <f>IF(A283="","",MAX($C$1:C282)+1)</f>
        <v/>
      </c>
      <c r="E283" t="str">
        <f t="shared" si="10"/>
        <v xml:space="preserve"> </v>
      </c>
      <c r="G283">
        <f t="shared" si="11"/>
        <v>283</v>
      </c>
    </row>
    <row r="284" spans="1:7">
      <c r="A284" t="str">
        <f>IF(ISNA(INDEX('Yardi Report'!$A:$E,MATCH('Chart of Accounts'!$A290,'Yardi Report'!$A:$A,0),1)),"",INDEX('Yardi Report'!$A:$E,MATCH('Chart of Accounts'!$A290,'Yardi Report'!$A:$A,0),1))</f>
        <v>1600-0035</v>
      </c>
      <c r="B284" t="str">
        <f>IF(ISNA(INDEX('Yardi Report'!$A:$E,MATCH('Chart of Accounts'!$A290,'Yardi Report'!$A:$A,0),2)),"",INDEX('Yardi Report'!$A:$E,MATCH('Chart of Accounts'!$A290,'Yardi Report'!$A:$A,0),2))</f>
        <v xml:space="preserve"> Architect</v>
      </c>
      <c r="C284">
        <f>IF(A284="","",MAX($C$1:C283)+1)</f>
        <v>27</v>
      </c>
      <c r="E284" t="str">
        <f t="shared" si="10"/>
        <v>1600-0035  Architect</v>
      </c>
      <c r="G284">
        <f t="shared" si="11"/>
        <v>284</v>
      </c>
    </row>
    <row r="285" spans="1:7">
      <c r="A285" t="str">
        <f>IF(ISNA(INDEX('Yardi Report'!$A:$E,MATCH('Chart of Accounts'!$A291,'Yardi Report'!$A:$A,0),1)),"",INDEX('Yardi Report'!$A:$E,MATCH('Chart of Accounts'!$A291,'Yardi Report'!$A:$A,0),1))</f>
        <v/>
      </c>
      <c r="B285" t="str">
        <f>IF(ISNA(INDEX('Yardi Report'!$A:$E,MATCH('Chart of Accounts'!$A291,'Yardi Report'!$A:$A,0),2)),"",INDEX('Yardi Report'!$A:$E,MATCH('Chart of Accounts'!$A291,'Yardi Report'!$A:$A,0),2))</f>
        <v/>
      </c>
      <c r="C285" t="str">
        <f>IF(A285="","",MAX($C$1:C284)+1)</f>
        <v/>
      </c>
      <c r="E285" t="str">
        <f t="shared" si="10"/>
        <v xml:space="preserve"> </v>
      </c>
      <c r="G285">
        <f t="shared" si="11"/>
        <v>285</v>
      </c>
    </row>
    <row r="286" spans="1:7">
      <c r="A286" t="str">
        <f>IF(ISNA(INDEX('Yardi Report'!$A:$E,MATCH('Chart of Accounts'!$A292,'Yardi Report'!$A:$A,0),1)),"",INDEX('Yardi Report'!$A:$E,MATCH('Chart of Accounts'!$A292,'Yardi Report'!$A:$A,0),1))</f>
        <v/>
      </c>
      <c r="B286" t="str">
        <f>IF(ISNA(INDEX('Yardi Report'!$A:$E,MATCH('Chart of Accounts'!$A292,'Yardi Report'!$A:$A,0),2)),"",INDEX('Yardi Report'!$A:$E,MATCH('Chart of Accounts'!$A292,'Yardi Report'!$A:$A,0),2))</f>
        <v/>
      </c>
      <c r="C286" t="str">
        <f>IF(A286="","",MAX($C$1:C285)+1)</f>
        <v/>
      </c>
      <c r="E286" t="str">
        <f t="shared" si="10"/>
        <v xml:space="preserve"> </v>
      </c>
      <c r="G286">
        <f t="shared" si="11"/>
        <v>286</v>
      </c>
    </row>
    <row r="287" spans="1:7">
      <c r="A287" t="str">
        <f>IF(ISNA(INDEX('Yardi Report'!$A:$E,MATCH('Chart of Accounts'!$A293,'Yardi Report'!$A:$A,0),1)),"",INDEX('Yardi Report'!$A:$E,MATCH('Chart of Accounts'!$A293,'Yardi Report'!$A:$A,0),1))</f>
        <v/>
      </c>
      <c r="B287" t="str">
        <f>IF(ISNA(INDEX('Yardi Report'!$A:$E,MATCH('Chart of Accounts'!$A293,'Yardi Report'!$A:$A,0),2)),"",INDEX('Yardi Report'!$A:$E,MATCH('Chart of Accounts'!$A293,'Yardi Report'!$A:$A,0),2))</f>
        <v/>
      </c>
      <c r="C287" t="str">
        <f>IF(A287="","",MAX($C$1:C286)+1)</f>
        <v/>
      </c>
      <c r="E287" t="str">
        <f t="shared" si="10"/>
        <v xml:space="preserve"> </v>
      </c>
      <c r="G287">
        <f t="shared" si="11"/>
        <v>287</v>
      </c>
    </row>
    <row r="288" spans="1:7">
      <c r="A288" t="str">
        <f>IF(ISNA(INDEX('Yardi Report'!$A:$E,MATCH('Chart of Accounts'!$A294,'Yardi Report'!$A:$A,0),1)),"",INDEX('Yardi Report'!$A:$E,MATCH('Chart of Accounts'!$A294,'Yardi Report'!$A:$A,0),1))</f>
        <v/>
      </c>
      <c r="B288" t="str">
        <f>IF(ISNA(INDEX('Yardi Report'!$A:$E,MATCH('Chart of Accounts'!$A294,'Yardi Report'!$A:$A,0),2)),"",INDEX('Yardi Report'!$A:$E,MATCH('Chart of Accounts'!$A294,'Yardi Report'!$A:$A,0),2))</f>
        <v/>
      </c>
      <c r="C288" t="str">
        <f>IF(A288="","",MAX($C$1:C287)+1)</f>
        <v/>
      </c>
      <c r="E288" t="str">
        <f t="shared" si="10"/>
        <v xml:space="preserve"> </v>
      </c>
      <c r="G288">
        <f t="shared" si="11"/>
        <v>288</v>
      </c>
    </row>
    <row r="289" spans="1:7">
      <c r="A289" t="str">
        <f>IF(ISNA(INDEX('Yardi Report'!$A:$E,MATCH('Chart of Accounts'!$A295,'Yardi Report'!$A:$A,0),1)),"",INDEX('Yardi Report'!$A:$E,MATCH('Chart of Accounts'!$A295,'Yardi Report'!$A:$A,0),1))</f>
        <v/>
      </c>
      <c r="B289" t="str">
        <f>IF(ISNA(INDEX('Yardi Report'!$A:$E,MATCH('Chart of Accounts'!$A295,'Yardi Report'!$A:$A,0),2)),"",INDEX('Yardi Report'!$A:$E,MATCH('Chart of Accounts'!$A295,'Yardi Report'!$A:$A,0),2))</f>
        <v/>
      </c>
      <c r="C289" t="str">
        <f>IF(A289="","",MAX($C$1:C288)+1)</f>
        <v/>
      </c>
      <c r="E289" t="str">
        <f t="shared" si="10"/>
        <v xml:space="preserve"> </v>
      </c>
      <c r="G289">
        <f t="shared" si="11"/>
        <v>289</v>
      </c>
    </row>
    <row r="290" spans="1:7">
      <c r="A290" t="str">
        <f>IF(ISNA(INDEX('Yardi Report'!$A:$E,MATCH('Chart of Accounts'!$A296,'Yardi Report'!$A:$A,0),1)),"",INDEX('Yardi Report'!$A:$E,MATCH('Chart of Accounts'!$A296,'Yardi Report'!$A:$A,0),1))</f>
        <v/>
      </c>
      <c r="B290" t="str">
        <f>IF(ISNA(INDEX('Yardi Report'!$A:$E,MATCH('Chart of Accounts'!$A296,'Yardi Report'!$A:$A,0),2)),"",INDEX('Yardi Report'!$A:$E,MATCH('Chart of Accounts'!$A296,'Yardi Report'!$A:$A,0),2))</f>
        <v/>
      </c>
      <c r="C290" t="str">
        <f>IF(A290="","",MAX($C$1:C289)+1)</f>
        <v/>
      </c>
      <c r="E290" t="str">
        <f t="shared" si="10"/>
        <v xml:space="preserve"> </v>
      </c>
      <c r="G290">
        <f t="shared" si="11"/>
        <v>290</v>
      </c>
    </row>
    <row r="291" spans="1:7">
      <c r="A291" t="str">
        <f>IF(ISNA(INDEX('Yardi Report'!$A:$E,MATCH('Chart of Accounts'!$A297,'Yardi Report'!$A:$A,0),1)),"",INDEX('Yardi Report'!$A:$E,MATCH('Chart of Accounts'!$A297,'Yardi Report'!$A:$A,0),1))</f>
        <v/>
      </c>
      <c r="B291" t="str">
        <f>IF(ISNA(INDEX('Yardi Report'!$A:$E,MATCH('Chart of Accounts'!$A297,'Yardi Report'!$A:$A,0),2)),"",INDEX('Yardi Report'!$A:$E,MATCH('Chart of Accounts'!$A297,'Yardi Report'!$A:$A,0),2))</f>
        <v/>
      </c>
      <c r="C291" t="str">
        <f>IF(A291="","",MAX($C$1:C290)+1)</f>
        <v/>
      </c>
      <c r="E291" t="str">
        <f t="shared" si="10"/>
        <v xml:space="preserve"> </v>
      </c>
      <c r="G291">
        <f t="shared" si="11"/>
        <v>291</v>
      </c>
    </row>
    <row r="292" spans="1:7">
      <c r="A292" t="str">
        <f>IF(ISNA(INDEX('Yardi Report'!$A:$E,MATCH('Chart of Accounts'!$A298,'Yardi Report'!$A:$A,0),1)),"",INDEX('Yardi Report'!$A:$E,MATCH('Chart of Accounts'!$A298,'Yardi Report'!$A:$A,0),1))</f>
        <v/>
      </c>
      <c r="B292" t="str">
        <f>IF(ISNA(INDEX('Yardi Report'!$A:$E,MATCH('Chart of Accounts'!$A298,'Yardi Report'!$A:$A,0),2)),"",INDEX('Yardi Report'!$A:$E,MATCH('Chart of Accounts'!$A298,'Yardi Report'!$A:$A,0),2))</f>
        <v/>
      </c>
      <c r="C292" t="str">
        <f>IF(A292="","",MAX($C$1:C291)+1)</f>
        <v/>
      </c>
      <c r="E292" t="str">
        <f t="shared" si="10"/>
        <v xml:space="preserve"> </v>
      </c>
      <c r="G292">
        <f t="shared" si="11"/>
        <v>292</v>
      </c>
    </row>
    <row r="293" spans="1:7">
      <c r="A293" t="str">
        <f>IF(ISNA(INDEX('Yardi Report'!$A:$E,MATCH('Chart of Accounts'!$A299,'Yardi Report'!$A:$A,0),1)),"",INDEX('Yardi Report'!$A:$E,MATCH('Chart of Accounts'!$A299,'Yardi Report'!$A:$A,0),1))</f>
        <v/>
      </c>
      <c r="B293" t="str">
        <f>IF(ISNA(INDEX('Yardi Report'!$A:$E,MATCH('Chart of Accounts'!$A299,'Yardi Report'!$A:$A,0),2)),"",INDEX('Yardi Report'!$A:$E,MATCH('Chart of Accounts'!$A299,'Yardi Report'!$A:$A,0),2))</f>
        <v/>
      </c>
      <c r="C293" t="str">
        <f>IF(A293="","",MAX($C$1:C292)+1)</f>
        <v/>
      </c>
      <c r="E293" t="str">
        <f t="shared" si="10"/>
        <v xml:space="preserve"> </v>
      </c>
      <c r="G293">
        <f t="shared" si="11"/>
        <v>293</v>
      </c>
    </row>
    <row r="294" spans="1:7">
      <c r="A294" t="str">
        <f>IF(ISNA(INDEX('Yardi Report'!$A:$E,MATCH('Chart of Accounts'!$A300,'Yardi Report'!$A:$A,0),1)),"",INDEX('Yardi Report'!$A:$E,MATCH('Chart of Accounts'!$A300,'Yardi Report'!$A:$A,0),1))</f>
        <v/>
      </c>
      <c r="B294" t="str">
        <f>IF(ISNA(INDEX('Yardi Report'!$A:$E,MATCH('Chart of Accounts'!$A300,'Yardi Report'!$A:$A,0),2)),"",INDEX('Yardi Report'!$A:$E,MATCH('Chart of Accounts'!$A300,'Yardi Report'!$A:$A,0),2))</f>
        <v/>
      </c>
      <c r="C294" t="str">
        <f>IF(A294="","",MAX($C$1:C293)+1)</f>
        <v/>
      </c>
      <c r="E294" t="str">
        <f t="shared" si="10"/>
        <v xml:space="preserve"> </v>
      </c>
      <c r="G294">
        <f t="shared" si="11"/>
        <v>294</v>
      </c>
    </row>
    <row r="295" spans="1:7">
      <c r="A295" t="str">
        <f>IF(ISNA(INDEX('Yardi Report'!$A:$E,MATCH('Chart of Accounts'!$A301,'Yardi Report'!$A:$A,0),1)),"",INDEX('Yardi Report'!$A:$E,MATCH('Chart of Accounts'!$A301,'Yardi Report'!$A:$A,0),1))</f>
        <v/>
      </c>
      <c r="B295" t="str">
        <f>IF(ISNA(INDEX('Yardi Report'!$A:$E,MATCH('Chart of Accounts'!$A301,'Yardi Report'!$A:$A,0),2)),"",INDEX('Yardi Report'!$A:$E,MATCH('Chart of Accounts'!$A301,'Yardi Report'!$A:$A,0),2))</f>
        <v/>
      </c>
      <c r="C295" t="str">
        <f>IF(A295="","",MAX($C$1:C294)+1)</f>
        <v/>
      </c>
      <c r="E295" t="str">
        <f t="shared" si="10"/>
        <v xml:space="preserve"> </v>
      </c>
      <c r="G295">
        <f t="shared" si="11"/>
        <v>295</v>
      </c>
    </row>
    <row r="296" spans="1:7">
      <c r="A296" t="str">
        <f>IF(ISNA(INDEX('Yardi Report'!$A:$E,MATCH('Chart of Accounts'!$A302,'Yardi Report'!$A:$A,0),1)),"",INDEX('Yardi Report'!$A:$E,MATCH('Chart of Accounts'!$A302,'Yardi Report'!$A:$A,0),1))</f>
        <v/>
      </c>
      <c r="B296" t="str">
        <f>IF(ISNA(INDEX('Yardi Report'!$A:$E,MATCH('Chart of Accounts'!$A302,'Yardi Report'!$A:$A,0),2)),"",INDEX('Yardi Report'!$A:$E,MATCH('Chart of Accounts'!$A302,'Yardi Report'!$A:$A,0),2))</f>
        <v/>
      </c>
      <c r="C296" t="str">
        <f>IF(A296="","",MAX($C$1:C295)+1)</f>
        <v/>
      </c>
      <c r="E296" t="str">
        <f t="shared" si="10"/>
        <v xml:space="preserve"> </v>
      </c>
      <c r="G296">
        <f t="shared" si="11"/>
        <v>296</v>
      </c>
    </row>
    <row r="297" spans="1:7">
      <c r="A297" t="str">
        <f>IF(ISNA(INDEX('Yardi Report'!$A:$E,MATCH('Chart of Accounts'!$A303,'Yardi Report'!$A:$A,0),1)),"",INDEX('Yardi Report'!$A:$E,MATCH('Chart of Accounts'!$A303,'Yardi Report'!$A:$A,0),1))</f>
        <v/>
      </c>
      <c r="B297" t="str">
        <f>IF(ISNA(INDEX('Yardi Report'!$A:$E,MATCH('Chart of Accounts'!$A303,'Yardi Report'!$A:$A,0),2)),"",INDEX('Yardi Report'!$A:$E,MATCH('Chart of Accounts'!$A303,'Yardi Report'!$A:$A,0),2))</f>
        <v/>
      </c>
      <c r="C297" t="str">
        <f>IF(A297="","",MAX($C$1:C296)+1)</f>
        <v/>
      </c>
      <c r="E297" t="str">
        <f t="shared" si="10"/>
        <v xml:space="preserve"> </v>
      </c>
      <c r="G297">
        <f t="shared" si="11"/>
        <v>297</v>
      </c>
    </row>
    <row r="298" spans="1:7">
      <c r="A298" t="str">
        <f>IF(ISNA(INDEX('Yardi Report'!$A:$E,MATCH('Chart of Accounts'!$A304,'Yardi Report'!$A:$A,0),1)),"",INDEX('Yardi Report'!$A:$E,MATCH('Chart of Accounts'!$A304,'Yardi Report'!$A:$A,0),1))</f>
        <v/>
      </c>
      <c r="B298" t="str">
        <f>IF(ISNA(INDEX('Yardi Report'!$A:$E,MATCH('Chart of Accounts'!$A304,'Yardi Report'!$A:$A,0),2)),"",INDEX('Yardi Report'!$A:$E,MATCH('Chart of Accounts'!$A304,'Yardi Report'!$A:$A,0),2))</f>
        <v/>
      </c>
      <c r="C298" t="str">
        <f>IF(A298="","",MAX($C$1:C297)+1)</f>
        <v/>
      </c>
      <c r="E298" t="str">
        <f t="shared" si="10"/>
        <v xml:space="preserve"> </v>
      </c>
      <c r="G298">
        <f t="shared" si="11"/>
        <v>298</v>
      </c>
    </row>
    <row r="299" spans="1:7">
      <c r="A299" t="str">
        <f>IF(ISNA(INDEX('Yardi Report'!$A:$E,MATCH('Chart of Accounts'!$A305,'Yardi Report'!$A:$A,0),1)),"",INDEX('Yardi Report'!$A:$E,MATCH('Chart of Accounts'!$A305,'Yardi Report'!$A:$A,0),1))</f>
        <v>1600-1000</v>
      </c>
      <c r="B299" t="str">
        <f>IF(ISNA(INDEX('Yardi Report'!$A:$E,MATCH('Chart of Accounts'!$A305,'Yardi Report'!$A:$A,0),2)),"",INDEX('Yardi Report'!$A:$E,MATCH('Chart of Accounts'!$A305,'Yardi Report'!$A:$A,0),2))</f>
        <v>Draws</v>
      </c>
      <c r="C299">
        <f>IF(A299="","",MAX($C$1:C298)+1)</f>
        <v>28</v>
      </c>
      <c r="E299" t="str">
        <f t="shared" si="10"/>
        <v>1600-1000 Draws</v>
      </c>
      <c r="G299">
        <f t="shared" si="11"/>
        <v>299</v>
      </c>
    </row>
    <row r="300" spans="1:7">
      <c r="A300" t="str">
        <f>IF(ISNA(INDEX('Yardi Report'!$A:$E,MATCH('Chart of Accounts'!$A306,'Yardi Report'!$A:$A,0),1)),"",INDEX('Yardi Report'!$A:$E,MATCH('Chart of Accounts'!$A306,'Yardi Report'!$A:$A,0),1))</f>
        <v/>
      </c>
      <c r="B300" t="str">
        <f>IF(ISNA(INDEX('Yardi Report'!$A:$E,MATCH('Chart of Accounts'!$A306,'Yardi Report'!$A:$A,0),2)),"",INDEX('Yardi Report'!$A:$E,MATCH('Chart of Accounts'!$A306,'Yardi Report'!$A:$A,0),2))</f>
        <v/>
      </c>
      <c r="C300" t="str">
        <f>IF(A300="","",MAX($C$1:C299)+1)</f>
        <v/>
      </c>
      <c r="E300" t="str">
        <f t="shared" si="10"/>
        <v xml:space="preserve"> </v>
      </c>
      <c r="G300">
        <f t="shared" si="11"/>
        <v>300</v>
      </c>
    </row>
    <row r="301" spans="1:7">
      <c r="A301" t="str">
        <f>IF(ISNA(INDEX('Yardi Report'!$A:$E,MATCH('Chart of Accounts'!$A307,'Yardi Report'!$A:$A,0),1)),"",INDEX('Yardi Report'!$A:$E,MATCH('Chart of Accounts'!$A307,'Yardi Report'!$A:$A,0),1))</f>
        <v/>
      </c>
      <c r="B301" t="str">
        <f>IF(ISNA(INDEX('Yardi Report'!$A:$E,MATCH('Chart of Accounts'!$A307,'Yardi Report'!$A:$A,0),2)),"",INDEX('Yardi Report'!$A:$E,MATCH('Chart of Accounts'!$A307,'Yardi Report'!$A:$A,0),2))</f>
        <v/>
      </c>
      <c r="C301" t="str">
        <f>IF(A301="","",MAX($C$1:C300)+1)</f>
        <v/>
      </c>
      <c r="E301" t="str">
        <f t="shared" si="10"/>
        <v xml:space="preserve"> </v>
      </c>
      <c r="G301">
        <f t="shared" si="11"/>
        <v>301</v>
      </c>
    </row>
    <row r="302" spans="1:7">
      <c r="A302" t="str">
        <f>IF(ISNA(INDEX('Yardi Report'!$A:$E,MATCH('Chart of Accounts'!$A308,'Yardi Report'!$A:$A,0),1)),"",INDEX('Yardi Report'!$A:$E,MATCH('Chart of Accounts'!$A308,'Yardi Report'!$A:$A,0),1))</f>
        <v/>
      </c>
      <c r="B302" t="str">
        <f>IF(ISNA(INDEX('Yardi Report'!$A:$E,MATCH('Chart of Accounts'!$A308,'Yardi Report'!$A:$A,0),2)),"",INDEX('Yardi Report'!$A:$E,MATCH('Chart of Accounts'!$A308,'Yardi Report'!$A:$A,0),2))</f>
        <v/>
      </c>
      <c r="C302" t="str">
        <f>IF(A302="","",MAX($C$1:C301)+1)</f>
        <v/>
      </c>
      <c r="E302" t="str">
        <f t="shared" si="10"/>
        <v xml:space="preserve"> </v>
      </c>
      <c r="G302">
        <f t="shared" si="11"/>
        <v>302</v>
      </c>
    </row>
    <row r="303" spans="1:7">
      <c r="A303" t="str">
        <f>IF(ISNA(INDEX('Yardi Report'!$A:$E,MATCH('Chart of Accounts'!$A309,'Yardi Report'!$A:$A,0),1)),"",INDEX('Yardi Report'!$A:$E,MATCH('Chart of Accounts'!$A309,'Yardi Report'!$A:$A,0),1))</f>
        <v/>
      </c>
      <c r="B303" t="str">
        <f>IF(ISNA(INDEX('Yardi Report'!$A:$E,MATCH('Chart of Accounts'!$A309,'Yardi Report'!$A:$A,0),2)),"",INDEX('Yardi Report'!$A:$E,MATCH('Chart of Accounts'!$A309,'Yardi Report'!$A:$A,0),2))</f>
        <v/>
      </c>
      <c r="C303" t="str">
        <f>IF(A303="","",MAX($C$1:C302)+1)</f>
        <v/>
      </c>
      <c r="E303" t="str">
        <f t="shared" si="10"/>
        <v xml:space="preserve"> </v>
      </c>
      <c r="G303">
        <f t="shared" si="11"/>
        <v>303</v>
      </c>
    </row>
    <row r="304" spans="1:7">
      <c r="A304" t="str">
        <f>IF(ISNA(INDEX('Yardi Report'!$A:$E,MATCH('Chart of Accounts'!$A310,'Yardi Report'!$A:$A,0),1)),"",INDEX('Yardi Report'!$A:$E,MATCH('Chart of Accounts'!$A310,'Yardi Report'!$A:$A,0),1))</f>
        <v/>
      </c>
      <c r="B304" t="str">
        <f>IF(ISNA(INDEX('Yardi Report'!$A:$E,MATCH('Chart of Accounts'!$A310,'Yardi Report'!$A:$A,0),2)),"",INDEX('Yardi Report'!$A:$E,MATCH('Chart of Accounts'!$A310,'Yardi Report'!$A:$A,0),2))</f>
        <v/>
      </c>
      <c r="C304" t="str">
        <f>IF(A304="","",MAX($C$1:C303)+1)</f>
        <v/>
      </c>
      <c r="E304" t="str">
        <f t="shared" si="10"/>
        <v xml:space="preserve"> </v>
      </c>
      <c r="G304">
        <f t="shared" si="11"/>
        <v>304</v>
      </c>
    </row>
    <row r="305" spans="1:7">
      <c r="A305" t="str">
        <f>IF(ISNA(INDEX('Yardi Report'!$A:$E,MATCH('Chart of Accounts'!$A311,'Yardi Report'!$A:$A,0),1)),"",INDEX('Yardi Report'!$A:$E,MATCH('Chart of Accounts'!$A311,'Yardi Report'!$A:$A,0),1))</f>
        <v/>
      </c>
      <c r="B305" t="str">
        <f>IF(ISNA(INDEX('Yardi Report'!$A:$E,MATCH('Chart of Accounts'!$A311,'Yardi Report'!$A:$A,0),2)),"",INDEX('Yardi Report'!$A:$E,MATCH('Chart of Accounts'!$A311,'Yardi Report'!$A:$A,0),2))</f>
        <v/>
      </c>
      <c r="C305" t="str">
        <f>IF(A305="","",MAX($C$1:C304)+1)</f>
        <v/>
      </c>
      <c r="E305" t="str">
        <f t="shared" si="10"/>
        <v xml:space="preserve"> </v>
      </c>
      <c r="G305">
        <f t="shared" si="11"/>
        <v>305</v>
      </c>
    </row>
    <row r="306" spans="1:7">
      <c r="A306" t="str">
        <f>IF(ISNA(INDEX('Yardi Report'!$A:$E,MATCH('Chart of Accounts'!$A312,'Yardi Report'!$A:$A,0),1)),"",INDEX('Yardi Report'!$A:$E,MATCH('Chart of Accounts'!$A312,'Yardi Report'!$A:$A,0),1))</f>
        <v/>
      </c>
      <c r="B306" t="str">
        <f>IF(ISNA(INDEX('Yardi Report'!$A:$E,MATCH('Chart of Accounts'!$A312,'Yardi Report'!$A:$A,0),2)),"",INDEX('Yardi Report'!$A:$E,MATCH('Chart of Accounts'!$A312,'Yardi Report'!$A:$A,0),2))</f>
        <v/>
      </c>
      <c r="C306" t="str">
        <f>IF(A306="","",MAX($C$1:C305)+1)</f>
        <v/>
      </c>
      <c r="E306" t="str">
        <f t="shared" si="10"/>
        <v xml:space="preserve"> </v>
      </c>
      <c r="G306">
        <f t="shared" si="11"/>
        <v>306</v>
      </c>
    </row>
    <row r="307" spans="1:7">
      <c r="A307" t="str">
        <f>IF(ISNA(INDEX('Yardi Report'!$A:$E,MATCH('Chart of Accounts'!$A313,'Yardi Report'!$A:$A,0),1)),"",INDEX('Yardi Report'!$A:$E,MATCH('Chart of Accounts'!$A313,'Yardi Report'!$A:$A,0),1))</f>
        <v/>
      </c>
      <c r="B307" t="str">
        <f>IF(ISNA(INDEX('Yardi Report'!$A:$E,MATCH('Chart of Accounts'!$A313,'Yardi Report'!$A:$A,0),2)),"",INDEX('Yardi Report'!$A:$E,MATCH('Chart of Accounts'!$A313,'Yardi Report'!$A:$A,0),2))</f>
        <v/>
      </c>
      <c r="C307" t="str">
        <f>IF(A307="","",MAX($C$1:C306)+1)</f>
        <v/>
      </c>
      <c r="E307" t="str">
        <f t="shared" si="10"/>
        <v xml:space="preserve"> </v>
      </c>
      <c r="G307">
        <f t="shared" si="11"/>
        <v>307</v>
      </c>
    </row>
    <row r="308" spans="1:7">
      <c r="A308" t="str">
        <f>IF(ISNA(INDEX('Yardi Report'!$A:$E,MATCH('Chart of Accounts'!$A314,'Yardi Report'!$A:$A,0),1)),"",INDEX('Yardi Report'!$A:$E,MATCH('Chart of Accounts'!$A314,'Yardi Report'!$A:$A,0),1))</f>
        <v/>
      </c>
      <c r="B308" t="str">
        <f>IF(ISNA(INDEX('Yardi Report'!$A:$E,MATCH('Chart of Accounts'!$A314,'Yardi Report'!$A:$A,0),2)),"",INDEX('Yardi Report'!$A:$E,MATCH('Chart of Accounts'!$A314,'Yardi Report'!$A:$A,0),2))</f>
        <v/>
      </c>
      <c r="C308" t="str">
        <f>IF(A308="","",MAX($C$1:C307)+1)</f>
        <v/>
      </c>
      <c r="E308" t="str">
        <f t="shared" si="10"/>
        <v xml:space="preserve"> </v>
      </c>
      <c r="G308">
        <f t="shared" si="11"/>
        <v>308</v>
      </c>
    </row>
    <row r="309" spans="1:7">
      <c r="A309" t="str">
        <f>IF(ISNA(INDEX('Yardi Report'!$A:$E,MATCH('Chart of Accounts'!$A315,'Yardi Report'!$A:$A,0),1)),"",INDEX('Yardi Report'!$A:$E,MATCH('Chart of Accounts'!$A315,'Yardi Report'!$A:$A,0),1))</f>
        <v/>
      </c>
      <c r="B309" t="str">
        <f>IF(ISNA(INDEX('Yardi Report'!$A:$E,MATCH('Chart of Accounts'!$A315,'Yardi Report'!$A:$A,0),2)),"",INDEX('Yardi Report'!$A:$E,MATCH('Chart of Accounts'!$A315,'Yardi Report'!$A:$A,0),2))</f>
        <v/>
      </c>
      <c r="C309" t="str">
        <f>IF(A309="","",MAX($C$1:C308)+1)</f>
        <v/>
      </c>
      <c r="E309" t="str">
        <f t="shared" si="10"/>
        <v xml:space="preserve"> </v>
      </c>
      <c r="G309">
        <f t="shared" si="11"/>
        <v>309</v>
      </c>
    </row>
    <row r="310" spans="1:7">
      <c r="A310" t="str">
        <f>IF(ISNA(INDEX('Yardi Report'!$A:$E,MATCH('Chart of Accounts'!$A316,'Yardi Report'!$A:$A,0),1)),"",INDEX('Yardi Report'!$A:$E,MATCH('Chart of Accounts'!$A316,'Yardi Report'!$A:$A,0),1))</f>
        <v/>
      </c>
      <c r="B310" t="str">
        <f>IF(ISNA(INDEX('Yardi Report'!$A:$E,MATCH('Chart of Accounts'!$A316,'Yardi Report'!$A:$A,0),2)),"",INDEX('Yardi Report'!$A:$E,MATCH('Chart of Accounts'!$A316,'Yardi Report'!$A:$A,0),2))</f>
        <v/>
      </c>
      <c r="C310" t="str">
        <f>IF(A310="","",MAX($C$1:C309)+1)</f>
        <v/>
      </c>
      <c r="E310" t="str">
        <f t="shared" si="10"/>
        <v xml:space="preserve"> </v>
      </c>
      <c r="G310">
        <f t="shared" si="11"/>
        <v>310</v>
      </c>
    </row>
    <row r="311" spans="1:7">
      <c r="A311" t="str">
        <f>IF(ISNA(INDEX('Yardi Report'!$A:$E,MATCH('Chart of Accounts'!$A317,'Yardi Report'!$A:$A,0),1)),"",INDEX('Yardi Report'!$A:$E,MATCH('Chart of Accounts'!$A317,'Yardi Report'!$A:$A,0),1))</f>
        <v/>
      </c>
      <c r="B311" t="str">
        <f>IF(ISNA(INDEX('Yardi Report'!$A:$E,MATCH('Chart of Accounts'!$A317,'Yardi Report'!$A:$A,0),2)),"",INDEX('Yardi Report'!$A:$E,MATCH('Chart of Accounts'!$A317,'Yardi Report'!$A:$A,0),2))</f>
        <v/>
      </c>
      <c r="C311" t="str">
        <f>IF(A311="","",MAX($C$1:C310)+1)</f>
        <v/>
      </c>
      <c r="E311" t="str">
        <f t="shared" si="10"/>
        <v xml:space="preserve"> </v>
      </c>
      <c r="G311">
        <f t="shared" si="11"/>
        <v>311</v>
      </c>
    </row>
    <row r="312" spans="1:7">
      <c r="A312" t="str">
        <f>IF(ISNA(INDEX('Yardi Report'!$A:$E,MATCH('Chart of Accounts'!$A318,'Yardi Report'!$A:$A,0),1)),"",INDEX('Yardi Report'!$A:$E,MATCH('Chart of Accounts'!$A318,'Yardi Report'!$A:$A,0),1))</f>
        <v/>
      </c>
      <c r="B312" t="str">
        <f>IF(ISNA(INDEX('Yardi Report'!$A:$E,MATCH('Chart of Accounts'!$A318,'Yardi Report'!$A:$A,0),2)),"",INDEX('Yardi Report'!$A:$E,MATCH('Chart of Accounts'!$A318,'Yardi Report'!$A:$A,0),2))</f>
        <v/>
      </c>
      <c r="C312" t="str">
        <f>IF(A312="","",MAX($C$1:C311)+1)</f>
        <v/>
      </c>
      <c r="E312" t="str">
        <f t="shared" si="10"/>
        <v xml:space="preserve"> </v>
      </c>
      <c r="G312">
        <f t="shared" si="11"/>
        <v>312</v>
      </c>
    </row>
    <row r="313" spans="1:7">
      <c r="A313" t="str">
        <f>IF(ISNA(INDEX('Yardi Report'!$A:$E,MATCH('Chart of Accounts'!$A319,'Yardi Report'!$A:$A,0),1)),"",INDEX('Yardi Report'!$A:$E,MATCH('Chart of Accounts'!$A319,'Yardi Report'!$A:$A,0),1))</f>
        <v/>
      </c>
      <c r="B313" t="str">
        <f>IF(ISNA(INDEX('Yardi Report'!$A:$E,MATCH('Chart of Accounts'!$A319,'Yardi Report'!$A:$A,0),2)),"",INDEX('Yardi Report'!$A:$E,MATCH('Chart of Accounts'!$A319,'Yardi Report'!$A:$A,0),2))</f>
        <v/>
      </c>
      <c r="C313" t="str">
        <f>IF(A313="","",MAX($C$1:C312)+1)</f>
        <v/>
      </c>
      <c r="E313" t="str">
        <f t="shared" si="10"/>
        <v xml:space="preserve"> </v>
      </c>
      <c r="G313">
        <f t="shared" si="11"/>
        <v>313</v>
      </c>
    </row>
    <row r="314" spans="1:7">
      <c r="A314" t="str">
        <f>IF(ISNA(INDEX('Yardi Report'!$A:$E,MATCH('Chart of Accounts'!$A320,'Yardi Report'!$A:$A,0),1)),"",INDEX('Yardi Report'!$A:$E,MATCH('Chart of Accounts'!$A320,'Yardi Report'!$A:$A,0),1))</f>
        <v/>
      </c>
      <c r="B314" t="str">
        <f>IF(ISNA(INDEX('Yardi Report'!$A:$E,MATCH('Chart of Accounts'!$A320,'Yardi Report'!$A:$A,0),2)),"",INDEX('Yardi Report'!$A:$E,MATCH('Chart of Accounts'!$A320,'Yardi Report'!$A:$A,0),2))</f>
        <v/>
      </c>
      <c r="C314" t="str">
        <f>IF(A314="","",MAX($C$1:C313)+1)</f>
        <v/>
      </c>
      <c r="E314" t="str">
        <f t="shared" si="10"/>
        <v xml:space="preserve"> </v>
      </c>
      <c r="G314">
        <f t="shared" si="11"/>
        <v>314</v>
      </c>
    </row>
    <row r="315" spans="1:7">
      <c r="A315" t="str">
        <f>IF(ISNA(INDEX('Yardi Report'!$A:$E,MATCH('Chart of Accounts'!$A321,'Yardi Report'!$A:$A,0),1)),"",INDEX('Yardi Report'!$A:$E,MATCH('Chart of Accounts'!$A321,'Yardi Report'!$A:$A,0),1))</f>
        <v/>
      </c>
      <c r="B315" t="str">
        <f>IF(ISNA(INDEX('Yardi Report'!$A:$E,MATCH('Chart of Accounts'!$A321,'Yardi Report'!$A:$A,0),2)),"",INDEX('Yardi Report'!$A:$E,MATCH('Chart of Accounts'!$A321,'Yardi Report'!$A:$A,0),2))</f>
        <v/>
      </c>
      <c r="C315" t="str">
        <f>IF(A315="","",MAX($C$1:C314)+1)</f>
        <v/>
      </c>
      <c r="E315" t="str">
        <f t="shared" si="10"/>
        <v xml:space="preserve"> </v>
      </c>
      <c r="G315">
        <f t="shared" si="11"/>
        <v>315</v>
      </c>
    </row>
    <row r="316" spans="1:7">
      <c r="A316" t="str">
        <f>IF(ISNA(INDEX('Yardi Report'!$A:$E,MATCH('Chart of Accounts'!$A322,'Yardi Report'!$A:$A,0),1)),"",INDEX('Yardi Report'!$A:$E,MATCH('Chart of Accounts'!$A322,'Yardi Report'!$A:$A,0),1))</f>
        <v>1600-9999</v>
      </c>
      <c r="B316" t="str">
        <f>IF(ISNA(INDEX('Yardi Report'!$A:$E,MATCH('Chart of Accounts'!$A322,'Yardi Report'!$A:$A,0),2)),"",INDEX('Yardi Report'!$A:$E,MATCH('Chart of Accounts'!$A322,'Yardi Report'!$A:$A,0),2))</f>
        <v xml:space="preserve">  TOTAL CONSTRUCTION IN PROGRESS</v>
      </c>
      <c r="C316">
        <f>IF(A316="","",MAX($C$1:C315)+1)</f>
        <v>29</v>
      </c>
      <c r="E316" t="str">
        <f t="shared" si="10"/>
        <v>1600-9999   TOTAL CONSTRUCTION IN PROGRESS</v>
      </c>
      <c r="G316">
        <f t="shared" si="11"/>
        <v>316</v>
      </c>
    </row>
    <row r="317" spans="1:7">
      <c r="A317" t="str">
        <f>IF(ISNA(INDEX('Yardi Report'!$A:$E,MATCH('Chart of Accounts'!$A323,'Yardi Report'!$A:$A,0),1)),"",INDEX('Yardi Report'!$A:$E,MATCH('Chart of Accounts'!$A323,'Yardi Report'!$A:$A,0),1))</f>
        <v/>
      </c>
      <c r="B317" t="str">
        <f>IF(ISNA(INDEX('Yardi Report'!$A:$E,MATCH('Chart of Accounts'!$A323,'Yardi Report'!$A:$A,0),2)),"",INDEX('Yardi Report'!$A:$E,MATCH('Chart of Accounts'!$A323,'Yardi Report'!$A:$A,0),2))</f>
        <v/>
      </c>
      <c r="C317" t="str">
        <f>IF(A317="","",MAX($C$1:C316)+1)</f>
        <v/>
      </c>
      <c r="E317" t="str">
        <f t="shared" si="10"/>
        <v xml:space="preserve"> </v>
      </c>
      <c r="G317">
        <f t="shared" si="11"/>
        <v>317</v>
      </c>
    </row>
    <row r="318" spans="1:7">
      <c r="A318" t="str">
        <f>IF(ISNA(INDEX('Yardi Report'!$A:$E,MATCH('Chart of Accounts'!$A324,'Yardi Report'!$A:$A,0),1)),"",INDEX('Yardi Report'!$A:$E,MATCH('Chart of Accounts'!$A324,'Yardi Report'!$A:$A,0),1))</f>
        <v/>
      </c>
      <c r="B318" t="str">
        <f>IF(ISNA(INDEX('Yardi Report'!$A:$E,MATCH('Chart of Accounts'!$A324,'Yardi Report'!$A:$A,0),2)),"",INDEX('Yardi Report'!$A:$E,MATCH('Chart of Accounts'!$A324,'Yardi Report'!$A:$A,0),2))</f>
        <v/>
      </c>
      <c r="C318" t="str">
        <f>IF(A318="","",MAX($C$1:C317)+1)</f>
        <v/>
      </c>
      <c r="E318" t="str">
        <f t="shared" si="10"/>
        <v xml:space="preserve"> </v>
      </c>
      <c r="G318">
        <f t="shared" si="11"/>
        <v>318</v>
      </c>
    </row>
    <row r="319" spans="1:7">
      <c r="A319" t="str">
        <f>IF(ISNA(INDEX('Yardi Report'!$A:$E,MATCH('Chart of Accounts'!$A325,'Yardi Report'!$A:$A,0),1)),"",INDEX('Yardi Report'!$A:$E,MATCH('Chart of Accounts'!$A325,'Yardi Report'!$A:$A,0),1))</f>
        <v/>
      </c>
      <c r="B319" t="str">
        <f>IF(ISNA(INDEX('Yardi Report'!$A:$E,MATCH('Chart of Accounts'!$A325,'Yardi Report'!$A:$A,0),2)),"",INDEX('Yardi Report'!$A:$E,MATCH('Chart of Accounts'!$A325,'Yardi Report'!$A:$A,0),2))</f>
        <v/>
      </c>
      <c r="C319" t="str">
        <f>IF(A319="","",MAX($C$1:C318)+1)</f>
        <v/>
      </c>
      <c r="E319" t="str">
        <f t="shared" si="10"/>
        <v xml:space="preserve"> </v>
      </c>
      <c r="G319">
        <f t="shared" si="11"/>
        <v>319</v>
      </c>
    </row>
    <row r="320" spans="1:7">
      <c r="A320" t="str">
        <f>IF(ISNA(INDEX('Yardi Report'!$A:$E,MATCH('Chart of Accounts'!$A326,'Yardi Report'!$A:$A,0),1)),"",INDEX('Yardi Report'!$A:$E,MATCH('Chart of Accounts'!$A326,'Yardi Report'!$A:$A,0),1))</f>
        <v/>
      </c>
      <c r="B320" t="str">
        <f>IF(ISNA(INDEX('Yardi Report'!$A:$E,MATCH('Chart of Accounts'!$A326,'Yardi Report'!$A:$A,0),2)),"",INDEX('Yardi Report'!$A:$E,MATCH('Chart of Accounts'!$A326,'Yardi Report'!$A:$A,0),2))</f>
        <v/>
      </c>
      <c r="C320" t="str">
        <f>IF(A320="","",MAX($C$1:C319)+1)</f>
        <v/>
      </c>
      <c r="E320" t="str">
        <f t="shared" si="10"/>
        <v xml:space="preserve"> </v>
      </c>
      <c r="G320">
        <f t="shared" si="11"/>
        <v>320</v>
      </c>
    </row>
    <row r="321" spans="1:7">
      <c r="A321" t="str">
        <f>IF(ISNA(INDEX('Yardi Report'!$A:$E,MATCH('Chart of Accounts'!$A327,'Yardi Report'!$A:$A,0),1)),"",INDEX('Yardi Report'!$A:$E,MATCH('Chart of Accounts'!$A327,'Yardi Report'!$A:$A,0),1))</f>
        <v/>
      </c>
      <c r="B321" t="str">
        <f>IF(ISNA(INDEX('Yardi Report'!$A:$E,MATCH('Chart of Accounts'!$A327,'Yardi Report'!$A:$A,0),2)),"",INDEX('Yardi Report'!$A:$E,MATCH('Chart of Accounts'!$A327,'Yardi Report'!$A:$A,0),2))</f>
        <v/>
      </c>
      <c r="C321" t="str">
        <f>IF(A321="","",MAX($C$1:C320)+1)</f>
        <v/>
      </c>
      <c r="E321" t="str">
        <f t="shared" si="10"/>
        <v xml:space="preserve"> </v>
      </c>
      <c r="G321">
        <f t="shared" si="11"/>
        <v>321</v>
      </c>
    </row>
    <row r="322" spans="1:7">
      <c r="A322" t="str">
        <f>IF(ISNA(INDEX('Yardi Report'!$A:$E,MATCH('Chart of Accounts'!$A328,'Yardi Report'!$A:$A,0),1)),"",INDEX('Yardi Report'!$A:$E,MATCH('Chart of Accounts'!$A328,'Yardi Report'!$A:$A,0),1))</f>
        <v/>
      </c>
      <c r="B322" t="str">
        <f>IF(ISNA(INDEX('Yardi Report'!$A:$E,MATCH('Chart of Accounts'!$A328,'Yardi Report'!$A:$A,0),2)),"",INDEX('Yardi Report'!$A:$E,MATCH('Chart of Accounts'!$A328,'Yardi Report'!$A:$A,0),2))</f>
        <v/>
      </c>
      <c r="C322" t="str">
        <f>IF(A322="","",MAX($C$1:C321)+1)</f>
        <v/>
      </c>
      <c r="E322" t="str">
        <f t="shared" ref="E322:E385" si="12">A322&amp;" "&amp;B322</f>
        <v xml:space="preserve"> </v>
      </c>
      <c r="G322">
        <f t="shared" si="11"/>
        <v>322</v>
      </c>
    </row>
    <row r="323" spans="1:7">
      <c r="A323" t="str">
        <f>IF(ISNA(INDEX('Yardi Report'!$A:$E,MATCH('Chart of Accounts'!$A329,'Yardi Report'!$A:$A,0),1)),"",INDEX('Yardi Report'!$A:$E,MATCH('Chart of Accounts'!$A329,'Yardi Report'!$A:$A,0),1))</f>
        <v/>
      </c>
      <c r="B323" t="str">
        <f>IF(ISNA(INDEX('Yardi Report'!$A:$E,MATCH('Chart of Accounts'!$A329,'Yardi Report'!$A:$A,0),2)),"",INDEX('Yardi Report'!$A:$E,MATCH('Chart of Accounts'!$A329,'Yardi Report'!$A:$A,0),2))</f>
        <v/>
      </c>
      <c r="C323" t="str">
        <f>IF(A323="","",MAX($C$1:C322)+1)</f>
        <v/>
      </c>
      <c r="E323" t="str">
        <f t="shared" si="12"/>
        <v xml:space="preserve"> </v>
      </c>
      <c r="G323">
        <f t="shared" ref="G323:G386" si="13">+G322+1</f>
        <v>323</v>
      </c>
    </row>
    <row r="324" spans="1:7">
      <c r="A324" t="str">
        <f>IF(ISNA(INDEX('Yardi Report'!$A:$E,MATCH('Chart of Accounts'!$A330,'Yardi Report'!$A:$A,0),1)),"",INDEX('Yardi Report'!$A:$E,MATCH('Chart of Accounts'!$A330,'Yardi Report'!$A:$A,0),1))</f>
        <v/>
      </c>
      <c r="B324" t="str">
        <f>IF(ISNA(INDEX('Yardi Report'!$A:$E,MATCH('Chart of Accounts'!$A330,'Yardi Report'!$A:$A,0),2)),"",INDEX('Yardi Report'!$A:$E,MATCH('Chart of Accounts'!$A330,'Yardi Report'!$A:$A,0),2))</f>
        <v/>
      </c>
      <c r="C324" t="str">
        <f>IF(A324="","",MAX($C$1:C323)+1)</f>
        <v/>
      </c>
      <c r="E324" t="str">
        <f t="shared" si="12"/>
        <v xml:space="preserve"> </v>
      </c>
      <c r="G324">
        <f t="shared" si="13"/>
        <v>324</v>
      </c>
    </row>
    <row r="325" spans="1:7">
      <c r="A325" t="str">
        <f>IF(ISNA(INDEX('Yardi Report'!$A:$E,MATCH('Chart of Accounts'!$A331,'Yardi Report'!$A:$A,0),1)),"",INDEX('Yardi Report'!$A:$E,MATCH('Chart of Accounts'!$A331,'Yardi Report'!$A:$A,0),1))</f>
        <v/>
      </c>
      <c r="B325" t="str">
        <f>IF(ISNA(INDEX('Yardi Report'!$A:$E,MATCH('Chart of Accounts'!$A331,'Yardi Report'!$A:$A,0),2)),"",INDEX('Yardi Report'!$A:$E,MATCH('Chart of Accounts'!$A331,'Yardi Report'!$A:$A,0),2))</f>
        <v/>
      </c>
      <c r="C325" t="str">
        <f>IF(A325="","",MAX($C$1:C324)+1)</f>
        <v/>
      </c>
      <c r="E325" t="str">
        <f t="shared" si="12"/>
        <v xml:space="preserve"> </v>
      </c>
      <c r="G325">
        <f t="shared" si="13"/>
        <v>325</v>
      </c>
    </row>
    <row r="326" spans="1:7">
      <c r="A326" t="str">
        <f>IF(ISNA(INDEX('Yardi Report'!$A:$E,MATCH('Chart of Accounts'!$A332,'Yardi Report'!$A:$A,0),1)),"",INDEX('Yardi Report'!$A:$E,MATCH('Chart of Accounts'!$A332,'Yardi Report'!$A:$A,0),1))</f>
        <v/>
      </c>
      <c r="B326" t="str">
        <f>IF(ISNA(INDEX('Yardi Report'!$A:$E,MATCH('Chart of Accounts'!$A332,'Yardi Report'!$A:$A,0),2)),"",INDEX('Yardi Report'!$A:$E,MATCH('Chart of Accounts'!$A332,'Yardi Report'!$A:$A,0),2))</f>
        <v/>
      </c>
      <c r="C326" t="str">
        <f>IF(A326="","",MAX($C$1:C325)+1)</f>
        <v/>
      </c>
      <c r="E326" t="str">
        <f t="shared" si="12"/>
        <v xml:space="preserve"> </v>
      </c>
      <c r="G326">
        <f t="shared" si="13"/>
        <v>326</v>
      </c>
    </row>
    <row r="327" spans="1:7">
      <c r="A327" t="str">
        <f>IF(ISNA(INDEX('Yardi Report'!$A:$E,MATCH('Chart of Accounts'!$A333,'Yardi Report'!$A:$A,0),1)),"",INDEX('Yardi Report'!$A:$E,MATCH('Chart of Accounts'!$A333,'Yardi Report'!$A:$A,0),1))</f>
        <v/>
      </c>
      <c r="B327" t="str">
        <f>IF(ISNA(INDEX('Yardi Report'!$A:$E,MATCH('Chart of Accounts'!$A333,'Yardi Report'!$A:$A,0),2)),"",INDEX('Yardi Report'!$A:$E,MATCH('Chart of Accounts'!$A333,'Yardi Report'!$A:$A,0),2))</f>
        <v/>
      </c>
      <c r="C327" t="str">
        <f>IF(A327="","",MAX($C$1:C326)+1)</f>
        <v/>
      </c>
      <c r="E327" t="str">
        <f t="shared" si="12"/>
        <v xml:space="preserve"> </v>
      </c>
      <c r="G327">
        <f t="shared" si="13"/>
        <v>327</v>
      </c>
    </row>
    <row r="328" spans="1:7">
      <c r="A328" t="str">
        <f>IF(ISNA(INDEX('Yardi Report'!$A:$E,MATCH('Chart of Accounts'!$A334,'Yardi Report'!$A:$A,0),1)),"",INDEX('Yardi Report'!$A:$E,MATCH('Chart of Accounts'!$A334,'Yardi Report'!$A:$A,0),1))</f>
        <v/>
      </c>
      <c r="B328" t="str">
        <f>IF(ISNA(INDEX('Yardi Report'!$A:$E,MATCH('Chart of Accounts'!$A334,'Yardi Report'!$A:$A,0),2)),"",INDEX('Yardi Report'!$A:$E,MATCH('Chart of Accounts'!$A334,'Yardi Report'!$A:$A,0),2))</f>
        <v/>
      </c>
      <c r="C328" t="str">
        <f>IF(A328="","",MAX($C$1:C327)+1)</f>
        <v/>
      </c>
      <c r="E328" t="str">
        <f t="shared" si="12"/>
        <v xml:space="preserve"> </v>
      </c>
      <c r="G328">
        <f t="shared" si="13"/>
        <v>328</v>
      </c>
    </row>
    <row r="329" spans="1:7">
      <c r="A329" t="str">
        <f>IF(ISNA(INDEX('Yardi Report'!$A:$E,MATCH('Chart of Accounts'!$A335,'Yardi Report'!$A:$A,0),1)),"",INDEX('Yardi Report'!$A:$E,MATCH('Chart of Accounts'!$A335,'Yardi Report'!$A:$A,0),1))</f>
        <v/>
      </c>
      <c r="B329" t="str">
        <f>IF(ISNA(INDEX('Yardi Report'!$A:$E,MATCH('Chart of Accounts'!$A335,'Yardi Report'!$A:$A,0),2)),"",INDEX('Yardi Report'!$A:$E,MATCH('Chart of Accounts'!$A335,'Yardi Report'!$A:$A,0),2))</f>
        <v/>
      </c>
      <c r="C329" t="str">
        <f>IF(A329="","",MAX($C$1:C328)+1)</f>
        <v/>
      </c>
      <c r="E329" t="str">
        <f t="shared" si="12"/>
        <v xml:space="preserve"> </v>
      </c>
      <c r="G329">
        <f t="shared" si="13"/>
        <v>329</v>
      </c>
    </row>
    <row r="330" spans="1:7">
      <c r="A330" t="str">
        <f>IF(ISNA(INDEX('Yardi Report'!$A:$E,MATCH('Chart of Accounts'!$A336,'Yardi Report'!$A:$A,0),1)),"",INDEX('Yardi Report'!$A:$E,MATCH('Chart of Accounts'!$A336,'Yardi Report'!$A:$A,0),1))</f>
        <v/>
      </c>
      <c r="B330" t="str">
        <f>IF(ISNA(INDEX('Yardi Report'!$A:$E,MATCH('Chart of Accounts'!$A336,'Yardi Report'!$A:$A,0),2)),"",INDEX('Yardi Report'!$A:$E,MATCH('Chart of Accounts'!$A336,'Yardi Report'!$A:$A,0),2))</f>
        <v/>
      </c>
      <c r="C330" t="str">
        <f>IF(A330="","",MAX($C$1:C329)+1)</f>
        <v/>
      </c>
      <c r="E330" t="str">
        <f t="shared" si="12"/>
        <v xml:space="preserve"> </v>
      </c>
      <c r="G330">
        <f t="shared" si="13"/>
        <v>330</v>
      </c>
    </row>
    <row r="331" spans="1:7">
      <c r="A331" t="str">
        <f>IF(ISNA(INDEX('Yardi Report'!$A:$E,MATCH('Chart of Accounts'!$A337,'Yardi Report'!$A:$A,0),1)),"",INDEX('Yardi Report'!$A:$E,MATCH('Chart of Accounts'!$A337,'Yardi Report'!$A:$A,0),1))</f>
        <v>1890-0000</v>
      </c>
      <c r="B331" t="str">
        <f>IF(ISNA(INDEX('Yardi Report'!$A:$E,MATCH('Chart of Accounts'!$A337,'Yardi Report'!$A:$A,0),2)),"",INDEX('Yardi Report'!$A:$E,MATCH('Chart of Accounts'!$A337,'Yardi Report'!$A:$A,0),2))</f>
        <v xml:space="preserve">  TOTAL PROPERTY</v>
      </c>
      <c r="C331">
        <f>IF(A331="","",MAX($C$1:C330)+1)</f>
        <v>30</v>
      </c>
      <c r="E331" t="str">
        <f t="shared" si="12"/>
        <v>1890-0000   TOTAL PROPERTY</v>
      </c>
      <c r="G331">
        <f t="shared" si="13"/>
        <v>331</v>
      </c>
    </row>
    <row r="332" spans="1:7">
      <c r="A332" t="str">
        <f>IF(ISNA(INDEX('Yardi Report'!$A:$E,MATCH('Chart of Accounts'!$A338,'Yardi Report'!$A:$A,0),1)),"",INDEX('Yardi Report'!$A:$E,MATCH('Chart of Accounts'!$A338,'Yardi Report'!$A:$A,0),1))</f>
        <v/>
      </c>
      <c r="B332" t="str">
        <f>IF(ISNA(INDEX('Yardi Report'!$A:$E,MATCH('Chart of Accounts'!$A338,'Yardi Report'!$A:$A,0),2)),"",INDEX('Yardi Report'!$A:$E,MATCH('Chart of Accounts'!$A338,'Yardi Report'!$A:$A,0),2))</f>
        <v/>
      </c>
      <c r="C332" t="str">
        <f>IF(A332="","",MAX($C$1:C331)+1)</f>
        <v/>
      </c>
      <c r="E332" t="str">
        <f t="shared" si="12"/>
        <v xml:space="preserve"> </v>
      </c>
      <c r="G332">
        <f t="shared" si="13"/>
        <v>332</v>
      </c>
    </row>
    <row r="333" spans="1:7">
      <c r="A333" t="str">
        <f>IF(ISNA(INDEX('Yardi Report'!$A:$E,MATCH('Chart of Accounts'!$A339,'Yardi Report'!$A:$A,0),1)),"",INDEX('Yardi Report'!$A:$E,MATCH('Chart of Accounts'!$A339,'Yardi Report'!$A:$A,0),1))</f>
        <v/>
      </c>
      <c r="B333" t="str">
        <f>IF(ISNA(INDEX('Yardi Report'!$A:$E,MATCH('Chart of Accounts'!$A339,'Yardi Report'!$A:$A,0),2)),"",INDEX('Yardi Report'!$A:$E,MATCH('Chart of Accounts'!$A339,'Yardi Report'!$A:$A,0),2))</f>
        <v/>
      </c>
      <c r="C333" t="str">
        <f>IF(A333="","",MAX($C$1:C332)+1)</f>
        <v/>
      </c>
      <c r="E333" t="str">
        <f t="shared" si="12"/>
        <v xml:space="preserve"> </v>
      </c>
      <c r="G333">
        <f t="shared" si="13"/>
        <v>333</v>
      </c>
    </row>
    <row r="334" spans="1:7">
      <c r="A334" t="str">
        <f>IF(ISNA(INDEX('Yardi Report'!$A:$E,MATCH('Chart of Accounts'!$A340,'Yardi Report'!$A:$A,0),1)),"",INDEX('Yardi Report'!$A:$E,MATCH('Chart of Accounts'!$A340,'Yardi Report'!$A:$A,0),1))</f>
        <v/>
      </c>
      <c r="B334" t="str">
        <f>IF(ISNA(INDEX('Yardi Report'!$A:$E,MATCH('Chart of Accounts'!$A340,'Yardi Report'!$A:$A,0),2)),"",INDEX('Yardi Report'!$A:$E,MATCH('Chart of Accounts'!$A340,'Yardi Report'!$A:$A,0),2))</f>
        <v/>
      </c>
      <c r="C334" t="str">
        <f>IF(A334="","",MAX($C$1:C333)+1)</f>
        <v/>
      </c>
      <c r="E334" t="str">
        <f t="shared" si="12"/>
        <v xml:space="preserve"> </v>
      </c>
      <c r="G334">
        <f t="shared" si="13"/>
        <v>334</v>
      </c>
    </row>
    <row r="335" spans="1:7">
      <c r="A335" t="str">
        <f>IF(ISNA(INDEX('Yardi Report'!$A:$E,MATCH('Chart of Accounts'!$A341,'Yardi Report'!$A:$A,0),1)),"",INDEX('Yardi Report'!$A:$E,MATCH('Chart of Accounts'!$A341,'Yardi Report'!$A:$A,0),1))</f>
        <v/>
      </c>
      <c r="B335" t="str">
        <f>IF(ISNA(INDEX('Yardi Report'!$A:$E,MATCH('Chart of Accounts'!$A341,'Yardi Report'!$A:$A,0),2)),"",INDEX('Yardi Report'!$A:$E,MATCH('Chart of Accounts'!$A341,'Yardi Report'!$A:$A,0),2))</f>
        <v/>
      </c>
      <c r="C335" t="str">
        <f>IF(A335="","",MAX($C$1:C334)+1)</f>
        <v/>
      </c>
      <c r="E335" t="str">
        <f t="shared" si="12"/>
        <v xml:space="preserve"> </v>
      </c>
      <c r="G335">
        <f t="shared" si="13"/>
        <v>335</v>
      </c>
    </row>
    <row r="336" spans="1:7">
      <c r="A336" t="str">
        <f>IF(ISNA(INDEX('Yardi Report'!$A:$E,MATCH('Chart of Accounts'!$A342,'Yardi Report'!$A:$A,0),1)),"",INDEX('Yardi Report'!$A:$E,MATCH('Chart of Accounts'!$A342,'Yardi Report'!$A:$A,0),1))</f>
        <v/>
      </c>
      <c r="B336" t="str">
        <f>IF(ISNA(INDEX('Yardi Report'!$A:$E,MATCH('Chart of Accounts'!$A342,'Yardi Report'!$A:$A,0),2)),"",INDEX('Yardi Report'!$A:$E,MATCH('Chart of Accounts'!$A342,'Yardi Report'!$A:$A,0),2))</f>
        <v/>
      </c>
      <c r="C336" t="str">
        <f>IF(A336="","",MAX($C$1:C335)+1)</f>
        <v/>
      </c>
      <c r="E336" t="str">
        <f t="shared" si="12"/>
        <v xml:space="preserve"> </v>
      </c>
      <c r="G336">
        <f t="shared" si="13"/>
        <v>336</v>
      </c>
    </row>
    <row r="337" spans="1:7">
      <c r="A337" t="str">
        <f>IF(ISNA(INDEX('Yardi Report'!$A:$E,MATCH('Chart of Accounts'!$A343,'Yardi Report'!$A:$A,0),1)),"",INDEX('Yardi Report'!$A:$E,MATCH('Chart of Accounts'!$A343,'Yardi Report'!$A:$A,0),1))</f>
        <v/>
      </c>
      <c r="B337" t="str">
        <f>IF(ISNA(INDEX('Yardi Report'!$A:$E,MATCH('Chart of Accounts'!$A343,'Yardi Report'!$A:$A,0),2)),"",INDEX('Yardi Report'!$A:$E,MATCH('Chart of Accounts'!$A343,'Yardi Report'!$A:$A,0),2))</f>
        <v/>
      </c>
      <c r="C337" t="str">
        <f>IF(A337="","",MAX($C$1:C336)+1)</f>
        <v/>
      </c>
      <c r="E337" t="str">
        <f t="shared" si="12"/>
        <v xml:space="preserve"> </v>
      </c>
      <c r="G337">
        <f t="shared" si="13"/>
        <v>337</v>
      </c>
    </row>
    <row r="338" spans="1:7">
      <c r="A338" t="str">
        <f>IF(ISNA(INDEX('Yardi Report'!$A:$E,MATCH('Chart of Accounts'!$A344,'Yardi Report'!$A:$A,0),1)),"",INDEX('Yardi Report'!$A:$E,MATCH('Chart of Accounts'!$A344,'Yardi Report'!$A:$A,0),1))</f>
        <v/>
      </c>
      <c r="B338" t="str">
        <f>IF(ISNA(INDEX('Yardi Report'!$A:$E,MATCH('Chart of Accounts'!$A344,'Yardi Report'!$A:$A,0),2)),"",INDEX('Yardi Report'!$A:$E,MATCH('Chart of Accounts'!$A344,'Yardi Report'!$A:$A,0),2))</f>
        <v/>
      </c>
      <c r="C338" t="str">
        <f>IF(A338="","",MAX($C$1:C337)+1)</f>
        <v/>
      </c>
      <c r="E338" t="str">
        <f t="shared" si="12"/>
        <v xml:space="preserve"> </v>
      </c>
      <c r="G338">
        <f t="shared" si="13"/>
        <v>338</v>
      </c>
    </row>
    <row r="339" spans="1:7">
      <c r="A339" t="str">
        <f>IF(ISNA(INDEX('Yardi Report'!$A:$E,MATCH('Chart of Accounts'!$A345,'Yardi Report'!$A:$A,0),1)),"",INDEX('Yardi Report'!$A:$E,MATCH('Chart of Accounts'!$A345,'Yardi Report'!$A:$A,0),1))</f>
        <v/>
      </c>
      <c r="B339" t="str">
        <f>IF(ISNA(INDEX('Yardi Report'!$A:$E,MATCH('Chart of Accounts'!$A345,'Yardi Report'!$A:$A,0),2)),"",INDEX('Yardi Report'!$A:$E,MATCH('Chart of Accounts'!$A345,'Yardi Report'!$A:$A,0),2))</f>
        <v/>
      </c>
      <c r="C339" t="str">
        <f>IF(A339="","",MAX($C$1:C338)+1)</f>
        <v/>
      </c>
      <c r="E339" t="str">
        <f t="shared" si="12"/>
        <v xml:space="preserve"> </v>
      </c>
      <c r="G339">
        <f t="shared" si="13"/>
        <v>339</v>
      </c>
    </row>
    <row r="340" spans="1:7">
      <c r="A340" t="str">
        <f>IF(ISNA(INDEX('Yardi Report'!$A:$E,MATCH('Chart of Accounts'!$A346,'Yardi Report'!$A:$A,0),1)),"",INDEX('Yardi Report'!$A:$E,MATCH('Chart of Accounts'!$A346,'Yardi Report'!$A:$A,0),1))</f>
        <v/>
      </c>
      <c r="B340" t="str">
        <f>IF(ISNA(INDEX('Yardi Report'!$A:$E,MATCH('Chart of Accounts'!$A346,'Yardi Report'!$A:$A,0),2)),"",INDEX('Yardi Report'!$A:$E,MATCH('Chart of Accounts'!$A346,'Yardi Report'!$A:$A,0),2))</f>
        <v/>
      </c>
      <c r="C340" t="str">
        <f>IF(A340="","",MAX($C$1:C339)+1)</f>
        <v/>
      </c>
      <c r="E340" t="str">
        <f t="shared" si="12"/>
        <v xml:space="preserve"> </v>
      </c>
      <c r="G340">
        <f t="shared" si="13"/>
        <v>340</v>
      </c>
    </row>
    <row r="341" spans="1:7">
      <c r="A341" t="str">
        <f>IF(ISNA(INDEX('Yardi Report'!$A:$E,MATCH('Chart of Accounts'!$A347,'Yardi Report'!$A:$A,0),1)),"",INDEX('Yardi Report'!$A:$E,MATCH('Chart of Accounts'!$A347,'Yardi Report'!$A:$A,0),1))</f>
        <v/>
      </c>
      <c r="B341" t="str">
        <f>IF(ISNA(INDEX('Yardi Report'!$A:$E,MATCH('Chart of Accounts'!$A347,'Yardi Report'!$A:$A,0),2)),"",INDEX('Yardi Report'!$A:$E,MATCH('Chart of Accounts'!$A347,'Yardi Report'!$A:$A,0),2))</f>
        <v/>
      </c>
      <c r="C341" t="str">
        <f>IF(A341="","",MAX($C$1:C340)+1)</f>
        <v/>
      </c>
      <c r="E341" t="str">
        <f t="shared" si="12"/>
        <v xml:space="preserve"> </v>
      </c>
      <c r="G341">
        <f t="shared" si="13"/>
        <v>341</v>
      </c>
    </row>
    <row r="342" spans="1:7">
      <c r="A342" t="str">
        <f>IF(ISNA(INDEX('Yardi Report'!$A:$E,MATCH('Chart of Accounts'!$A348,'Yardi Report'!$A:$A,0),1)),"",INDEX('Yardi Report'!$A:$E,MATCH('Chart of Accounts'!$A348,'Yardi Report'!$A:$A,0),1))</f>
        <v/>
      </c>
      <c r="B342" t="str">
        <f>IF(ISNA(INDEX('Yardi Report'!$A:$E,MATCH('Chart of Accounts'!$A348,'Yardi Report'!$A:$A,0),2)),"",INDEX('Yardi Report'!$A:$E,MATCH('Chart of Accounts'!$A348,'Yardi Report'!$A:$A,0),2))</f>
        <v/>
      </c>
      <c r="C342" t="str">
        <f>IF(A342="","",MAX($C$1:C341)+1)</f>
        <v/>
      </c>
      <c r="E342" t="str">
        <f t="shared" si="12"/>
        <v xml:space="preserve"> </v>
      </c>
      <c r="G342">
        <f t="shared" si="13"/>
        <v>342</v>
      </c>
    </row>
    <row r="343" spans="1:7">
      <c r="A343" t="str">
        <f>IF(ISNA(INDEX('Yardi Report'!$A:$E,MATCH('Chart of Accounts'!$A349,'Yardi Report'!$A:$A,0),1)),"",INDEX('Yardi Report'!$A:$E,MATCH('Chart of Accounts'!$A349,'Yardi Report'!$A:$A,0),1))</f>
        <v/>
      </c>
      <c r="B343" t="str">
        <f>IF(ISNA(INDEX('Yardi Report'!$A:$E,MATCH('Chart of Accounts'!$A349,'Yardi Report'!$A:$A,0),2)),"",INDEX('Yardi Report'!$A:$E,MATCH('Chart of Accounts'!$A349,'Yardi Report'!$A:$A,0),2))</f>
        <v/>
      </c>
      <c r="C343" t="str">
        <f>IF(A343="","",MAX($C$1:C342)+1)</f>
        <v/>
      </c>
      <c r="E343" t="str">
        <f t="shared" si="12"/>
        <v xml:space="preserve"> </v>
      </c>
      <c r="G343">
        <f t="shared" si="13"/>
        <v>343</v>
      </c>
    </row>
    <row r="344" spans="1:7">
      <c r="A344" t="str">
        <f>IF(ISNA(INDEX('Yardi Report'!$A:$E,MATCH('Chart of Accounts'!$A350,'Yardi Report'!$A:$A,0),1)),"",INDEX('Yardi Report'!$A:$E,MATCH('Chart of Accounts'!$A350,'Yardi Report'!$A:$A,0),1))</f>
        <v/>
      </c>
      <c r="B344" t="str">
        <f>IF(ISNA(INDEX('Yardi Report'!$A:$E,MATCH('Chart of Accounts'!$A350,'Yardi Report'!$A:$A,0),2)),"",INDEX('Yardi Report'!$A:$E,MATCH('Chart of Accounts'!$A350,'Yardi Report'!$A:$A,0),2))</f>
        <v/>
      </c>
      <c r="C344" t="str">
        <f>IF(A344="","",MAX($C$1:C343)+1)</f>
        <v/>
      </c>
      <c r="E344" t="str">
        <f t="shared" si="12"/>
        <v xml:space="preserve"> </v>
      </c>
      <c r="G344">
        <f t="shared" si="13"/>
        <v>344</v>
      </c>
    </row>
    <row r="345" spans="1:7">
      <c r="A345" t="str">
        <f>IF(ISNA(INDEX('Yardi Report'!$A:$E,MATCH('Chart of Accounts'!$A351,'Yardi Report'!$A:$A,0),1)),"",INDEX('Yardi Report'!$A:$E,MATCH('Chart of Accounts'!$A351,'Yardi Report'!$A:$A,0),1))</f>
        <v/>
      </c>
      <c r="B345" t="str">
        <f>IF(ISNA(INDEX('Yardi Report'!$A:$E,MATCH('Chart of Accounts'!$A351,'Yardi Report'!$A:$A,0),2)),"",INDEX('Yardi Report'!$A:$E,MATCH('Chart of Accounts'!$A351,'Yardi Report'!$A:$A,0),2))</f>
        <v/>
      </c>
      <c r="C345" t="str">
        <f>IF(A345="","",MAX($C$1:C344)+1)</f>
        <v/>
      </c>
      <c r="E345" t="str">
        <f t="shared" si="12"/>
        <v xml:space="preserve"> </v>
      </c>
      <c r="G345">
        <f t="shared" si="13"/>
        <v>345</v>
      </c>
    </row>
    <row r="346" spans="1:7">
      <c r="A346" t="str">
        <f>IF(ISNA(INDEX('Yardi Report'!$A:$E,MATCH('Chart of Accounts'!$A352,'Yardi Report'!$A:$A,0),1)),"",INDEX('Yardi Report'!$A:$E,MATCH('Chart of Accounts'!$A352,'Yardi Report'!$A:$A,0),1))</f>
        <v/>
      </c>
      <c r="B346" t="str">
        <f>IF(ISNA(INDEX('Yardi Report'!$A:$E,MATCH('Chart of Accounts'!$A352,'Yardi Report'!$A:$A,0),2)),"",INDEX('Yardi Report'!$A:$E,MATCH('Chart of Accounts'!$A352,'Yardi Report'!$A:$A,0),2))</f>
        <v/>
      </c>
      <c r="C346" t="str">
        <f>IF(A346="","",MAX($C$1:C345)+1)</f>
        <v/>
      </c>
      <c r="E346" t="str">
        <f t="shared" si="12"/>
        <v xml:space="preserve"> </v>
      </c>
      <c r="G346">
        <f t="shared" si="13"/>
        <v>346</v>
      </c>
    </row>
    <row r="347" spans="1:7">
      <c r="A347" t="str">
        <f>IF(ISNA(INDEX('Yardi Report'!$A:$E,MATCH('Chart of Accounts'!$A353,'Yardi Report'!$A:$A,0),1)),"",INDEX('Yardi Report'!$A:$E,MATCH('Chart of Accounts'!$A353,'Yardi Report'!$A:$A,0),1))</f>
        <v/>
      </c>
      <c r="B347" t="str">
        <f>IF(ISNA(INDEX('Yardi Report'!$A:$E,MATCH('Chart of Accounts'!$A353,'Yardi Report'!$A:$A,0),2)),"",INDEX('Yardi Report'!$A:$E,MATCH('Chart of Accounts'!$A353,'Yardi Report'!$A:$A,0),2))</f>
        <v/>
      </c>
      <c r="C347" t="str">
        <f>IF(A347="","",MAX($C$1:C346)+1)</f>
        <v/>
      </c>
      <c r="E347" t="str">
        <f t="shared" si="12"/>
        <v xml:space="preserve"> </v>
      </c>
      <c r="G347">
        <f t="shared" si="13"/>
        <v>347</v>
      </c>
    </row>
    <row r="348" spans="1:7">
      <c r="A348" t="str">
        <f>IF(ISNA(INDEX('Yardi Report'!$A:$E,MATCH('Chart of Accounts'!$A354,'Yardi Report'!$A:$A,0),1)),"",INDEX('Yardi Report'!$A:$E,MATCH('Chart of Accounts'!$A354,'Yardi Report'!$A:$A,0),1))</f>
        <v/>
      </c>
      <c r="B348" t="str">
        <f>IF(ISNA(INDEX('Yardi Report'!$A:$E,MATCH('Chart of Accounts'!$A354,'Yardi Report'!$A:$A,0),2)),"",INDEX('Yardi Report'!$A:$E,MATCH('Chart of Accounts'!$A354,'Yardi Report'!$A:$A,0),2))</f>
        <v/>
      </c>
      <c r="C348" t="str">
        <f>IF(A348="","",MAX($C$1:C347)+1)</f>
        <v/>
      </c>
      <c r="E348" t="str">
        <f t="shared" si="12"/>
        <v xml:space="preserve"> </v>
      </c>
      <c r="G348">
        <f t="shared" si="13"/>
        <v>348</v>
      </c>
    </row>
    <row r="349" spans="1:7">
      <c r="A349" t="str">
        <f>IF(ISNA(INDEX('Yardi Report'!$A:$E,MATCH('Chart of Accounts'!$A355,'Yardi Report'!$A:$A,0),1)),"",INDEX('Yardi Report'!$A:$E,MATCH('Chart of Accounts'!$A355,'Yardi Report'!$A:$A,0),1))</f>
        <v/>
      </c>
      <c r="B349" t="str">
        <f>IF(ISNA(INDEX('Yardi Report'!$A:$E,MATCH('Chart of Accounts'!$A355,'Yardi Report'!$A:$A,0),2)),"",INDEX('Yardi Report'!$A:$E,MATCH('Chart of Accounts'!$A355,'Yardi Report'!$A:$A,0),2))</f>
        <v/>
      </c>
      <c r="C349" t="str">
        <f>IF(A349="","",MAX($C$1:C348)+1)</f>
        <v/>
      </c>
      <c r="E349" t="str">
        <f t="shared" si="12"/>
        <v xml:space="preserve"> </v>
      </c>
      <c r="G349">
        <f t="shared" si="13"/>
        <v>349</v>
      </c>
    </row>
    <row r="350" spans="1:7">
      <c r="A350" t="str">
        <f>IF(ISNA(INDEX('Yardi Report'!$A:$E,MATCH('Chart of Accounts'!$A356,'Yardi Report'!$A:$A,0),1)),"",INDEX('Yardi Report'!$A:$E,MATCH('Chart of Accounts'!$A356,'Yardi Report'!$A:$A,0),1))</f>
        <v/>
      </c>
      <c r="B350" t="str">
        <f>IF(ISNA(INDEX('Yardi Report'!$A:$E,MATCH('Chart of Accounts'!$A356,'Yardi Report'!$A:$A,0),2)),"",INDEX('Yardi Report'!$A:$E,MATCH('Chart of Accounts'!$A356,'Yardi Report'!$A:$A,0),2))</f>
        <v/>
      </c>
      <c r="C350" t="str">
        <f>IF(A350="","",MAX($C$1:C349)+1)</f>
        <v/>
      </c>
      <c r="E350" t="str">
        <f t="shared" si="12"/>
        <v xml:space="preserve"> </v>
      </c>
      <c r="G350">
        <f t="shared" si="13"/>
        <v>350</v>
      </c>
    </row>
    <row r="351" spans="1:7">
      <c r="A351" t="str">
        <f>IF(ISNA(INDEX('Yardi Report'!$A:$E,MATCH('Chart of Accounts'!$A357,'Yardi Report'!$A:$A,0),1)),"",INDEX('Yardi Report'!$A:$E,MATCH('Chart of Accounts'!$A357,'Yardi Report'!$A:$A,0),1))</f>
        <v/>
      </c>
      <c r="B351" t="str">
        <f>IF(ISNA(INDEX('Yardi Report'!$A:$E,MATCH('Chart of Accounts'!$A357,'Yardi Report'!$A:$A,0),2)),"",INDEX('Yardi Report'!$A:$E,MATCH('Chart of Accounts'!$A357,'Yardi Report'!$A:$A,0),2))</f>
        <v/>
      </c>
      <c r="C351" t="str">
        <f>IF(A351="","",MAX($C$1:C350)+1)</f>
        <v/>
      </c>
      <c r="E351" t="str">
        <f t="shared" si="12"/>
        <v xml:space="preserve"> </v>
      </c>
      <c r="G351">
        <f t="shared" si="13"/>
        <v>351</v>
      </c>
    </row>
    <row r="352" spans="1:7">
      <c r="A352" t="str">
        <f>IF(ISNA(INDEX('Yardi Report'!$A:$E,MATCH('Chart of Accounts'!$A358,'Yardi Report'!$A:$A,0),1)),"",INDEX('Yardi Report'!$A:$E,MATCH('Chart of Accounts'!$A358,'Yardi Report'!$A:$A,0),1))</f>
        <v/>
      </c>
      <c r="B352" t="str">
        <f>IF(ISNA(INDEX('Yardi Report'!$A:$E,MATCH('Chart of Accounts'!$A358,'Yardi Report'!$A:$A,0),2)),"",INDEX('Yardi Report'!$A:$E,MATCH('Chart of Accounts'!$A358,'Yardi Report'!$A:$A,0),2))</f>
        <v/>
      </c>
      <c r="C352" t="str">
        <f>IF(A352="","",MAX($C$1:C351)+1)</f>
        <v/>
      </c>
      <c r="E352" t="str">
        <f t="shared" si="12"/>
        <v xml:space="preserve"> </v>
      </c>
      <c r="G352">
        <f t="shared" si="13"/>
        <v>352</v>
      </c>
    </row>
    <row r="353" spans="1:7">
      <c r="A353" t="str">
        <f>IF(ISNA(INDEX('Yardi Report'!$A:$E,MATCH('Chart of Accounts'!$A359,'Yardi Report'!$A:$A,0),1)),"",INDEX('Yardi Report'!$A:$E,MATCH('Chart of Accounts'!$A359,'Yardi Report'!$A:$A,0),1))</f>
        <v/>
      </c>
      <c r="B353" t="str">
        <f>IF(ISNA(INDEX('Yardi Report'!$A:$E,MATCH('Chart of Accounts'!$A359,'Yardi Report'!$A:$A,0),2)),"",INDEX('Yardi Report'!$A:$E,MATCH('Chart of Accounts'!$A359,'Yardi Report'!$A:$A,0),2))</f>
        <v/>
      </c>
      <c r="C353" t="str">
        <f>IF(A353="","",MAX($C$1:C352)+1)</f>
        <v/>
      </c>
      <c r="E353" t="str">
        <f t="shared" si="12"/>
        <v xml:space="preserve"> </v>
      </c>
      <c r="G353">
        <f t="shared" si="13"/>
        <v>353</v>
      </c>
    </row>
    <row r="354" spans="1:7">
      <c r="A354" t="str">
        <f>IF(ISNA(INDEX('Yardi Report'!$A:$E,MATCH('Chart of Accounts'!$A360,'Yardi Report'!$A:$A,0),1)),"",INDEX('Yardi Report'!$A:$E,MATCH('Chart of Accounts'!$A360,'Yardi Report'!$A:$A,0),1))</f>
        <v>1990-0000</v>
      </c>
      <c r="B354" t="str">
        <f>IF(ISNA(INDEX('Yardi Report'!$A:$E,MATCH('Chart of Accounts'!$A360,'Yardi Report'!$A:$A,0),2)),"",INDEX('Yardi Report'!$A:$E,MATCH('Chart of Accounts'!$A360,'Yardi Report'!$A:$A,0),2))</f>
        <v xml:space="preserve">   TOTAL ASSETS</v>
      </c>
      <c r="C354">
        <f>IF(A354="","",MAX($C$1:C353)+1)</f>
        <v>31</v>
      </c>
      <c r="E354" t="str">
        <f t="shared" si="12"/>
        <v>1990-0000    TOTAL ASSETS</v>
      </c>
      <c r="G354">
        <f t="shared" si="13"/>
        <v>354</v>
      </c>
    </row>
    <row r="355" spans="1:7">
      <c r="A355" t="str">
        <f>IF(ISNA(INDEX('Yardi Report'!$A:$E,MATCH('Chart of Accounts'!$A361,'Yardi Report'!$A:$A,0),1)),"",INDEX('Yardi Report'!$A:$E,MATCH('Chart of Accounts'!$A361,'Yardi Report'!$A:$A,0),1))</f>
        <v>2000-0000</v>
      </c>
      <c r="B355" t="str">
        <f>IF(ISNA(INDEX('Yardi Report'!$A:$E,MATCH('Chart of Accounts'!$A361,'Yardi Report'!$A:$A,0),2)),"",INDEX('Yardi Report'!$A:$E,MATCH('Chart of Accounts'!$A361,'Yardi Report'!$A:$A,0),2))</f>
        <v xml:space="preserve"> LIABILITIES AND CAPITAL</v>
      </c>
      <c r="C355">
        <f>IF(A355="","",MAX($C$1:C354)+1)</f>
        <v>32</v>
      </c>
      <c r="E355" t="str">
        <f t="shared" si="12"/>
        <v>2000-0000  LIABILITIES AND CAPITAL</v>
      </c>
      <c r="G355">
        <f t="shared" si="13"/>
        <v>355</v>
      </c>
    </row>
    <row r="356" spans="1:7">
      <c r="A356" t="str">
        <f>IF(ISNA(INDEX('Yardi Report'!$A:$E,MATCH('Chart of Accounts'!$A362,'Yardi Report'!$A:$A,0),1)),"",INDEX('Yardi Report'!$A:$E,MATCH('Chart of Accounts'!$A362,'Yardi Report'!$A:$A,0),1))</f>
        <v>2100-0000</v>
      </c>
      <c r="B356" t="str">
        <f>IF(ISNA(INDEX('Yardi Report'!$A:$E,MATCH('Chart of Accounts'!$A362,'Yardi Report'!$A:$A,0),2)),"",INDEX('Yardi Report'!$A:$E,MATCH('Chart of Accounts'!$A362,'Yardi Report'!$A:$A,0),2))</f>
        <v xml:space="preserve"> LIABILITIES</v>
      </c>
      <c r="C356">
        <f>IF(A356="","",MAX($C$1:C355)+1)</f>
        <v>33</v>
      </c>
      <c r="E356" t="str">
        <f t="shared" si="12"/>
        <v>2100-0000  LIABILITIES</v>
      </c>
      <c r="G356">
        <f t="shared" si="13"/>
        <v>356</v>
      </c>
    </row>
    <row r="357" spans="1:7">
      <c r="A357" t="str">
        <f>IF(ISNA(INDEX('Yardi Report'!$A:$E,MATCH('Chart of Accounts'!$A363,'Yardi Report'!$A:$A,0),1)),"",INDEX('Yardi Report'!$A:$E,MATCH('Chart of Accounts'!$A363,'Yardi Report'!$A:$A,0),1))</f>
        <v/>
      </c>
      <c r="B357" t="str">
        <f>IF(ISNA(INDEX('Yardi Report'!$A:$E,MATCH('Chart of Accounts'!$A363,'Yardi Report'!$A:$A,0),2)),"",INDEX('Yardi Report'!$A:$E,MATCH('Chart of Accounts'!$A363,'Yardi Report'!$A:$A,0),2))</f>
        <v/>
      </c>
      <c r="C357" t="str">
        <f>IF(A357="","",MAX($C$1:C356)+1)</f>
        <v/>
      </c>
      <c r="E357" t="str">
        <f t="shared" si="12"/>
        <v xml:space="preserve"> </v>
      </c>
      <c r="G357">
        <f t="shared" si="13"/>
        <v>357</v>
      </c>
    </row>
    <row r="358" spans="1:7">
      <c r="A358" t="str">
        <f>IF(ISNA(INDEX('Yardi Report'!$A:$E,MATCH('Chart of Accounts'!$A364,'Yardi Report'!$A:$A,0),1)),"",INDEX('Yardi Report'!$A:$E,MATCH('Chart of Accounts'!$A364,'Yardi Report'!$A:$A,0),1))</f>
        <v/>
      </c>
      <c r="B358" t="str">
        <f>IF(ISNA(INDEX('Yardi Report'!$A:$E,MATCH('Chart of Accounts'!$A364,'Yardi Report'!$A:$A,0),2)),"",INDEX('Yardi Report'!$A:$E,MATCH('Chart of Accounts'!$A364,'Yardi Report'!$A:$A,0),2))</f>
        <v/>
      </c>
      <c r="C358" t="str">
        <f>IF(A358="","",MAX($C$1:C357)+1)</f>
        <v/>
      </c>
      <c r="E358" t="str">
        <f t="shared" si="12"/>
        <v xml:space="preserve"> </v>
      </c>
      <c r="G358">
        <f t="shared" si="13"/>
        <v>358</v>
      </c>
    </row>
    <row r="359" spans="1:7">
      <c r="A359" t="str">
        <f>IF(ISNA(INDEX('Yardi Report'!$A:$E,MATCH('Chart of Accounts'!$A365,'Yardi Report'!$A:$A,0),1)),"",INDEX('Yardi Report'!$A:$E,MATCH('Chart of Accounts'!$A365,'Yardi Report'!$A:$A,0),1))</f>
        <v/>
      </c>
      <c r="B359" t="str">
        <f>IF(ISNA(INDEX('Yardi Report'!$A:$E,MATCH('Chart of Accounts'!$A365,'Yardi Report'!$A:$A,0),2)),"",INDEX('Yardi Report'!$A:$E,MATCH('Chart of Accounts'!$A365,'Yardi Report'!$A:$A,0),2))</f>
        <v/>
      </c>
      <c r="C359" t="str">
        <f>IF(A359="","",MAX($C$1:C358)+1)</f>
        <v/>
      </c>
      <c r="E359" t="str">
        <f t="shared" si="12"/>
        <v xml:space="preserve"> </v>
      </c>
      <c r="G359">
        <f t="shared" si="13"/>
        <v>359</v>
      </c>
    </row>
    <row r="360" spans="1:7">
      <c r="A360" t="str">
        <f>IF(ISNA(INDEX('Yardi Report'!$A:$E,MATCH('Chart of Accounts'!$A366,'Yardi Report'!$A:$A,0),1)),"",INDEX('Yardi Report'!$A:$E,MATCH('Chart of Accounts'!$A366,'Yardi Report'!$A:$A,0),1))</f>
        <v/>
      </c>
      <c r="B360" t="str">
        <f>IF(ISNA(INDEX('Yardi Report'!$A:$E,MATCH('Chart of Accounts'!$A366,'Yardi Report'!$A:$A,0),2)),"",INDEX('Yardi Report'!$A:$E,MATCH('Chart of Accounts'!$A366,'Yardi Report'!$A:$A,0),2))</f>
        <v/>
      </c>
      <c r="C360" t="str">
        <f>IF(A360="","",MAX($C$1:C359)+1)</f>
        <v/>
      </c>
      <c r="E360" t="str">
        <f t="shared" si="12"/>
        <v xml:space="preserve"> </v>
      </c>
      <c r="G360">
        <f t="shared" si="13"/>
        <v>360</v>
      </c>
    </row>
    <row r="361" spans="1:7">
      <c r="A361" t="str">
        <f>IF(ISNA(INDEX('Yardi Report'!$A:$E,MATCH('Chart of Accounts'!$A367,'Yardi Report'!$A:$A,0),1)),"",INDEX('Yardi Report'!$A:$E,MATCH('Chart of Accounts'!$A367,'Yardi Report'!$A:$A,0),1))</f>
        <v/>
      </c>
      <c r="B361" t="str">
        <f>IF(ISNA(INDEX('Yardi Report'!$A:$E,MATCH('Chart of Accounts'!$A367,'Yardi Report'!$A:$A,0),2)),"",INDEX('Yardi Report'!$A:$E,MATCH('Chart of Accounts'!$A367,'Yardi Report'!$A:$A,0),2))</f>
        <v/>
      </c>
      <c r="C361" t="str">
        <f>IF(A361="","",MAX($C$1:C360)+1)</f>
        <v/>
      </c>
      <c r="E361" t="str">
        <f t="shared" si="12"/>
        <v xml:space="preserve"> </v>
      </c>
      <c r="G361">
        <f t="shared" si="13"/>
        <v>361</v>
      </c>
    </row>
    <row r="362" spans="1:7">
      <c r="A362" t="str">
        <f>IF(ISNA(INDEX('Yardi Report'!$A:$E,MATCH('Chart of Accounts'!$A368,'Yardi Report'!$A:$A,0),1)),"",INDEX('Yardi Report'!$A:$E,MATCH('Chart of Accounts'!$A368,'Yardi Report'!$A:$A,0),1))</f>
        <v/>
      </c>
      <c r="B362" t="str">
        <f>IF(ISNA(INDEX('Yardi Report'!$A:$E,MATCH('Chart of Accounts'!$A368,'Yardi Report'!$A:$A,0),2)),"",INDEX('Yardi Report'!$A:$E,MATCH('Chart of Accounts'!$A368,'Yardi Report'!$A:$A,0),2))</f>
        <v/>
      </c>
      <c r="C362" t="str">
        <f>IF(A362="","",MAX($C$1:C361)+1)</f>
        <v/>
      </c>
      <c r="E362" t="str">
        <f t="shared" si="12"/>
        <v xml:space="preserve"> </v>
      </c>
      <c r="G362">
        <f t="shared" si="13"/>
        <v>362</v>
      </c>
    </row>
    <row r="363" spans="1:7">
      <c r="A363" t="str">
        <f>IF(ISNA(INDEX('Yardi Report'!$A:$E,MATCH('Chart of Accounts'!$A369,'Yardi Report'!$A:$A,0),1)),"",INDEX('Yardi Report'!$A:$E,MATCH('Chart of Accounts'!$A369,'Yardi Report'!$A:$A,0),1))</f>
        <v>2110-0000</v>
      </c>
      <c r="B363" t="str">
        <f>IF(ISNA(INDEX('Yardi Report'!$A:$E,MATCH('Chart of Accounts'!$A369,'Yardi Report'!$A:$A,0),2)),"",INDEX('Yardi Report'!$A:$E,MATCH('Chart of Accounts'!$A369,'Yardi Report'!$A:$A,0),2))</f>
        <v xml:space="preserve"> Note 1 Principal</v>
      </c>
      <c r="C363">
        <f>IF(A363="","",MAX($C$1:C362)+1)</f>
        <v>34</v>
      </c>
      <c r="E363" t="str">
        <f t="shared" si="12"/>
        <v>2110-0000  Note 1 Principal</v>
      </c>
      <c r="G363">
        <f t="shared" si="13"/>
        <v>363</v>
      </c>
    </row>
    <row r="364" spans="1:7">
      <c r="A364" t="str">
        <f>IF(ISNA(INDEX('Yardi Report'!$A:$E,MATCH('Chart of Accounts'!$A370,'Yardi Report'!$A:$A,0),1)),"",INDEX('Yardi Report'!$A:$E,MATCH('Chart of Accounts'!$A370,'Yardi Report'!$A:$A,0),1))</f>
        <v/>
      </c>
      <c r="B364" t="str">
        <f>IF(ISNA(INDEX('Yardi Report'!$A:$E,MATCH('Chart of Accounts'!$A370,'Yardi Report'!$A:$A,0),2)),"",INDEX('Yardi Report'!$A:$E,MATCH('Chart of Accounts'!$A370,'Yardi Report'!$A:$A,0),2))</f>
        <v/>
      </c>
      <c r="C364" t="str">
        <f>IF(A364="","",MAX($C$1:C363)+1)</f>
        <v/>
      </c>
      <c r="E364" t="str">
        <f t="shared" si="12"/>
        <v xml:space="preserve"> </v>
      </c>
      <c r="G364">
        <f t="shared" si="13"/>
        <v>364</v>
      </c>
    </row>
    <row r="365" spans="1:7">
      <c r="A365" t="str">
        <f>IF(ISNA(INDEX('Yardi Report'!$A:$E,MATCH('Chart of Accounts'!$A371,'Yardi Report'!$A:$A,0),1)),"",INDEX('Yardi Report'!$A:$E,MATCH('Chart of Accounts'!$A371,'Yardi Report'!$A:$A,0),1))</f>
        <v/>
      </c>
      <c r="B365" t="str">
        <f>IF(ISNA(INDEX('Yardi Report'!$A:$E,MATCH('Chart of Accounts'!$A371,'Yardi Report'!$A:$A,0),2)),"",INDEX('Yardi Report'!$A:$E,MATCH('Chart of Accounts'!$A371,'Yardi Report'!$A:$A,0),2))</f>
        <v/>
      </c>
      <c r="C365" t="str">
        <f>IF(A365="","",MAX($C$1:C364)+1)</f>
        <v/>
      </c>
      <c r="E365" t="str">
        <f t="shared" si="12"/>
        <v xml:space="preserve"> </v>
      </c>
      <c r="G365">
        <f t="shared" si="13"/>
        <v>365</v>
      </c>
    </row>
    <row r="366" spans="1:7">
      <c r="A366" t="str">
        <f>IF(ISNA(INDEX('Yardi Report'!$A:$E,MATCH('Chart of Accounts'!$A372,'Yardi Report'!$A:$A,0),1)),"",INDEX('Yardi Report'!$A:$E,MATCH('Chart of Accounts'!$A372,'Yardi Report'!$A:$A,0),1))</f>
        <v/>
      </c>
      <c r="B366" t="str">
        <f>IF(ISNA(INDEX('Yardi Report'!$A:$E,MATCH('Chart of Accounts'!$A372,'Yardi Report'!$A:$A,0),2)),"",INDEX('Yardi Report'!$A:$E,MATCH('Chart of Accounts'!$A372,'Yardi Report'!$A:$A,0),2))</f>
        <v/>
      </c>
      <c r="C366" t="str">
        <f>IF(A366="","",MAX($C$1:C365)+1)</f>
        <v/>
      </c>
      <c r="E366" t="str">
        <f t="shared" si="12"/>
        <v xml:space="preserve"> </v>
      </c>
      <c r="G366">
        <f t="shared" si="13"/>
        <v>366</v>
      </c>
    </row>
    <row r="367" spans="1:7">
      <c r="A367" t="str">
        <f>IF(ISNA(INDEX('Yardi Report'!$A:$E,MATCH('Chart of Accounts'!$A373,'Yardi Report'!$A:$A,0),1)),"",INDEX('Yardi Report'!$A:$E,MATCH('Chart of Accounts'!$A373,'Yardi Report'!$A:$A,0),1))</f>
        <v/>
      </c>
      <c r="B367" t="str">
        <f>IF(ISNA(INDEX('Yardi Report'!$A:$E,MATCH('Chart of Accounts'!$A373,'Yardi Report'!$A:$A,0),2)),"",INDEX('Yardi Report'!$A:$E,MATCH('Chart of Accounts'!$A373,'Yardi Report'!$A:$A,0),2))</f>
        <v/>
      </c>
      <c r="C367" t="str">
        <f>IF(A367="","",MAX($C$1:C366)+1)</f>
        <v/>
      </c>
      <c r="E367" t="str">
        <f t="shared" si="12"/>
        <v xml:space="preserve"> </v>
      </c>
      <c r="G367">
        <f t="shared" si="13"/>
        <v>367</v>
      </c>
    </row>
    <row r="368" spans="1:7">
      <c r="A368" t="str">
        <f>IF(ISNA(INDEX('Yardi Report'!$A:$E,MATCH('Chart of Accounts'!$A374,'Yardi Report'!$A:$A,0),1)),"",INDEX('Yardi Report'!$A:$E,MATCH('Chart of Accounts'!$A374,'Yardi Report'!$A:$A,0),1))</f>
        <v/>
      </c>
      <c r="B368" t="str">
        <f>IF(ISNA(INDEX('Yardi Report'!$A:$E,MATCH('Chart of Accounts'!$A374,'Yardi Report'!$A:$A,0),2)),"",INDEX('Yardi Report'!$A:$E,MATCH('Chart of Accounts'!$A374,'Yardi Report'!$A:$A,0),2))</f>
        <v/>
      </c>
      <c r="C368" t="str">
        <f>IF(A368="","",MAX($C$1:C367)+1)</f>
        <v/>
      </c>
      <c r="E368" t="str">
        <f t="shared" si="12"/>
        <v xml:space="preserve"> </v>
      </c>
      <c r="G368">
        <f t="shared" si="13"/>
        <v>368</v>
      </c>
    </row>
    <row r="369" spans="1:7">
      <c r="A369" t="str">
        <f>IF(ISNA(INDEX('Yardi Report'!$A:$E,MATCH('Chart of Accounts'!$A375,'Yardi Report'!$A:$A,0),1)),"",INDEX('Yardi Report'!$A:$E,MATCH('Chart of Accounts'!$A375,'Yardi Report'!$A:$A,0),1))</f>
        <v/>
      </c>
      <c r="B369" t="str">
        <f>IF(ISNA(INDEX('Yardi Report'!$A:$E,MATCH('Chart of Accounts'!$A375,'Yardi Report'!$A:$A,0),2)),"",INDEX('Yardi Report'!$A:$E,MATCH('Chart of Accounts'!$A375,'Yardi Report'!$A:$A,0),2))</f>
        <v/>
      </c>
      <c r="C369" t="str">
        <f>IF(A369="","",MAX($C$1:C368)+1)</f>
        <v/>
      </c>
      <c r="E369" t="str">
        <f t="shared" si="12"/>
        <v xml:space="preserve"> </v>
      </c>
      <c r="G369">
        <f t="shared" si="13"/>
        <v>369</v>
      </c>
    </row>
    <row r="370" spans="1:7">
      <c r="A370" t="str">
        <f>IF(ISNA(INDEX('Yardi Report'!$A:$E,MATCH('Chart of Accounts'!$A376,'Yardi Report'!$A:$A,0),1)),"",INDEX('Yardi Report'!$A:$E,MATCH('Chart of Accounts'!$A376,'Yardi Report'!$A:$A,0),1))</f>
        <v/>
      </c>
      <c r="B370" t="str">
        <f>IF(ISNA(INDEX('Yardi Report'!$A:$E,MATCH('Chart of Accounts'!$A376,'Yardi Report'!$A:$A,0),2)),"",INDEX('Yardi Report'!$A:$E,MATCH('Chart of Accounts'!$A376,'Yardi Report'!$A:$A,0),2))</f>
        <v/>
      </c>
      <c r="C370" t="str">
        <f>IF(A370="","",MAX($C$1:C369)+1)</f>
        <v/>
      </c>
      <c r="E370" t="str">
        <f t="shared" si="12"/>
        <v xml:space="preserve"> </v>
      </c>
      <c r="G370">
        <f t="shared" si="13"/>
        <v>370</v>
      </c>
    </row>
    <row r="371" spans="1:7">
      <c r="A371" t="str">
        <f>IF(ISNA(INDEX('Yardi Report'!$A:$E,MATCH('Chart of Accounts'!$A377,'Yardi Report'!$A:$A,0),1)),"",INDEX('Yardi Report'!$A:$E,MATCH('Chart of Accounts'!$A377,'Yardi Report'!$A:$A,0),1))</f>
        <v/>
      </c>
      <c r="B371" t="str">
        <f>IF(ISNA(INDEX('Yardi Report'!$A:$E,MATCH('Chart of Accounts'!$A377,'Yardi Report'!$A:$A,0),2)),"",INDEX('Yardi Report'!$A:$E,MATCH('Chart of Accounts'!$A377,'Yardi Report'!$A:$A,0),2))</f>
        <v/>
      </c>
      <c r="C371" t="str">
        <f>IF(A371="","",MAX($C$1:C370)+1)</f>
        <v/>
      </c>
      <c r="E371" t="str">
        <f t="shared" si="12"/>
        <v xml:space="preserve"> </v>
      </c>
      <c r="G371">
        <f t="shared" si="13"/>
        <v>371</v>
      </c>
    </row>
    <row r="372" spans="1:7">
      <c r="A372" t="str">
        <f>IF(ISNA(INDEX('Yardi Report'!$A:$E,MATCH('Chart of Accounts'!$A378,'Yardi Report'!$A:$A,0),1)),"",INDEX('Yardi Report'!$A:$E,MATCH('Chart of Accounts'!$A378,'Yardi Report'!$A:$A,0),1))</f>
        <v/>
      </c>
      <c r="B372" t="str">
        <f>IF(ISNA(INDEX('Yardi Report'!$A:$E,MATCH('Chart of Accounts'!$A378,'Yardi Report'!$A:$A,0),2)),"",INDEX('Yardi Report'!$A:$E,MATCH('Chart of Accounts'!$A378,'Yardi Report'!$A:$A,0),2))</f>
        <v/>
      </c>
      <c r="C372" t="str">
        <f>IF(A372="","",MAX($C$1:C371)+1)</f>
        <v/>
      </c>
      <c r="E372" t="str">
        <f t="shared" si="12"/>
        <v xml:space="preserve"> </v>
      </c>
      <c r="G372">
        <f t="shared" si="13"/>
        <v>372</v>
      </c>
    </row>
    <row r="373" spans="1:7">
      <c r="A373" t="str">
        <f>IF(ISNA(INDEX('Yardi Report'!$A:$E,MATCH('Chart of Accounts'!$A379,'Yardi Report'!$A:$A,0),1)),"",INDEX('Yardi Report'!$A:$E,MATCH('Chart of Accounts'!$A379,'Yardi Report'!$A:$A,0),1))</f>
        <v/>
      </c>
      <c r="B373" t="str">
        <f>IF(ISNA(INDEX('Yardi Report'!$A:$E,MATCH('Chart of Accounts'!$A379,'Yardi Report'!$A:$A,0),2)),"",INDEX('Yardi Report'!$A:$E,MATCH('Chart of Accounts'!$A379,'Yardi Report'!$A:$A,0),2))</f>
        <v/>
      </c>
      <c r="C373" t="str">
        <f>IF(A373="","",MAX($C$1:C372)+1)</f>
        <v/>
      </c>
      <c r="E373" t="str">
        <f t="shared" si="12"/>
        <v xml:space="preserve"> </v>
      </c>
      <c r="G373">
        <f t="shared" si="13"/>
        <v>373</v>
      </c>
    </row>
    <row r="374" spans="1:7">
      <c r="A374" t="str">
        <f>IF(ISNA(INDEX('Yardi Report'!$A:$E,MATCH('Chart of Accounts'!$A380,'Yardi Report'!$A:$A,0),1)),"",INDEX('Yardi Report'!$A:$E,MATCH('Chart of Accounts'!$A380,'Yardi Report'!$A:$A,0),1))</f>
        <v/>
      </c>
      <c r="B374" t="str">
        <f>IF(ISNA(INDEX('Yardi Report'!$A:$E,MATCH('Chart of Accounts'!$A380,'Yardi Report'!$A:$A,0),2)),"",INDEX('Yardi Report'!$A:$E,MATCH('Chart of Accounts'!$A380,'Yardi Report'!$A:$A,0),2))</f>
        <v/>
      </c>
      <c r="C374" t="str">
        <f>IF(A374="","",MAX($C$1:C373)+1)</f>
        <v/>
      </c>
      <c r="E374" t="str">
        <f t="shared" si="12"/>
        <v xml:space="preserve"> </v>
      </c>
      <c r="G374">
        <f t="shared" si="13"/>
        <v>374</v>
      </c>
    </row>
    <row r="375" spans="1:7">
      <c r="A375" t="str">
        <f>IF(ISNA(INDEX('Yardi Report'!$A:$E,MATCH('Chart of Accounts'!$A381,'Yardi Report'!$A:$A,0),1)),"",INDEX('Yardi Report'!$A:$E,MATCH('Chart of Accounts'!$A381,'Yardi Report'!$A:$A,0),1))</f>
        <v/>
      </c>
      <c r="B375" t="str">
        <f>IF(ISNA(INDEX('Yardi Report'!$A:$E,MATCH('Chart of Accounts'!$A381,'Yardi Report'!$A:$A,0),2)),"",INDEX('Yardi Report'!$A:$E,MATCH('Chart of Accounts'!$A381,'Yardi Report'!$A:$A,0),2))</f>
        <v/>
      </c>
      <c r="C375" t="str">
        <f>IF(A375="","",MAX($C$1:C374)+1)</f>
        <v/>
      </c>
      <c r="E375" t="str">
        <f t="shared" si="12"/>
        <v xml:space="preserve"> </v>
      </c>
      <c r="G375">
        <f t="shared" si="13"/>
        <v>375</v>
      </c>
    </row>
    <row r="376" spans="1:7">
      <c r="A376" t="str">
        <f>IF(ISNA(INDEX('Yardi Report'!$A:$E,MATCH('Chart of Accounts'!$A382,'Yardi Report'!$A:$A,0),1)),"",INDEX('Yardi Report'!$A:$E,MATCH('Chart of Accounts'!$A382,'Yardi Report'!$A:$A,0),1))</f>
        <v/>
      </c>
      <c r="B376" t="str">
        <f>IF(ISNA(INDEX('Yardi Report'!$A:$E,MATCH('Chart of Accounts'!$A382,'Yardi Report'!$A:$A,0),2)),"",INDEX('Yardi Report'!$A:$E,MATCH('Chart of Accounts'!$A382,'Yardi Report'!$A:$A,0),2))</f>
        <v/>
      </c>
      <c r="C376" t="str">
        <f>IF(A376="","",MAX($C$1:C375)+1)</f>
        <v/>
      </c>
      <c r="E376" t="str">
        <f t="shared" si="12"/>
        <v xml:space="preserve"> </v>
      </c>
      <c r="G376">
        <f t="shared" si="13"/>
        <v>376</v>
      </c>
    </row>
    <row r="377" spans="1:7">
      <c r="A377" t="str">
        <f>IF(ISNA(INDEX('Yardi Report'!$A:$E,MATCH('Chart of Accounts'!$A383,'Yardi Report'!$A:$A,0),1)),"",INDEX('Yardi Report'!$A:$E,MATCH('Chart of Accounts'!$A383,'Yardi Report'!$A:$A,0),1))</f>
        <v/>
      </c>
      <c r="B377" t="str">
        <f>IF(ISNA(INDEX('Yardi Report'!$A:$E,MATCH('Chart of Accounts'!$A383,'Yardi Report'!$A:$A,0),2)),"",INDEX('Yardi Report'!$A:$E,MATCH('Chart of Accounts'!$A383,'Yardi Report'!$A:$A,0),2))</f>
        <v/>
      </c>
      <c r="C377" t="str">
        <f>IF(A377="","",MAX($C$1:C376)+1)</f>
        <v/>
      </c>
      <c r="E377" t="str">
        <f t="shared" si="12"/>
        <v xml:space="preserve"> </v>
      </c>
      <c r="G377">
        <f t="shared" si="13"/>
        <v>377</v>
      </c>
    </row>
    <row r="378" spans="1:7">
      <c r="A378" t="str">
        <f>IF(ISNA(INDEX('Yardi Report'!$A:$E,MATCH('Chart of Accounts'!$A384,'Yardi Report'!$A:$A,0),1)),"",INDEX('Yardi Report'!$A:$E,MATCH('Chart of Accounts'!$A384,'Yardi Report'!$A:$A,0),1))</f>
        <v/>
      </c>
      <c r="B378" t="str">
        <f>IF(ISNA(INDEX('Yardi Report'!$A:$E,MATCH('Chart of Accounts'!$A384,'Yardi Report'!$A:$A,0),2)),"",INDEX('Yardi Report'!$A:$E,MATCH('Chart of Accounts'!$A384,'Yardi Report'!$A:$A,0),2))</f>
        <v/>
      </c>
      <c r="C378" t="str">
        <f>IF(A378="","",MAX($C$1:C377)+1)</f>
        <v/>
      </c>
      <c r="E378" t="str">
        <f t="shared" si="12"/>
        <v xml:space="preserve"> </v>
      </c>
      <c r="G378">
        <f t="shared" si="13"/>
        <v>378</v>
      </c>
    </row>
    <row r="379" spans="1:7">
      <c r="A379" t="str">
        <f>IF(ISNA(INDEX('Yardi Report'!$A:$E,MATCH('Chart of Accounts'!$A385,'Yardi Report'!$A:$A,0),1)),"",INDEX('Yardi Report'!$A:$E,MATCH('Chart of Accounts'!$A385,'Yardi Report'!$A:$A,0),1))</f>
        <v/>
      </c>
      <c r="B379" t="str">
        <f>IF(ISNA(INDEX('Yardi Report'!$A:$E,MATCH('Chart of Accounts'!$A385,'Yardi Report'!$A:$A,0),2)),"",INDEX('Yardi Report'!$A:$E,MATCH('Chart of Accounts'!$A385,'Yardi Report'!$A:$A,0),2))</f>
        <v/>
      </c>
      <c r="C379" t="str">
        <f>IF(A379="","",MAX($C$1:C378)+1)</f>
        <v/>
      </c>
      <c r="E379" t="str">
        <f t="shared" si="12"/>
        <v xml:space="preserve"> </v>
      </c>
      <c r="G379">
        <f t="shared" si="13"/>
        <v>379</v>
      </c>
    </row>
    <row r="380" spans="1:7">
      <c r="A380" t="str">
        <f>IF(ISNA(INDEX('Yardi Report'!$A:$E,MATCH('Chart of Accounts'!$A386,'Yardi Report'!$A:$A,0),1)),"",INDEX('Yardi Report'!$A:$E,MATCH('Chart of Accounts'!$A386,'Yardi Report'!$A:$A,0),1))</f>
        <v/>
      </c>
      <c r="B380" t="str">
        <f>IF(ISNA(INDEX('Yardi Report'!$A:$E,MATCH('Chart of Accounts'!$A386,'Yardi Report'!$A:$A,0),2)),"",INDEX('Yardi Report'!$A:$E,MATCH('Chart of Accounts'!$A386,'Yardi Report'!$A:$A,0),2))</f>
        <v/>
      </c>
      <c r="C380" t="str">
        <f>IF(A380="","",MAX($C$1:C379)+1)</f>
        <v/>
      </c>
      <c r="E380" t="str">
        <f t="shared" si="12"/>
        <v xml:space="preserve"> </v>
      </c>
      <c r="G380">
        <f t="shared" si="13"/>
        <v>380</v>
      </c>
    </row>
    <row r="381" spans="1:7">
      <c r="A381" t="str">
        <f>IF(ISNA(INDEX('Yardi Report'!$A:$E,MATCH('Chart of Accounts'!$A387,'Yardi Report'!$A:$A,0),1)),"",INDEX('Yardi Report'!$A:$E,MATCH('Chart of Accounts'!$A387,'Yardi Report'!$A:$A,0),1))</f>
        <v/>
      </c>
      <c r="B381" t="str">
        <f>IF(ISNA(INDEX('Yardi Report'!$A:$E,MATCH('Chart of Accounts'!$A387,'Yardi Report'!$A:$A,0),2)),"",INDEX('Yardi Report'!$A:$E,MATCH('Chart of Accounts'!$A387,'Yardi Report'!$A:$A,0),2))</f>
        <v/>
      </c>
      <c r="C381" t="str">
        <f>IF(A381="","",MAX($C$1:C380)+1)</f>
        <v/>
      </c>
      <c r="E381" t="str">
        <f t="shared" si="12"/>
        <v xml:space="preserve"> </v>
      </c>
      <c r="G381">
        <f t="shared" si="13"/>
        <v>381</v>
      </c>
    </row>
    <row r="382" spans="1:7">
      <c r="A382" t="str">
        <f>IF(ISNA(INDEX('Yardi Report'!$A:$E,MATCH('Chart of Accounts'!$A388,'Yardi Report'!$A:$A,0),1)),"",INDEX('Yardi Report'!$A:$E,MATCH('Chart of Accounts'!$A388,'Yardi Report'!$A:$A,0),1))</f>
        <v/>
      </c>
      <c r="B382" t="str">
        <f>IF(ISNA(INDEX('Yardi Report'!$A:$E,MATCH('Chart of Accounts'!$A388,'Yardi Report'!$A:$A,0),2)),"",INDEX('Yardi Report'!$A:$E,MATCH('Chart of Accounts'!$A388,'Yardi Report'!$A:$A,0),2))</f>
        <v/>
      </c>
      <c r="C382" t="str">
        <f>IF(A382="","",MAX($C$1:C381)+1)</f>
        <v/>
      </c>
      <c r="E382" t="str">
        <f t="shared" si="12"/>
        <v xml:space="preserve"> </v>
      </c>
      <c r="G382">
        <f t="shared" si="13"/>
        <v>382</v>
      </c>
    </row>
    <row r="383" spans="1:7">
      <c r="A383" t="str">
        <f>IF(ISNA(INDEX('Yardi Report'!$A:$E,MATCH('Chart of Accounts'!$A389,'Yardi Report'!$A:$A,0),1)),"",INDEX('Yardi Report'!$A:$E,MATCH('Chart of Accounts'!$A389,'Yardi Report'!$A:$A,0),1))</f>
        <v/>
      </c>
      <c r="B383" t="str">
        <f>IF(ISNA(INDEX('Yardi Report'!$A:$E,MATCH('Chart of Accounts'!$A389,'Yardi Report'!$A:$A,0),2)),"",INDEX('Yardi Report'!$A:$E,MATCH('Chart of Accounts'!$A389,'Yardi Report'!$A:$A,0),2))</f>
        <v/>
      </c>
      <c r="C383" t="str">
        <f>IF(A383="","",MAX($C$1:C382)+1)</f>
        <v/>
      </c>
      <c r="E383" t="str">
        <f t="shared" si="12"/>
        <v xml:space="preserve"> </v>
      </c>
      <c r="G383">
        <f t="shared" si="13"/>
        <v>383</v>
      </c>
    </row>
    <row r="384" spans="1:7">
      <c r="A384" t="str">
        <f>IF(ISNA(INDEX('Yardi Report'!$A:$E,MATCH('Chart of Accounts'!$A390,'Yardi Report'!$A:$A,0),1)),"",INDEX('Yardi Report'!$A:$E,MATCH('Chart of Accounts'!$A390,'Yardi Report'!$A:$A,0),1))</f>
        <v/>
      </c>
      <c r="B384" t="str">
        <f>IF(ISNA(INDEX('Yardi Report'!$A:$E,MATCH('Chart of Accounts'!$A390,'Yardi Report'!$A:$A,0),2)),"",INDEX('Yardi Report'!$A:$E,MATCH('Chart of Accounts'!$A390,'Yardi Report'!$A:$A,0),2))</f>
        <v/>
      </c>
      <c r="C384" t="str">
        <f>IF(A384="","",MAX($C$1:C383)+1)</f>
        <v/>
      </c>
      <c r="E384" t="str">
        <f t="shared" si="12"/>
        <v xml:space="preserve"> </v>
      </c>
      <c r="G384">
        <f t="shared" si="13"/>
        <v>384</v>
      </c>
    </row>
    <row r="385" spans="1:7">
      <c r="A385" t="str">
        <f>IF(ISNA(INDEX('Yardi Report'!$A:$E,MATCH('Chart of Accounts'!$A391,'Yardi Report'!$A:$A,0),1)),"",INDEX('Yardi Report'!$A:$E,MATCH('Chart of Accounts'!$A391,'Yardi Report'!$A:$A,0),1))</f>
        <v/>
      </c>
      <c r="B385" t="str">
        <f>IF(ISNA(INDEX('Yardi Report'!$A:$E,MATCH('Chart of Accounts'!$A391,'Yardi Report'!$A:$A,0),2)),"",INDEX('Yardi Report'!$A:$E,MATCH('Chart of Accounts'!$A391,'Yardi Report'!$A:$A,0),2))</f>
        <v/>
      </c>
      <c r="C385" t="str">
        <f>IF(A385="","",MAX($C$1:C384)+1)</f>
        <v/>
      </c>
      <c r="E385" t="str">
        <f t="shared" si="12"/>
        <v xml:space="preserve"> </v>
      </c>
      <c r="G385">
        <f t="shared" si="13"/>
        <v>385</v>
      </c>
    </row>
    <row r="386" spans="1:7">
      <c r="A386" t="str">
        <f>IF(ISNA(INDEX('Yardi Report'!$A:$E,MATCH('Chart of Accounts'!$A392,'Yardi Report'!$A:$A,0),1)),"",INDEX('Yardi Report'!$A:$E,MATCH('Chart of Accounts'!$A392,'Yardi Report'!$A:$A,0),1))</f>
        <v/>
      </c>
      <c r="B386" t="str">
        <f>IF(ISNA(INDEX('Yardi Report'!$A:$E,MATCH('Chart of Accounts'!$A392,'Yardi Report'!$A:$A,0),2)),"",INDEX('Yardi Report'!$A:$E,MATCH('Chart of Accounts'!$A392,'Yardi Report'!$A:$A,0),2))</f>
        <v/>
      </c>
      <c r="C386" t="str">
        <f>IF(A386="","",MAX($C$1:C385)+1)</f>
        <v/>
      </c>
      <c r="E386" t="str">
        <f t="shared" ref="E386:E449" si="14">A386&amp;" "&amp;B386</f>
        <v xml:space="preserve"> </v>
      </c>
      <c r="G386">
        <f t="shared" si="13"/>
        <v>386</v>
      </c>
    </row>
    <row r="387" spans="1:7">
      <c r="A387" t="str">
        <f>IF(ISNA(INDEX('Yardi Report'!$A:$E,MATCH('Chart of Accounts'!$A393,'Yardi Report'!$A:$A,0),1)),"",INDEX('Yardi Report'!$A:$E,MATCH('Chart of Accounts'!$A393,'Yardi Report'!$A:$A,0),1))</f>
        <v/>
      </c>
      <c r="B387" t="str">
        <f>IF(ISNA(INDEX('Yardi Report'!$A:$E,MATCH('Chart of Accounts'!$A393,'Yardi Report'!$A:$A,0),2)),"",INDEX('Yardi Report'!$A:$E,MATCH('Chart of Accounts'!$A393,'Yardi Report'!$A:$A,0),2))</f>
        <v/>
      </c>
      <c r="C387" t="str">
        <f>IF(A387="","",MAX($C$1:C386)+1)</f>
        <v/>
      </c>
      <c r="E387" t="str">
        <f t="shared" si="14"/>
        <v xml:space="preserve"> </v>
      </c>
      <c r="G387">
        <f t="shared" ref="G387:G450" si="15">+G386+1</f>
        <v>387</v>
      </c>
    </row>
    <row r="388" spans="1:7">
      <c r="A388" t="str">
        <f>IF(ISNA(INDEX('Yardi Report'!$A:$E,MATCH('Chart of Accounts'!$A394,'Yardi Report'!$A:$A,0),1)),"",INDEX('Yardi Report'!$A:$E,MATCH('Chart of Accounts'!$A394,'Yardi Report'!$A:$A,0),1))</f>
        <v/>
      </c>
      <c r="B388" t="str">
        <f>IF(ISNA(INDEX('Yardi Report'!$A:$E,MATCH('Chart of Accounts'!$A394,'Yardi Report'!$A:$A,0),2)),"",INDEX('Yardi Report'!$A:$E,MATCH('Chart of Accounts'!$A394,'Yardi Report'!$A:$A,0),2))</f>
        <v/>
      </c>
      <c r="C388" t="str">
        <f>IF(A388="","",MAX($C$1:C387)+1)</f>
        <v/>
      </c>
      <c r="E388" t="str">
        <f t="shared" si="14"/>
        <v xml:space="preserve"> </v>
      </c>
      <c r="G388">
        <f t="shared" si="15"/>
        <v>388</v>
      </c>
    </row>
    <row r="389" spans="1:7">
      <c r="A389" t="str">
        <f>IF(ISNA(INDEX('Yardi Report'!$A:$E,MATCH('Chart of Accounts'!$A395,'Yardi Report'!$A:$A,0),1)),"",INDEX('Yardi Report'!$A:$E,MATCH('Chart of Accounts'!$A395,'Yardi Report'!$A:$A,0),1))</f>
        <v/>
      </c>
      <c r="B389" t="str">
        <f>IF(ISNA(INDEX('Yardi Report'!$A:$E,MATCH('Chart of Accounts'!$A395,'Yardi Report'!$A:$A,0),2)),"",INDEX('Yardi Report'!$A:$E,MATCH('Chart of Accounts'!$A395,'Yardi Report'!$A:$A,0),2))</f>
        <v/>
      </c>
      <c r="C389" t="str">
        <f>IF(A389="","",MAX($C$1:C388)+1)</f>
        <v/>
      </c>
      <c r="E389" t="str">
        <f t="shared" si="14"/>
        <v xml:space="preserve"> </v>
      </c>
      <c r="G389">
        <f t="shared" si="15"/>
        <v>389</v>
      </c>
    </row>
    <row r="390" spans="1:7">
      <c r="A390" t="str">
        <f>IF(ISNA(INDEX('Yardi Report'!$A:$E,MATCH('Chart of Accounts'!$A396,'Yardi Report'!$A:$A,0),1)),"",INDEX('Yardi Report'!$A:$E,MATCH('Chart of Accounts'!$A396,'Yardi Report'!$A:$A,0),1))</f>
        <v/>
      </c>
      <c r="B390" t="str">
        <f>IF(ISNA(INDEX('Yardi Report'!$A:$E,MATCH('Chart of Accounts'!$A396,'Yardi Report'!$A:$A,0),2)),"",INDEX('Yardi Report'!$A:$E,MATCH('Chart of Accounts'!$A396,'Yardi Report'!$A:$A,0),2))</f>
        <v/>
      </c>
      <c r="C390" t="str">
        <f>IF(A390="","",MAX($C$1:C389)+1)</f>
        <v/>
      </c>
      <c r="E390" t="str">
        <f t="shared" si="14"/>
        <v xml:space="preserve"> </v>
      </c>
      <c r="G390">
        <f t="shared" si="15"/>
        <v>390</v>
      </c>
    </row>
    <row r="391" spans="1:7">
      <c r="A391" t="str">
        <f>IF(ISNA(INDEX('Yardi Report'!$A:$E,MATCH('Chart of Accounts'!$A397,'Yardi Report'!$A:$A,0),1)),"",INDEX('Yardi Report'!$A:$E,MATCH('Chart of Accounts'!$A397,'Yardi Report'!$A:$A,0),1))</f>
        <v>2150-0020</v>
      </c>
      <c r="B391" t="str">
        <f>IF(ISNA(INDEX('Yardi Report'!$A:$E,MATCH('Chart of Accounts'!$A397,'Yardi Report'!$A:$A,0),2)),"",INDEX('Yardi Report'!$A:$E,MATCH('Chart of Accounts'!$A397,'Yardi Report'!$A:$A,0),2))</f>
        <v xml:space="preserve"> Due To/(From) Other Property</v>
      </c>
      <c r="C391">
        <f>IF(A391="","",MAX($C$1:C390)+1)</f>
        <v>35</v>
      </c>
      <c r="E391" t="str">
        <f t="shared" si="14"/>
        <v>2150-0020  Due To/(From) Other Property</v>
      </c>
      <c r="G391">
        <f t="shared" si="15"/>
        <v>391</v>
      </c>
    </row>
    <row r="392" spans="1:7">
      <c r="A392" t="str">
        <f>IF(ISNA(INDEX('Yardi Report'!$A:$E,MATCH('Chart of Accounts'!$A398,'Yardi Report'!$A:$A,0),1)),"",INDEX('Yardi Report'!$A:$E,MATCH('Chart of Accounts'!$A398,'Yardi Report'!$A:$A,0),1))</f>
        <v/>
      </c>
      <c r="B392" t="str">
        <f>IF(ISNA(INDEX('Yardi Report'!$A:$E,MATCH('Chart of Accounts'!$A398,'Yardi Report'!$A:$A,0),2)),"",INDEX('Yardi Report'!$A:$E,MATCH('Chart of Accounts'!$A398,'Yardi Report'!$A:$A,0),2))</f>
        <v/>
      </c>
      <c r="C392" t="str">
        <f>IF(A392="","",MAX($C$1:C391)+1)</f>
        <v/>
      </c>
      <c r="E392" t="str">
        <f t="shared" si="14"/>
        <v xml:space="preserve"> </v>
      </c>
      <c r="G392">
        <f t="shared" si="15"/>
        <v>392</v>
      </c>
    </row>
    <row r="393" spans="1:7">
      <c r="A393" t="str">
        <f>IF(ISNA(INDEX('Yardi Report'!$A:$E,MATCH('Chart of Accounts'!$A399,'Yardi Report'!$A:$A,0),1)),"",INDEX('Yardi Report'!$A:$E,MATCH('Chart of Accounts'!$A399,'Yardi Report'!$A:$A,0),1))</f>
        <v>2150-0022</v>
      </c>
      <c r="B393" t="str">
        <f>IF(ISNA(INDEX('Yardi Report'!$A:$E,MATCH('Chart of Accounts'!$A399,'Yardi Report'!$A:$A,0),2)),"",INDEX('Yardi Report'!$A:$E,MATCH('Chart of Accounts'!$A399,'Yardi Report'!$A:$A,0),2))</f>
        <v xml:space="preserve"> Due To/(From) SSSM</v>
      </c>
      <c r="C393">
        <f>IF(A393="","",MAX($C$1:C392)+1)</f>
        <v>36</v>
      </c>
      <c r="E393" t="str">
        <f t="shared" si="14"/>
        <v>2150-0022  Due To/(From) SSSM</v>
      </c>
      <c r="G393">
        <f t="shared" si="15"/>
        <v>393</v>
      </c>
    </row>
    <row r="394" spans="1:7">
      <c r="A394" t="str">
        <f>IF(ISNA(INDEX('Yardi Report'!$A:$E,MATCH('Chart of Accounts'!$A400,'Yardi Report'!$A:$A,0),1)),"",INDEX('Yardi Report'!$A:$E,MATCH('Chart of Accounts'!$A400,'Yardi Report'!$A:$A,0),1))</f>
        <v/>
      </c>
      <c r="B394" t="str">
        <f>IF(ISNA(INDEX('Yardi Report'!$A:$E,MATCH('Chart of Accounts'!$A400,'Yardi Report'!$A:$A,0),2)),"",INDEX('Yardi Report'!$A:$E,MATCH('Chart of Accounts'!$A400,'Yardi Report'!$A:$A,0),2))</f>
        <v/>
      </c>
      <c r="C394" t="str">
        <f>IF(A394="","",MAX($C$1:C393)+1)</f>
        <v/>
      </c>
      <c r="E394" t="str">
        <f t="shared" si="14"/>
        <v xml:space="preserve"> </v>
      </c>
      <c r="G394">
        <f t="shared" si="15"/>
        <v>394</v>
      </c>
    </row>
    <row r="395" spans="1:7">
      <c r="A395" t="str">
        <f>IF(ISNA(INDEX('Yardi Report'!$A:$E,MATCH('Chart of Accounts'!$A401,'Yardi Report'!$A:$A,0),1)),"",INDEX('Yardi Report'!$A:$E,MATCH('Chart of Accounts'!$A401,'Yardi Report'!$A:$A,0),1))</f>
        <v>2200-0000</v>
      </c>
      <c r="B395" t="str">
        <f>IF(ISNA(INDEX('Yardi Report'!$A:$E,MATCH('Chart of Accounts'!$A401,'Yardi Report'!$A:$A,0),2)),"",INDEX('Yardi Report'!$A:$E,MATCH('Chart of Accounts'!$A401,'Yardi Report'!$A:$A,0),2))</f>
        <v xml:space="preserve"> Accounts Payable</v>
      </c>
      <c r="C395">
        <f>IF(A395="","",MAX($C$1:C394)+1)</f>
        <v>37</v>
      </c>
      <c r="E395" t="str">
        <f t="shared" si="14"/>
        <v>2200-0000  Accounts Payable</v>
      </c>
      <c r="G395">
        <f t="shared" si="15"/>
        <v>395</v>
      </c>
    </row>
    <row r="396" spans="1:7">
      <c r="A396" t="str">
        <f>IF(ISNA(INDEX('Yardi Report'!$A:$E,MATCH('Chart of Accounts'!$A402,'Yardi Report'!$A:$A,0),1)),"",INDEX('Yardi Report'!$A:$E,MATCH('Chart of Accounts'!$A402,'Yardi Report'!$A:$A,0),1))</f>
        <v/>
      </c>
      <c r="B396" t="str">
        <f>IF(ISNA(INDEX('Yardi Report'!$A:$E,MATCH('Chart of Accounts'!$A402,'Yardi Report'!$A:$A,0),2)),"",INDEX('Yardi Report'!$A:$E,MATCH('Chart of Accounts'!$A402,'Yardi Report'!$A:$A,0),2))</f>
        <v/>
      </c>
      <c r="C396" t="str">
        <f>IF(A396="","",MAX($C$1:C395)+1)</f>
        <v/>
      </c>
      <c r="E396" t="str">
        <f t="shared" si="14"/>
        <v xml:space="preserve"> </v>
      </c>
      <c r="G396">
        <f t="shared" si="15"/>
        <v>396</v>
      </c>
    </row>
    <row r="397" spans="1:7">
      <c r="A397" t="str">
        <f>IF(ISNA(INDEX('Yardi Report'!$A:$E,MATCH('Chart of Accounts'!$A403,'Yardi Report'!$A:$A,0),1)),"",INDEX('Yardi Report'!$A:$E,MATCH('Chart of Accounts'!$A403,'Yardi Report'!$A:$A,0),1))</f>
        <v/>
      </c>
      <c r="B397" t="str">
        <f>IF(ISNA(INDEX('Yardi Report'!$A:$E,MATCH('Chart of Accounts'!$A403,'Yardi Report'!$A:$A,0),2)),"",INDEX('Yardi Report'!$A:$E,MATCH('Chart of Accounts'!$A403,'Yardi Report'!$A:$A,0),2))</f>
        <v/>
      </c>
      <c r="C397" t="str">
        <f>IF(A397="","",MAX($C$1:C396)+1)</f>
        <v/>
      </c>
      <c r="E397" t="str">
        <f t="shared" si="14"/>
        <v xml:space="preserve"> </v>
      </c>
      <c r="G397">
        <f t="shared" si="15"/>
        <v>397</v>
      </c>
    </row>
    <row r="398" spans="1:7">
      <c r="A398" t="str">
        <f>IF(ISNA(INDEX('Yardi Report'!$A:$E,MATCH('Chart of Accounts'!$A404,'Yardi Report'!$A:$A,0),1)),"",INDEX('Yardi Report'!$A:$E,MATCH('Chart of Accounts'!$A404,'Yardi Report'!$A:$A,0),1))</f>
        <v/>
      </c>
      <c r="B398" t="str">
        <f>IF(ISNA(INDEX('Yardi Report'!$A:$E,MATCH('Chart of Accounts'!$A404,'Yardi Report'!$A:$A,0),2)),"",INDEX('Yardi Report'!$A:$E,MATCH('Chart of Accounts'!$A404,'Yardi Report'!$A:$A,0),2))</f>
        <v/>
      </c>
      <c r="C398" t="str">
        <f>IF(A398="","",MAX($C$1:C397)+1)</f>
        <v/>
      </c>
      <c r="E398" t="str">
        <f t="shared" si="14"/>
        <v xml:space="preserve"> </v>
      </c>
      <c r="G398">
        <f t="shared" si="15"/>
        <v>398</v>
      </c>
    </row>
    <row r="399" spans="1:7">
      <c r="A399" t="str">
        <f>IF(ISNA(INDEX('Yardi Report'!$A:$E,MATCH('Chart of Accounts'!$A405,'Yardi Report'!$A:$A,0),1)),"",INDEX('Yardi Report'!$A:$E,MATCH('Chart of Accounts'!$A405,'Yardi Report'!$A:$A,0),1))</f>
        <v>2210-0000</v>
      </c>
      <c r="B399" t="str">
        <f>IF(ISNA(INDEX('Yardi Report'!$A:$E,MATCH('Chart of Accounts'!$A405,'Yardi Report'!$A:$A,0),2)),"",INDEX('Yardi Report'!$A:$E,MATCH('Chart of Accounts'!$A405,'Yardi Report'!$A:$A,0),2))</f>
        <v xml:space="preserve"> Prepaid Rent</v>
      </c>
      <c r="C399">
        <f>IF(A399="","",MAX($C$1:C398)+1)</f>
        <v>38</v>
      </c>
      <c r="E399" t="str">
        <f t="shared" si="14"/>
        <v>2210-0000  Prepaid Rent</v>
      </c>
      <c r="G399">
        <f t="shared" si="15"/>
        <v>399</v>
      </c>
    </row>
    <row r="400" spans="1:7">
      <c r="A400" t="str">
        <f>IF(ISNA(INDEX('Yardi Report'!$A:$E,MATCH('Chart of Accounts'!$A406,'Yardi Report'!$A:$A,0),1)),"",INDEX('Yardi Report'!$A:$E,MATCH('Chart of Accounts'!$A406,'Yardi Report'!$A:$A,0),1))</f>
        <v/>
      </c>
      <c r="B400" t="str">
        <f>IF(ISNA(INDEX('Yardi Report'!$A:$E,MATCH('Chart of Accounts'!$A406,'Yardi Report'!$A:$A,0),2)),"",INDEX('Yardi Report'!$A:$E,MATCH('Chart of Accounts'!$A406,'Yardi Report'!$A:$A,0),2))</f>
        <v/>
      </c>
      <c r="C400" t="str">
        <f>IF(A400="","",MAX($C$1:C399)+1)</f>
        <v/>
      </c>
      <c r="E400" t="str">
        <f t="shared" si="14"/>
        <v xml:space="preserve"> </v>
      </c>
      <c r="G400">
        <f t="shared" si="15"/>
        <v>400</v>
      </c>
    </row>
    <row r="401" spans="1:7">
      <c r="A401" t="str">
        <f>IF(ISNA(INDEX('Yardi Report'!$A:$E,MATCH('Chart of Accounts'!$A407,'Yardi Report'!$A:$A,0),1)),"",INDEX('Yardi Report'!$A:$E,MATCH('Chart of Accounts'!$A407,'Yardi Report'!$A:$A,0),1))</f>
        <v/>
      </c>
      <c r="B401" t="str">
        <f>IF(ISNA(INDEX('Yardi Report'!$A:$E,MATCH('Chart of Accounts'!$A407,'Yardi Report'!$A:$A,0),2)),"",INDEX('Yardi Report'!$A:$E,MATCH('Chart of Accounts'!$A407,'Yardi Report'!$A:$A,0),2))</f>
        <v/>
      </c>
      <c r="C401" t="str">
        <f>IF(A401="","",MAX($C$1:C400)+1)</f>
        <v/>
      </c>
      <c r="E401" t="str">
        <f t="shared" si="14"/>
        <v xml:space="preserve"> </v>
      </c>
      <c r="G401">
        <f t="shared" si="15"/>
        <v>401</v>
      </c>
    </row>
    <row r="402" spans="1:7">
      <c r="A402" t="str">
        <f>IF(ISNA(INDEX('Yardi Report'!$A:$E,MATCH('Chart of Accounts'!$A408,'Yardi Report'!$A:$A,0),1)),"",INDEX('Yardi Report'!$A:$E,MATCH('Chart of Accounts'!$A408,'Yardi Report'!$A:$A,0),1))</f>
        <v/>
      </c>
      <c r="B402" t="str">
        <f>IF(ISNA(INDEX('Yardi Report'!$A:$E,MATCH('Chart of Accounts'!$A408,'Yardi Report'!$A:$A,0),2)),"",INDEX('Yardi Report'!$A:$E,MATCH('Chart of Accounts'!$A408,'Yardi Report'!$A:$A,0),2))</f>
        <v/>
      </c>
      <c r="C402" t="str">
        <f>IF(A402="","",MAX($C$1:C401)+1)</f>
        <v/>
      </c>
      <c r="E402" t="str">
        <f t="shared" si="14"/>
        <v xml:space="preserve"> </v>
      </c>
      <c r="G402">
        <f t="shared" si="15"/>
        <v>402</v>
      </c>
    </row>
    <row r="403" spans="1:7">
      <c r="A403" t="str">
        <f>IF(ISNA(INDEX('Yardi Report'!$A:$E,MATCH('Chart of Accounts'!$A409,'Yardi Report'!$A:$A,0),1)),"",INDEX('Yardi Report'!$A:$E,MATCH('Chart of Accounts'!$A409,'Yardi Report'!$A:$A,0),1))</f>
        <v/>
      </c>
      <c r="B403" t="str">
        <f>IF(ISNA(INDEX('Yardi Report'!$A:$E,MATCH('Chart of Accounts'!$A409,'Yardi Report'!$A:$A,0),2)),"",INDEX('Yardi Report'!$A:$E,MATCH('Chart of Accounts'!$A409,'Yardi Report'!$A:$A,0),2))</f>
        <v/>
      </c>
      <c r="C403" t="str">
        <f>IF(A403="","",MAX($C$1:C402)+1)</f>
        <v/>
      </c>
      <c r="E403" t="str">
        <f t="shared" si="14"/>
        <v xml:space="preserve"> </v>
      </c>
      <c r="G403">
        <f t="shared" si="15"/>
        <v>403</v>
      </c>
    </row>
    <row r="404" spans="1:7">
      <c r="A404" t="str">
        <f>IF(ISNA(INDEX('Yardi Report'!$A:$E,MATCH('Chart of Accounts'!$A410,'Yardi Report'!$A:$A,0),1)),"",INDEX('Yardi Report'!$A:$E,MATCH('Chart of Accounts'!$A410,'Yardi Report'!$A:$A,0),1))</f>
        <v/>
      </c>
      <c r="B404" t="str">
        <f>IF(ISNA(INDEX('Yardi Report'!$A:$E,MATCH('Chart of Accounts'!$A410,'Yardi Report'!$A:$A,0),2)),"",INDEX('Yardi Report'!$A:$E,MATCH('Chart of Accounts'!$A410,'Yardi Report'!$A:$A,0),2))</f>
        <v/>
      </c>
      <c r="C404" t="str">
        <f>IF(A404="","",MAX($C$1:C403)+1)</f>
        <v/>
      </c>
      <c r="E404" t="str">
        <f t="shared" si="14"/>
        <v xml:space="preserve"> </v>
      </c>
      <c r="G404">
        <f t="shared" si="15"/>
        <v>404</v>
      </c>
    </row>
    <row r="405" spans="1:7">
      <c r="A405" t="str">
        <f>IF(ISNA(INDEX('Yardi Report'!$A:$E,MATCH('Chart of Accounts'!$A411,'Yardi Report'!$A:$A,0),1)),"",INDEX('Yardi Report'!$A:$E,MATCH('Chart of Accounts'!$A411,'Yardi Report'!$A:$A,0),1))</f>
        <v>2250-0000</v>
      </c>
      <c r="B405" t="str">
        <f>IF(ISNA(INDEX('Yardi Report'!$A:$E,MATCH('Chart of Accounts'!$A411,'Yardi Report'!$A:$A,0),2)),"",INDEX('Yardi Report'!$A:$E,MATCH('Chart of Accounts'!$A411,'Yardi Report'!$A:$A,0),2))</f>
        <v xml:space="preserve"> Tenant Deposits</v>
      </c>
      <c r="C405">
        <f>IF(A405="","",MAX($C$1:C404)+1)</f>
        <v>39</v>
      </c>
      <c r="E405" t="str">
        <f t="shared" si="14"/>
        <v>2250-0000  Tenant Deposits</v>
      </c>
      <c r="G405">
        <f t="shared" si="15"/>
        <v>405</v>
      </c>
    </row>
    <row r="406" spans="1:7">
      <c r="A406" t="str">
        <f>IF(ISNA(INDEX('Yardi Report'!$A:$E,MATCH('Chart of Accounts'!$A412,'Yardi Report'!$A:$A,0),1)),"",INDEX('Yardi Report'!$A:$E,MATCH('Chart of Accounts'!$A412,'Yardi Report'!$A:$A,0),1))</f>
        <v/>
      </c>
      <c r="B406" t="str">
        <f>IF(ISNA(INDEX('Yardi Report'!$A:$E,MATCH('Chart of Accounts'!$A412,'Yardi Report'!$A:$A,0),2)),"",INDEX('Yardi Report'!$A:$E,MATCH('Chart of Accounts'!$A412,'Yardi Report'!$A:$A,0),2))</f>
        <v/>
      </c>
      <c r="C406" t="str">
        <f>IF(A406="","",MAX($C$1:C405)+1)</f>
        <v/>
      </c>
      <c r="E406" t="str">
        <f t="shared" si="14"/>
        <v xml:space="preserve"> </v>
      </c>
      <c r="G406">
        <f t="shared" si="15"/>
        <v>406</v>
      </c>
    </row>
    <row r="407" spans="1:7">
      <c r="A407" t="str">
        <f>IF(ISNA(INDEX('Yardi Report'!$A:$E,MATCH('Chart of Accounts'!$A413,'Yardi Report'!$A:$A,0),1)),"",INDEX('Yardi Report'!$A:$E,MATCH('Chart of Accounts'!$A413,'Yardi Report'!$A:$A,0),1))</f>
        <v/>
      </c>
      <c r="B407" t="str">
        <f>IF(ISNA(INDEX('Yardi Report'!$A:$E,MATCH('Chart of Accounts'!$A413,'Yardi Report'!$A:$A,0),2)),"",INDEX('Yardi Report'!$A:$E,MATCH('Chart of Accounts'!$A413,'Yardi Report'!$A:$A,0),2))</f>
        <v/>
      </c>
      <c r="C407" t="str">
        <f>IF(A407="","",MAX($C$1:C406)+1)</f>
        <v/>
      </c>
      <c r="E407" t="str">
        <f t="shared" si="14"/>
        <v xml:space="preserve"> </v>
      </c>
      <c r="G407">
        <f t="shared" si="15"/>
        <v>407</v>
      </c>
    </row>
    <row r="408" spans="1:7">
      <c r="A408" t="str">
        <f>IF(ISNA(INDEX('Yardi Report'!$A:$E,MATCH('Chart of Accounts'!$A414,'Yardi Report'!$A:$A,0),1)),"",INDEX('Yardi Report'!$A:$E,MATCH('Chart of Accounts'!$A414,'Yardi Report'!$A:$A,0),1))</f>
        <v/>
      </c>
      <c r="B408" t="str">
        <f>IF(ISNA(INDEX('Yardi Report'!$A:$E,MATCH('Chart of Accounts'!$A414,'Yardi Report'!$A:$A,0),2)),"",INDEX('Yardi Report'!$A:$E,MATCH('Chart of Accounts'!$A414,'Yardi Report'!$A:$A,0),2))</f>
        <v/>
      </c>
      <c r="C408" t="str">
        <f>IF(A408="","",MAX($C$1:C407)+1)</f>
        <v/>
      </c>
      <c r="E408" t="str">
        <f t="shared" si="14"/>
        <v xml:space="preserve"> </v>
      </c>
      <c r="G408">
        <f t="shared" si="15"/>
        <v>408</v>
      </c>
    </row>
    <row r="409" spans="1:7">
      <c r="A409" t="str">
        <f>IF(ISNA(INDEX('Yardi Report'!$A:$E,MATCH('Chart of Accounts'!$A415,'Yardi Report'!$A:$A,0),1)),"",INDEX('Yardi Report'!$A:$E,MATCH('Chart of Accounts'!$A415,'Yardi Report'!$A:$A,0),1))</f>
        <v/>
      </c>
      <c r="B409" t="str">
        <f>IF(ISNA(INDEX('Yardi Report'!$A:$E,MATCH('Chart of Accounts'!$A415,'Yardi Report'!$A:$A,0),2)),"",INDEX('Yardi Report'!$A:$E,MATCH('Chart of Accounts'!$A415,'Yardi Report'!$A:$A,0),2))</f>
        <v/>
      </c>
      <c r="C409" t="str">
        <f>IF(A409="","",MAX($C$1:C408)+1)</f>
        <v/>
      </c>
      <c r="E409" t="str">
        <f t="shared" si="14"/>
        <v xml:space="preserve"> </v>
      </c>
      <c r="G409">
        <f t="shared" si="15"/>
        <v>409</v>
      </c>
    </row>
    <row r="410" spans="1:7">
      <c r="A410" t="str">
        <f>IF(ISNA(INDEX('Yardi Report'!$A:$E,MATCH('Chart of Accounts'!$A416,'Yardi Report'!$A:$A,0),1)),"",INDEX('Yardi Report'!$A:$E,MATCH('Chart of Accounts'!$A416,'Yardi Report'!$A:$A,0),1))</f>
        <v/>
      </c>
      <c r="B410" t="str">
        <f>IF(ISNA(INDEX('Yardi Report'!$A:$E,MATCH('Chart of Accounts'!$A416,'Yardi Report'!$A:$A,0),2)),"",INDEX('Yardi Report'!$A:$E,MATCH('Chart of Accounts'!$A416,'Yardi Report'!$A:$A,0),2))</f>
        <v/>
      </c>
      <c r="C410" t="str">
        <f>IF(A410="","",MAX($C$1:C409)+1)</f>
        <v/>
      </c>
      <c r="E410" t="str">
        <f t="shared" si="14"/>
        <v xml:space="preserve"> </v>
      </c>
      <c r="G410">
        <f t="shared" si="15"/>
        <v>410</v>
      </c>
    </row>
    <row r="411" spans="1:7">
      <c r="A411" t="str">
        <f>IF(ISNA(INDEX('Yardi Report'!$A:$E,MATCH('Chart of Accounts'!$A417,'Yardi Report'!$A:$A,0),1)),"",INDEX('Yardi Report'!$A:$E,MATCH('Chart of Accounts'!$A417,'Yardi Report'!$A:$A,0),1))</f>
        <v/>
      </c>
      <c r="B411" t="str">
        <f>IF(ISNA(INDEX('Yardi Report'!$A:$E,MATCH('Chart of Accounts'!$A417,'Yardi Report'!$A:$A,0),2)),"",INDEX('Yardi Report'!$A:$E,MATCH('Chart of Accounts'!$A417,'Yardi Report'!$A:$A,0),2))</f>
        <v/>
      </c>
      <c r="C411" t="str">
        <f>IF(A411="","",MAX($C$1:C410)+1)</f>
        <v/>
      </c>
      <c r="E411" t="str">
        <f t="shared" si="14"/>
        <v xml:space="preserve"> </v>
      </c>
      <c r="G411">
        <f t="shared" si="15"/>
        <v>411</v>
      </c>
    </row>
    <row r="412" spans="1:7">
      <c r="A412" t="str">
        <f>IF(ISNA(INDEX('Yardi Report'!$A:$E,MATCH('Chart of Accounts'!$A418,'Yardi Report'!$A:$A,0),1)),"",INDEX('Yardi Report'!$A:$E,MATCH('Chart of Accounts'!$A418,'Yardi Report'!$A:$A,0),1))</f>
        <v/>
      </c>
      <c r="B412" t="str">
        <f>IF(ISNA(INDEX('Yardi Report'!$A:$E,MATCH('Chart of Accounts'!$A418,'Yardi Report'!$A:$A,0),2)),"",INDEX('Yardi Report'!$A:$E,MATCH('Chart of Accounts'!$A418,'Yardi Report'!$A:$A,0),2))</f>
        <v/>
      </c>
      <c r="C412" t="str">
        <f>IF(A412="","",MAX($C$1:C411)+1)</f>
        <v/>
      </c>
      <c r="E412" t="str">
        <f t="shared" si="14"/>
        <v xml:space="preserve"> </v>
      </c>
      <c r="G412">
        <f t="shared" si="15"/>
        <v>412</v>
      </c>
    </row>
    <row r="413" spans="1:7">
      <c r="A413" t="str">
        <f>IF(ISNA(INDEX('Yardi Report'!$A:$E,MATCH('Chart of Accounts'!$A419,'Yardi Report'!$A:$A,0),1)),"",INDEX('Yardi Report'!$A:$E,MATCH('Chart of Accounts'!$A419,'Yardi Report'!$A:$A,0),1))</f>
        <v/>
      </c>
      <c r="B413" t="str">
        <f>IF(ISNA(INDEX('Yardi Report'!$A:$E,MATCH('Chart of Accounts'!$A419,'Yardi Report'!$A:$A,0),2)),"",INDEX('Yardi Report'!$A:$E,MATCH('Chart of Accounts'!$A419,'Yardi Report'!$A:$A,0),2))</f>
        <v/>
      </c>
      <c r="C413" t="str">
        <f>IF(A413="","",MAX($C$1:C412)+1)</f>
        <v/>
      </c>
      <c r="E413" t="str">
        <f t="shared" si="14"/>
        <v xml:space="preserve"> </v>
      </c>
      <c r="G413">
        <f t="shared" si="15"/>
        <v>413</v>
      </c>
    </row>
    <row r="414" spans="1:7">
      <c r="A414" t="str">
        <f>IF(ISNA(INDEX('Yardi Report'!$A:$E,MATCH('Chart of Accounts'!$A420,'Yardi Report'!$A:$A,0),1)),"",INDEX('Yardi Report'!$A:$E,MATCH('Chart of Accounts'!$A420,'Yardi Report'!$A:$A,0),1))</f>
        <v>2290-0000</v>
      </c>
      <c r="B414" t="str">
        <f>IF(ISNA(INDEX('Yardi Report'!$A:$E,MATCH('Chart of Accounts'!$A420,'Yardi Report'!$A:$A,0),2)),"",INDEX('Yardi Report'!$A:$E,MATCH('Chart of Accounts'!$A420,'Yardi Report'!$A:$A,0),2))</f>
        <v xml:space="preserve"> Funds for Transfer</v>
      </c>
      <c r="C414">
        <f>IF(A414="","",MAX($C$1:C413)+1)</f>
        <v>40</v>
      </c>
      <c r="E414" t="str">
        <f t="shared" si="14"/>
        <v>2290-0000  Funds for Transfer</v>
      </c>
      <c r="G414">
        <f t="shared" si="15"/>
        <v>414</v>
      </c>
    </row>
    <row r="415" spans="1:7">
      <c r="A415" t="str">
        <f>IF(ISNA(INDEX('Yardi Report'!$A:$E,MATCH('Chart of Accounts'!$A421,'Yardi Report'!$A:$A,0),1)),"",INDEX('Yardi Report'!$A:$E,MATCH('Chart of Accounts'!$A421,'Yardi Report'!$A:$A,0),1))</f>
        <v>2300-0000</v>
      </c>
      <c r="B415" t="str">
        <f>IF(ISNA(INDEX('Yardi Report'!$A:$E,MATCH('Chart of Accounts'!$A421,'Yardi Report'!$A:$A,0),2)),"",INDEX('Yardi Report'!$A:$E,MATCH('Chart of Accounts'!$A421,'Yardi Report'!$A:$A,0),2))</f>
        <v xml:space="preserve"> TAX LIABILITIES</v>
      </c>
      <c r="C415">
        <f>IF(A415="","",MAX($C$1:C414)+1)</f>
        <v>41</v>
      </c>
      <c r="E415" t="str">
        <f t="shared" si="14"/>
        <v>2300-0000  TAX LIABILITIES</v>
      </c>
      <c r="G415">
        <f t="shared" si="15"/>
        <v>415</v>
      </c>
    </row>
    <row r="416" spans="1:7">
      <c r="A416" t="str">
        <f>IF(ISNA(INDEX('Yardi Report'!$A:$E,MATCH('Chart of Accounts'!$A422,'Yardi Report'!$A:$A,0),1)),"",INDEX('Yardi Report'!$A:$E,MATCH('Chart of Accounts'!$A422,'Yardi Report'!$A:$A,0),1))</f>
        <v>2305-0000</v>
      </c>
      <c r="B416" t="str">
        <f>IF(ISNA(INDEX('Yardi Report'!$A:$E,MATCH('Chart of Accounts'!$A422,'Yardi Report'!$A:$A,0),2)),"",INDEX('Yardi Report'!$A:$E,MATCH('Chart of Accounts'!$A422,'Yardi Report'!$A:$A,0),2))</f>
        <v xml:space="preserve"> Real Estate Tax Accrual</v>
      </c>
      <c r="C416">
        <f>IF(A416="","",MAX($C$1:C415)+1)</f>
        <v>42</v>
      </c>
      <c r="E416" t="str">
        <f t="shared" si="14"/>
        <v>2305-0000  Real Estate Tax Accrual</v>
      </c>
      <c r="G416">
        <f t="shared" si="15"/>
        <v>416</v>
      </c>
    </row>
    <row r="417" spans="1:7">
      <c r="A417" t="str">
        <f>IF(ISNA(INDEX('Yardi Report'!$A:$E,MATCH('Chart of Accounts'!$A423,'Yardi Report'!$A:$A,0),1)),"",INDEX('Yardi Report'!$A:$E,MATCH('Chart of Accounts'!$A423,'Yardi Report'!$A:$A,0),1))</f>
        <v/>
      </c>
      <c r="B417" t="str">
        <f>IF(ISNA(INDEX('Yardi Report'!$A:$E,MATCH('Chart of Accounts'!$A423,'Yardi Report'!$A:$A,0),2)),"",INDEX('Yardi Report'!$A:$E,MATCH('Chart of Accounts'!$A423,'Yardi Report'!$A:$A,0),2))</f>
        <v/>
      </c>
      <c r="C417" t="str">
        <f>IF(A417="","",MAX($C$1:C416)+1)</f>
        <v/>
      </c>
      <c r="E417" t="str">
        <f t="shared" si="14"/>
        <v xml:space="preserve"> </v>
      </c>
      <c r="G417">
        <f t="shared" si="15"/>
        <v>417</v>
      </c>
    </row>
    <row r="418" spans="1:7">
      <c r="A418" t="str">
        <f>IF(ISNA(INDEX('Yardi Report'!$A:$E,MATCH('Chart of Accounts'!$A424,'Yardi Report'!$A:$A,0),1)),"",INDEX('Yardi Report'!$A:$E,MATCH('Chart of Accounts'!$A424,'Yardi Report'!$A:$A,0),1))</f>
        <v/>
      </c>
      <c r="B418" t="str">
        <f>IF(ISNA(INDEX('Yardi Report'!$A:$E,MATCH('Chart of Accounts'!$A424,'Yardi Report'!$A:$A,0),2)),"",INDEX('Yardi Report'!$A:$E,MATCH('Chart of Accounts'!$A424,'Yardi Report'!$A:$A,0),2))</f>
        <v/>
      </c>
      <c r="C418" t="str">
        <f>IF(A418="","",MAX($C$1:C417)+1)</f>
        <v/>
      </c>
      <c r="E418" t="str">
        <f t="shared" si="14"/>
        <v xml:space="preserve"> </v>
      </c>
      <c r="G418">
        <f t="shared" si="15"/>
        <v>418</v>
      </c>
    </row>
    <row r="419" spans="1:7">
      <c r="A419" t="str">
        <f>IF(ISNA(INDEX('Yardi Report'!$A:$E,MATCH('Chart of Accounts'!$A425,'Yardi Report'!$A:$A,0),1)),"",INDEX('Yardi Report'!$A:$E,MATCH('Chart of Accounts'!$A425,'Yardi Report'!$A:$A,0),1))</f>
        <v/>
      </c>
      <c r="B419" t="str">
        <f>IF(ISNA(INDEX('Yardi Report'!$A:$E,MATCH('Chart of Accounts'!$A425,'Yardi Report'!$A:$A,0),2)),"",INDEX('Yardi Report'!$A:$E,MATCH('Chart of Accounts'!$A425,'Yardi Report'!$A:$A,0),2))</f>
        <v/>
      </c>
      <c r="C419" t="str">
        <f>IF(A419="","",MAX($C$1:C418)+1)</f>
        <v/>
      </c>
      <c r="E419" t="str">
        <f t="shared" si="14"/>
        <v xml:space="preserve"> </v>
      </c>
      <c r="G419">
        <f t="shared" si="15"/>
        <v>419</v>
      </c>
    </row>
    <row r="420" spans="1:7">
      <c r="A420" t="str">
        <f>IF(ISNA(INDEX('Yardi Report'!$A:$E,MATCH('Chart of Accounts'!$A426,'Yardi Report'!$A:$A,0),1)),"",INDEX('Yardi Report'!$A:$E,MATCH('Chart of Accounts'!$A426,'Yardi Report'!$A:$A,0),1))</f>
        <v/>
      </c>
      <c r="B420" t="str">
        <f>IF(ISNA(INDEX('Yardi Report'!$A:$E,MATCH('Chart of Accounts'!$A426,'Yardi Report'!$A:$A,0),2)),"",INDEX('Yardi Report'!$A:$E,MATCH('Chart of Accounts'!$A426,'Yardi Report'!$A:$A,0),2))</f>
        <v/>
      </c>
      <c r="C420" t="str">
        <f>IF(A420="","",MAX($C$1:C419)+1)</f>
        <v/>
      </c>
      <c r="E420" t="str">
        <f t="shared" si="14"/>
        <v xml:space="preserve"> </v>
      </c>
      <c r="G420">
        <f t="shared" si="15"/>
        <v>420</v>
      </c>
    </row>
    <row r="421" spans="1:7">
      <c r="A421" t="str">
        <f>IF(ISNA(INDEX('Yardi Report'!$A:$E,MATCH('Chart of Accounts'!$A427,'Yardi Report'!$A:$A,0),1)),"",INDEX('Yardi Report'!$A:$E,MATCH('Chart of Accounts'!$A427,'Yardi Report'!$A:$A,0),1))</f>
        <v/>
      </c>
      <c r="B421" t="str">
        <f>IF(ISNA(INDEX('Yardi Report'!$A:$E,MATCH('Chart of Accounts'!$A427,'Yardi Report'!$A:$A,0),2)),"",INDEX('Yardi Report'!$A:$E,MATCH('Chart of Accounts'!$A427,'Yardi Report'!$A:$A,0),2))</f>
        <v/>
      </c>
      <c r="C421" t="str">
        <f>IF(A421="","",MAX($C$1:C420)+1)</f>
        <v/>
      </c>
      <c r="E421" t="str">
        <f t="shared" si="14"/>
        <v xml:space="preserve"> </v>
      </c>
      <c r="G421">
        <f t="shared" si="15"/>
        <v>421</v>
      </c>
    </row>
    <row r="422" spans="1:7">
      <c r="A422" t="str">
        <f>IF(ISNA(INDEX('Yardi Report'!$A:$E,MATCH('Chart of Accounts'!$A428,'Yardi Report'!$A:$A,0),1)),"",INDEX('Yardi Report'!$A:$E,MATCH('Chart of Accounts'!$A428,'Yardi Report'!$A:$A,0),1))</f>
        <v/>
      </c>
      <c r="B422" t="str">
        <f>IF(ISNA(INDEX('Yardi Report'!$A:$E,MATCH('Chart of Accounts'!$A428,'Yardi Report'!$A:$A,0),2)),"",INDEX('Yardi Report'!$A:$E,MATCH('Chart of Accounts'!$A428,'Yardi Report'!$A:$A,0),2))</f>
        <v/>
      </c>
      <c r="C422" t="str">
        <f>IF(A422="","",MAX($C$1:C421)+1)</f>
        <v/>
      </c>
      <c r="E422" t="str">
        <f t="shared" si="14"/>
        <v xml:space="preserve"> </v>
      </c>
      <c r="G422">
        <f t="shared" si="15"/>
        <v>422</v>
      </c>
    </row>
    <row r="423" spans="1:7">
      <c r="A423" t="str">
        <f>IF(ISNA(INDEX('Yardi Report'!$A:$E,MATCH('Chart of Accounts'!$A429,'Yardi Report'!$A:$A,0),1)),"",INDEX('Yardi Report'!$A:$E,MATCH('Chart of Accounts'!$A429,'Yardi Report'!$A:$A,0),1))</f>
        <v/>
      </c>
      <c r="B423" t="str">
        <f>IF(ISNA(INDEX('Yardi Report'!$A:$E,MATCH('Chart of Accounts'!$A429,'Yardi Report'!$A:$A,0),2)),"",INDEX('Yardi Report'!$A:$E,MATCH('Chart of Accounts'!$A429,'Yardi Report'!$A:$A,0),2))</f>
        <v/>
      </c>
      <c r="C423" t="str">
        <f>IF(A423="","",MAX($C$1:C422)+1)</f>
        <v/>
      </c>
      <c r="E423" t="str">
        <f t="shared" si="14"/>
        <v xml:space="preserve"> </v>
      </c>
      <c r="G423">
        <f t="shared" si="15"/>
        <v>423</v>
      </c>
    </row>
    <row r="424" spans="1:7">
      <c r="A424" t="str">
        <f>IF(ISNA(INDEX('Yardi Report'!$A:$E,MATCH('Chart of Accounts'!$A430,'Yardi Report'!$A:$A,0),1)),"",INDEX('Yardi Report'!$A:$E,MATCH('Chart of Accounts'!$A430,'Yardi Report'!$A:$A,0),1))</f>
        <v/>
      </c>
      <c r="B424" t="str">
        <f>IF(ISNA(INDEX('Yardi Report'!$A:$E,MATCH('Chart of Accounts'!$A430,'Yardi Report'!$A:$A,0),2)),"",INDEX('Yardi Report'!$A:$E,MATCH('Chart of Accounts'!$A430,'Yardi Report'!$A:$A,0),2))</f>
        <v/>
      </c>
      <c r="C424" t="str">
        <f>IF(A424="","",MAX($C$1:C423)+1)</f>
        <v/>
      </c>
      <c r="E424" t="str">
        <f t="shared" si="14"/>
        <v xml:space="preserve"> </v>
      </c>
      <c r="G424">
        <f t="shared" si="15"/>
        <v>424</v>
      </c>
    </row>
    <row r="425" spans="1:7">
      <c r="A425" t="str">
        <f>IF(ISNA(INDEX('Yardi Report'!$A:$E,MATCH('Chart of Accounts'!$A431,'Yardi Report'!$A:$A,0),1)),"",INDEX('Yardi Report'!$A:$E,MATCH('Chart of Accounts'!$A431,'Yardi Report'!$A:$A,0),1))</f>
        <v/>
      </c>
      <c r="B425" t="str">
        <f>IF(ISNA(INDEX('Yardi Report'!$A:$E,MATCH('Chart of Accounts'!$A431,'Yardi Report'!$A:$A,0),2)),"",INDEX('Yardi Report'!$A:$E,MATCH('Chart of Accounts'!$A431,'Yardi Report'!$A:$A,0),2))</f>
        <v/>
      </c>
      <c r="C425" t="str">
        <f>IF(A425="","",MAX($C$1:C424)+1)</f>
        <v/>
      </c>
      <c r="E425" t="str">
        <f t="shared" si="14"/>
        <v xml:space="preserve"> </v>
      </c>
      <c r="G425">
        <f t="shared" si="15"/>
        <v>425</v>
      </c>
    </row>
    <row r="426" spans="1:7">
      <c r="A426" t="str">
        <f>IF(ISNA(INDEX('Yardi Report'!$A:$E,MATCH('Chart of Accounts'!$A432,'Yardi Report'!$A:$A,0),1)),"",INDEX('Yardi Report'!$A:$E,MATCH('Chart of Accounts'!$A432,'Yardi Report'!$A:$A,0),1))</f>
        <v/>
      </c>
      <c r="B426" t="str">
        <f>IF(ISNA(INDEX('Yardi Report'!$A:$E,MATCH('Chart of Accounts'!$A432,'Yardi Report'!$A:$A,0),2)),"",INDEX('Yardi Report'!$A:$E,MATCH('Chart of Accounts'!$A432,'Yardi Report'!$A:$A,0),2))</f>
        <v/>
      </c>
      <c r="C426" t="str">
        <f>IF(A426="","",MAX($C$1:C425)+1)</f>
        <v/>
      </c>
      <c r="E426" t="str">
        <f t="shared" si="14"/>
        <v xml:space="preserve"> </v>
      </c>
      <c r="G426">
        <f t="shared" si="15"/>
        <v>426</v>
      </c>
    </row>
    <row r="427" spans="1:7">
      <c r="A427" t="str">
        <f>IF(ISNA(INDEX('Yardi Report'!$A:$E,MATCH('Chart of Accounts'!$A433,'Yardi Report'!$A:$A,0),1)),"",INDEX('Yardi Report'!$A:$E,MATCH('Chart of Accounts'!$A433,'Yardi Report'!$A:$A,0),1))</f>
        <v/>
      </c>
      <c r="B427" t="str">
        <f>IF(ISNA(INDEX('Yardi Report'!$A:$E,MATCH('Chart of Accounts'!$A433,'Yardi Report'!$A:$A,0),2)),"",INDEX('Yardi Report'!$A:$E,MATCH('Chart of Accounts'!$A433,'Yardi Report'!$A:$A,0),2))</f>
        <v/>
      </c>
      <c r="C427" t="str">
        <f>IF(A427="","",MAX($C$1:C426)+1)</f>
        <v/>
      </c>
      <c r="E427" t="str">
        <f t="shared" si="14"/>
        <v xml:space="preserve"> </v>
      </c>
      <c r="G427">
        <f t="shared" si="15"/>
        <v>427</v>
      </c>
    </row>
    <row r="428" spans="1:7">
      <c r="A428" t="str">
        <f>IF(ISNA(INDEX('Yardi Report'!$A:$E,MATCH('Chart of Accounts'!$A434,'Yardi Report'!$A:$A,0),1)),"",INDEX('Yardi Report'!$A:$E,MATCH('Chart of Accounts'!$A434,'Yardi Report'!$A:$A,0),1))</f>
        <v/>
      </c>
      <c r="B428" t="str">
        <f>IF(ISNA(INDEX('Yardi Report'!$A:$E,MATCH('Chart of Accounts'!$A434,'Yardi Report'!$A:$A,0),2)),"",INDEX('Yardi Report'!$A:$E,MATCH('Chart of Accounts'!$A434,'Yardi Report'!$A:$A,0),2))</f>
        <v/>
      </c>
      <c r="C428" t="str">
        <f>IF(A428="","",MAX($C$1:C427)+1)</f>
        <v/>
      </c>
      <c r="E428" t="str">
        <f t="shared" si="14"/>
        <v xml:space="preserve"> </v>
      </c>
      <c r="G428">
        <f t="shared" si="15"/>
        <v>428</v>
      </c>
    </row>
    <row r="429" spans="1:7">
      <c r="A429" t="str">
        <f>IF(ISNA(INDEX('Yardi Report'!$A:$E,MATCH('Chart of Accounts'!$A435,'Yardi Report'!$A:$A,0),1)),"",INDEX('Yardi Report'!$A:$E,MATCH('Chart of Accounts'!$A435,'Yardi Report'!$A:$A,0),1))</f>
        <v/>
      </c>
      <c r="B429" t="str">
        <f>IF(ISNA(INDEX('Yardi Report'!$A:$E,MATCH('Chart of Accounts'!$A435,'Yardi Report'!$A:$A,0),2)),"",INDEX('Yardi Report'!$A:$E,MATCH('Chart of Accounts'!$A435,'Yardi Report'!$A:$A,0),2))</f>
        <v/>
      </c>
      <c r="C429" t="str">
        <f>IF(A429="","",MAX($C$1:C428)+1)</f>
        <v/>
      </c>
      <c r="E429" t="str">
        <f t="shared" si="14"/>
        <v xml:space="preserve"> </v>
      </c>
      <c r="G429">
        <f t="shared" si="15"/>
        <v>429</v>
      </c>
    </row>
    <row r="430" spans="1:7">
      <c r="A430" t="str">
        <f>IF(ISNA(INDEX('Yardi Report'!$A:$E,MATCH('Chart of Accounts'!$A436,'Yardi Report'!$A:$A,0),1)),"",INDEX('Yardi Report'!$A:$E,MATCH('Chart of Accounts'!$A436,'Yardi Report'!$A:$A,0),1))</f>
        <v/>
      </c>
      <c r="B430" t="str">
        <f>IF(ISNA(INDEX('Yardi Report'!$A:$E,MATCH('Chart of Accounts'!$A436,'Yardi Report'!$A:$A,0),2)),"",INDEX('Yardi Report'!$A:$E,MATCH('Chart of Accounts'!$A436,'Yardi Report'!$A:$A,0),2))</f>
        <v/>
      </c>
      <c r="C430" t="str">
        <f>IF(A430="","",MAX($C$1:C429)+1)</f>
        <v/>
      </c>
      <c r="E430" t="str">
        <f t="shared" si="14"/>
        <v xml:space="preserve"> </v>
      </c>
      <c r="G430">
        <f t="shared" si="15"/>
        <v>430</v>
      </c>
    </row>
    <row r="431" spans="1:7">
      <c r="A431" t="str">
        <f>IF(ISNA(INDEX('Yardi Report'!$A:$E,MATCH('Chart of Accounts'!$A437,'Yardi Report'!$A:$A,0),1)),"",INDEX('Yardi Report'!$A:$E,MATCH('Chart of Accounts'!$A437,'Yardi Report'!$A:$A,0),1))</f>
        <v/>
      </c>
      <c r="B431" t="str">
        <f>IF(ISNA(INDEX('Yardi Report'!$A:$E,MATCH('Chart of Accounts'!$A437,'Yardi Report'!$A:$A,0),2)),"",INDEX('Yardi Report'!$A:$E,MATCH('Chart of Accounts'!$A437,'Yardi Report'!$A:$A,0),2))</f>
        <v/>
      </c>
      <c r="C431" t="str">
        <f>IF(A431="","",MAX($C$1:C430)+1)</f>
        <v/>
      </c>
      <c r="E431" t="str">
        <f t="shared" si="14"/>
        <v xml:space="preserve"> </v>
      </c>
      <c r="G431">
        <f t="shared" si="15"/>
        <v>431</v>
      </c>
    </row>
    <row r="432" spans="1:7">
      <c r="A432" t="str">
        <f>IF(ISNA(INDEX('Yardi Report'!$A:$E,MATCH('Chart of Accounts'!$A438,'Yardi Report'!$A:$A,0),1)),"",INDEX('Yardi Report'!$A:$E,MATCH('Chart of Accounts'!$A438,'Yardi Report'!$A:$A,0),1))</f>
        <v/>
      </c>
      <c r="B432" t="str">
        <f>IF(ISNA(INDEX('Yardi Report'!$A:$E,MATCH('Chart of Accounts'!$A438,'Yardi Report'!$A:$A,0),2)),"",INDEX('Yardi Report'!$A:$E,MATCH('Chart of Accounts'!$A438,'Yardi Report'!$A:$A,0),2))</f>
        <v/>
      </c>
      <c r="C432" t="str">
        <f>IF(A432="","",MAX($C$1:C431)+1)</f>
        <v/>
      </c>
      <c r="E432" t="str">
        <f t="shared" si="14"/>
        <v xml:space="preserve"> </v>
      </c>
      <c r="G432">
        <f t="shared" si="15"/>
        <v>432</v>
      </c>
    </row>
    <row r="433" spans="1:7">
      <c r="A433" t="str">
        <f>IF(ISNA(INDEX('Yardi Report'!$A:$E,MATCH('Chart of Accounts'!$A439,'Yardi Report'!$A:$A,0),1)),"",INDEX('Yardi Report'!$A:$E,MATCH('Chart of Accounts'!$A439,'Yardi Report'!$A:$A,0),1))</f>
        <v/>
      </c>
      <c r="B433" t="str">
        <f>IF(ISNA(INDEX('Yardi Report'!$A:$E,MATCH('Chart of Accounts'!$A439,'Yardi Report'!$A:$A,0),2)),"",INDEX('Yardi Report'!$A:$E,MATCH('Chart of Accounts'!$A439,'Yardi Report'!$A:$A,0),2))</f>
        <v/>
      </c>
      <c r="C433" t="str">
        <f>IF(A433="","",MAX($C$1:C432)+1)</f>
        <v/>
      </c>
      <c r="E433" t="str">
        <f t="shared" si="14"/>
        <v xml:space="preserve"> </v>
      </c>
      <c r="G433">
        <f t="shared" si="15"/>
        <v>433</v>
      </c>
    </row>
    <row r="434" spans="1:7">
      <c r="A434" t="str">
        <f>IF(ISNA(INDEX('Yardi Report'!$A:$E,MATCH('Chart of Accounts'!$A440,'Yardi Report'!$A:$A,0),1)),"",INDEX('Yardi Report'!$A:$E,MATCH('Chart of Accounts'!$A440,'Yardi Report'!$A:$A,0),1))</f>
        <v/>
      </c>
      <c r="B434" t="str">
        <f>IF(ISNA(INDEX('Yardi Report'!$A:$E,MATCH('Chart of Accounts'!$A440,'Yardi Report'!$A:$A,0),2)),"",INDEX('Yardi Report'!$A:$E,MATCH('Chart of Accounts'!$A440,'Yardi Report'!$A:$A,0),2))</f>
        <v/>
      </c>
      <c r="C434" t="str">
        <f>IF(A434="","",MAX($C$1:C433)+1)</f>
        <v/>
      </c>
      <c r="E434" t="str">
        <f t="shared" si="14"/>
        <v xml:space="preserve"> </v>
      </c>
      <c r="G434">
        <f t="shared" si="15"/>
        <v>434</v>
      </c>
    </row>
    <row r="435" spans="1:7">
      <c r="A435" t="str">
        <f>IF(ISNA(INDEX('Yardi Report'!$A:$E,MATCH('Chart of Accounts'!$A441,'Yardi Report'!$A:$A,0),1)),"",INDEX('Yardi Report'!$A:$E,MATCH('Chart of Accounts'!$A441,'Yardi Report'!$A:$A,0),1))</f>
        <v/>
      </c>
      <c r="B435" t="str">
        <f>IF(ISNA(INDEX('Yardi Report'!$A:$E,MATCH('Chart of Accounts'!$A441,'Yardi Report'!$A:$A,0),2)),"",INDEX('Yardi Report'!$A:$E,MATCH('Chart of Accounts'!$A441,'Yardi Report'!$A:$A,0),2))</f>
        <v/>
      </c>
      <c r="C435" t="str">
        <f>IF(A435="","",MAX($C$1:C434)+1)</f>
        <v/>
      </c>
      <c r="E435" t="str">
        <f t="shared" si="14"/>
        <v xml:space="preserve"> </v>
      </c>
      <c r="G435">
        <f t="shared" si="15"/>
        <v>435</v>
      </c>
    </row>
    <row r="436" spans="1:7">
      <c r="A436" t="str">
        <f>IF(ISNA(INDEX('Yardi Report'!$A:$E,MATCH('Chart of Accounts'!$A442,'Yardi Report'!$A:$A,0),1)),"",INDEX('Yardi Report'!$A:$E,MATCH('Chart of Accounts'!$A442,'Yardi Report'!$A:$A,0),1))</f>
        <v/>
      </c>
      <c r="B436" t="str">
        <f>IF(ISNA(INDEX('Yardi Report'!$A:$E,MATCH('Chart of Accounts'!$A442,'Yardi Report'!$A:$A,0),2)),"",INDEX('Yardi Report'!$A:$E,MATCH('Chart of Accounts'!$A442,'Yardi Report'!$A:$A,0),2))</f>
        <v/>
      </c>
      <c r="C436" t="str">
        <f>IF(A436="","",MAX($C$1:C435)+1)</f>
        <v/>
      </c>
      <c r="E436" t="str">
        <f t="shared" si="14"/>
        <v xml:space="preserve"> </v>
      </c>
      <c r="G436">
        <f t="shared" si="15"/>
        <v>436</v>
      </c>
    </row>
    <row r="437" spans="1:7">
      <c r="A437" t="str">
        <f>IF(ISNA(INDEX('Yardi Report'!$A:$E,MATCH('Chart of Accounts'!$A443,'Yardi Report'!$A:$A,0),1)),"",INDEX('Yardi Report'!$A:$E,MATCH('Chart of Accounts'!$A443,'Yardi Report'!$A:$A,0),1))</f>
        <v/>
      </c>
      <c r="B437" t="str">
        <f>IF(ISNA(INDEX('Yardi Report'!$A:$E,MATCH('Chart of Accounts'!$A443,'Yardi Report'!$A:$A,0),2)),"",INDEX('Yardi Report'!$A:$E,MATCH('Chart of Accounts'!$A443,'Yardi Report'!$A:$A,0),2))</f>
        <v/>
      </c>
      <c r="C437" t="str">
        <f>IF(A437="","",MAX($C$1:C436)+1)</f>
        <v/>
      </c>
      <c r="E437" t="str">
        <f t="shared" si="14"/>
        <v xml:space="preserve"> </v>
      </c>
      <c r="G437">
        <f t="shared" si="15"/>
        <v>437</v>
      </c>
    </row>
    <row r="438" spans="1:7">
      <c r="A438" t="str">
        <f>IF(ISNA(INDEX('Yardi Report'!$A:$E,MATCH('Chart of Accounts'!$A444,'Yardi Report'!$A:$A,0),1)),"",INDEX('Yardi Report'!$A:$E,MATCH('Chart of Accounts'!$A444,'Yardi Report'!$A:$A,0),1))</f>
        <v/>
      </c>
      <c r="B438" t="str">
        <f>IF(ISNA(INDEX('Yardi Report'!$A:$E,MATCH('Chart of Accounts'!$A444,'Yardi Report'!$A:$A,0),2)),"",INDEX('Yardi Report'!$A:$E,MATCH('Chart of Accounts'!$A444,'Yardi Report'!$A:$A,0),2))</f>
        <v/>
      </c>
      <c r="C438" t="str">
        <f>IF(A438="","",MAX($C$1:C437)+1)</f>
        <v/>
      </c>
      <c r="E438" t="str">
        <f t="shared" si="14"/>
        <v xml:space="preserve"> </v>
      </c>
      <c r="G438">
        <f t="shared" si="15"/>
        <v>438</v>
      </c>
    </row>
    <row r="439" spans="1:7">
      <c r="A439" t="str">
        <f>IF(ISNA(INDEX('Yardi Report'!$A:$E,MATCH('Chart of Accounts'!$A445,'Yardi Report'!$A:$A,0),1)),"",INDEX('Yardi Report'!$A:$E,MATCH('Chart of Accounts'!$A445,'Yardi Report'!$A:$A,0),1))</f>
        <v/>
      </c>
      <c r="B439" t="str">
        <f>IF(ISNA(INDEX('Yardi Report'!$A:$E,MATCH('Chart of Accounts'!$A445,'Yardi Report'!$A:$A,0),2)),"",INDEX('Yardi Report'!$A:$E,MATCH('Chart of Accounts'!$A445,'Yardi Report'!$A:$A,0),2))</f>
        <v/>
      </c>
      <c r="C439" t="str">
        <f>IF(A439="","",MAX($C$1:C438)+1)</f>
        <v/>
      </c>
      <c r="E439" t="str">
        <f t="shared" si="14"/>
        <v xml:space="preserve"> </v>
      </c>
      <c r="G439">
        <f t="shared" si="15"/>
        <v>439</v>
      </c>
    </row>
    <row r="440" spans="1:7">
      <c r="A440" t="str">
        <f>IF(ISNA(INDEX('Yardi Report'!$A:$E,MATCH('Chart of Accounts'!$A446,'Yardi Report'!$A:$A,0),1)),"",INDEX('Yardi Report'!$A:$E,MATCH('Chart of Accounts'!$A446,'Yardi Report'!$A:$A,0),1))</f>
        <v/>
      </c>
      <c r="B440" t="str">
        <f>IF(ISNA(INDEX('Yardi Report'!$A:$E,MATCH('Chart of Accounts'!$A446,'Yardi Report'!$A:$A,0),2)),"",INDEX('Yardi Report'!$A:$E,MATCH('Chart of Accounts'!$A446,'Yardi Report'!$A:$A,0),2))</f>
        <v/>
      </c>
      <c r="C440" t="str">
        <f>IF(A440="","",MAX($C$1:C439)+1)</f>
        <v/>
      </c>
      <c r="E440" t="str">
        <f t="shared" si="14"/>
        <v xml:space="preserve"> </v>
      </c>
      <c r="G440">
        <f t="shared" si="15"/>
        <v>440</v>
      </c>
    </row>
    <row r="441" spans="1:7">
      <c r="A441" t="str">
        <f>IF(ISNA(INDEX('Yardi Report'!$A:$E,MATCH('Chart of Accounts'!$A447,'Yardi Report'!$A:$A,0),1)),"",INDEX('Yardi Report'!$A:$E,MATCH('Chart of Accounts'!$A447,'Yardi Report'!$A:$A,0),1))</f>
        <v/>
      </c>
      <c r="B441" t="str">
        <f>IF(ISNA(INDEX('Yardi Report'!$A:$E,MATCH('Chart of Accounts'!$A447,'Yardi Report'!$A:$A,0),2)),"",INDEX('Yardi Report'!$A:$E,MATCH('Chart of Accounts'!$A447,'Yardi Report'!$A:$A,0),2))</f>
        <v/>
      </c>
      <c r="C441" t="str">
        <f>IF(A441="","",MAX($C$1:C440)+1)</f>
        <v/>
      </c>
      <c r="E441" t="str">
        <f t="shared" si="14"/>
        <v xml:space="preserve"> </v>
      </c>
      <c r="G441">
        <f t="shared" si="15"/>
        <v>441</v>
      </c>
    </row>
    <row r="442" spans="1:7">
      <c r="A442" t="str">
        <f>IF(ISNA(INDEX('Yardi Report'!$A:$E,MATCH('Chart of Accounts'!$A448,'Yardi Report'!$A:$A,0),1)),"",INDEX('Yardi Report'!$A:$E,MATCH('Chart of Accounts'!$A448,'Yardi Report'!$A:$A,0),1))</f>
        <v/>
      </c>
      <c r="B442" t="str">
        <f>IF(ISNA(INDEX('Yardi Report'!$A:$E,MATCH('Chart of Accounts'!$A448,'Yardi Report'!$A:$A,0),2)),"",INDEX('Yardi Report'!$A:$E,MATCH('Chart of Accounts'!$A448,'Yardi Report'!$A:$A,0),2))</f>
        <v/>
      </c>
      <c r="C442" t="str">
        <f>IF(A442="","",MAX($C$1:C441)+1)</f>
        <v/>
      </c>
      <c r="E442" t="str">
        <f t="shared" si="14"/>
        <v xml:space="preserve"> </v>
      </c>
      <c r="G442">
        <f t="shared" si="15"/>
        <v>442</v>
      </c>
    </row>
    <row r="443" spans="1:7">
      <c r="A443" t="str">
        <f>IF(ISNA(INDEX('Yardi Report'!$A:$E,MATCH('Chart of Accounts'!$A449,'Yardi Report'!$A:$A,0),1)),"",INDEX('Yardi Report'!$A:$E,MATCH('Chart of Accounts'!$A449,'Yardi Report'!$A:$A,0),1))</f>
        <v/>
      </c>
      <c r="B443" t="str">
        <f>IF(ISNA(INDEX('Yardi Report'!$A:$E,MATCH('Chart of Accounts'!$A449,'Yardi Report'!$A:$A,0),2)),"",INDEX('Yardi Report'!$A:$E,MATCH('Chart of Accounts'!$A449,'Yardi Report'!$A:$A,0),2))</f>
        <v/>
      </c>
      <c r="C443" t="str">
        <f>IF(A443="","",MAX($C$1:C442)+1)</f>
        <v/>
      </c>
      <c r="E443" t="str">
        <f t="shared" si="14"/>
        <v xml:space="preserve"> </v>
      </c>
      <c r="G443">
        <f t="shared" si="15"/>
        <v>443</v>
      </c>
    </row>
    <row r="444" spans="1:7">
      <c r="A444" t="str">
        <f>IF(ISNA(INDEX('Yardi Report'!$A:$E,MATCH('Chart of Accounts'!$A450,'Yardi Report'!$A:$A,0),1)),"",INDEX('Yardi Report'!$A:$E,MATCH('Chart of Accounts'!$A450,'Yardi Report'!$A:$A,0),1))</f>
        <v/>
      </c>
      <c r="B444" t="str">
        <f>IF(ISNA(INDEX('Yardi Report'!$A:$E,MATCH('Chart of Accounts'!$A450,'Yardi Report'!$A:$A,0),2)),"",INDEX('Yardi Report'!$A:$E,MATCH('Chart of Accounts'!$A450,'Yardi Report'!$A:$A,0),2))</f>
        <v/>
      </c>
      <c r="C444" t="str">
        <f>IF(A444="","",MAX($C$1:C443)+1)</f>
        <v/>
      </c>
      <c r="E444" t="str">
        <f t="shared" si="14"/>
        <v xml:space="preserve"> </v>
      </c>
      <c r="G444">
        <f t="shared" si="15"/>
        <v>444</v>
      </c>
    </row>
    <row r="445" spans="1:7">
      <c r="A445" t="str">
        <f>IF(ISNA(INDEX('Yardi Report'!$A:$E,MATCH('Chart of Accounts'!$A451,'Yardi Report'!$A:$A,0),1)),"",INDEX('Yardi Report'!$A:$E,MATCH('Chart of Accounts'!$A451,'Yardi Report'!$A:$A,0),1))</f>
        <v>2310-0000</v>
      </c>
      <c r="B445" t="str">
        <f>IF(ISNA(INDEX('Yardi Report'!$A:$E,MATCH('Chart of Accounts'!$A451,'Yardi Report'!$A:$A,0),2)),"",INDEX('Yardi Report'!$A:$E,MATCH('Chart of Accounts'!$A451,'Yardi Report'!$A:$A,0),2))</f>
        <v xml:space="preserve"> Sales Tax Collected</v>
      </c>
      <c r="C445">
        <f>IF(A445="","",MAX($C$1:C444)+1)</f>
        <v>43</v>
      </c>
      <c r="E445" t="str">
        <f t="shared" si="14"/>
        <v>2310-0000  Sales Tax Collected</v>
      </c>
      <c r="G445">
        <f t="shared" si="15"/>
        <v>445</v>
      </c>
    </row>
    <row r="446" spans="1:7">
      <c r="A446" t="str">
        <f>IF(ISNA(INDEX('Yardi Report'!$A:$E,MATCH('Chart of Accounts'!$A452,'Yardi Report'!$A:$A,0),1)),"",INDEX('Yardi Report'!$A:$E,MATCH('Chart of Accounts'!$A452,'Yardi Report'!$A:$A,0),1))</f>
        <v/>
      </c>
      <c r="B446" t="str">
        <f>IF(ISNA(INDEX('Yardi Report'!$A:$E,MATCH('Chart of Accounts'!$A452,'Yardi Report'!$A:$A,0),2)),"",INDEX('Yardi Report'!$A:$E,MATCH('Chart of Accounts'!$A452,'Yardi Report'!$A:$A,0),2))</f>
        <v/>
      </c>
      <c r="C446" t="str">
        <f>IF(A446="","",MAX($C$1:C445)+1)</f>
        <v/>
      </c>
      <c r="E446" t="str">
        <f t="shared" si="14"/>
        <v xml:space="preserve"> </v>
      </c>
      <c r="G446">
        <f t="shared" si="15"/>
        <v>446</v>
      </c>
    </row>
    <row r="447" spans="1:7">
      <c r="A447" t="str">
        <f>IF(ISNA(INDEX('Yardi Report'!$A:$E,MATCH('Chart of Accounts'!$A453,'Yardi Report'!$A:$A,0),1)),"",INDEX('Yardi Report'!$A:$E,MATCH('Chart of Accounts'!$A453,'Yardi Report'!$A:$A,0),1))</f>
        <v/>
      </c>
      <c r="B447" t="str">
        <f>IF(ISNA(INDEX('Yardi Report'!$A:$E,MATCH('Chart of Accounts'!$A453,'Yardi Report'!$A:$A,0),2)),"",INDEX('Yardi Report'!$A:$E,MATCH('Chart of Accounts'!$A453,'Yardi Report'!$A:$A,0),2))</f>
        <v/>
      </c>
      <c r="C447" t="str">
        <f>IF(A447="","",MAX($C$1:C446)+1)</f>
        <v/>
      </c>
      <c r="E447" t="str">
        <f t="shared" si="14"/>
        <v xml:space="preserve"> </v>
      </c>
      <c r="G447">
        <f t="shared" si="15"/>
        <v>447</v>
      </c>
    </row>
    <row r="448" spans="1:7">
      <c r="A448" t="str">
        <f>IF(ISNA(INDEX('Yardi Report'!$A:$E,MATCH('Chart of Accounts'!$A454,'Yardi Report'!$A:$A,0),1)),"",INDEX('Yardi Report'!$A:$E,MATCH('Chart of Accounts'!$A454,'Yardi Report'!$A:$A,0),1))</f>
        <v/>
      </c>
      <c r="B448" t="str">
        <f>IF(ISNA(INDEX('Yardi Report'!$A:$E,MATCH('Chart of Accounts'!$A454,'Yardi Report'!$A:$A,0),2)),"",INDEX('Yardi Report'!$A:$E,MATCH('Chart of Accounts'!$A454,'Yardi Report'!$A:$A,0),2))</f>
        <v/>
      </c>
      <c r="C448" t="str">
        <f>IF(A448="","",MAX($C$1:C447)+1)</f>
        <v/>
      </c>
      <c r="E448" t="str">
        <f t="shared" si="14"/>
        <v xml:space="preserve"> </v>
      </c>
      <c r="G448">
        <f t="shared" si="15"/>
        <v>448</v>
      </c>
    </row>
    <row r="449" spans="1:7">
      <c r="A449" t="str">
        <f>IF(ISNA(INDEX('Yardi Report'!$A:$E,MATCH('Chart of Accounts'!$A455,'Yardi Report'!$A:$A,0),1)),"",INDEX('Yardi Report'!$A:$E,MATCH('Chart of Accounts'!$A455,'Yardi Report'!$A:$A,0),1))</f>
        <v/>
      </c>
      <c r="B449" t="str">
        <f>IF(ISNA(INDEX('Yardi Report'!$A:$E,MATCH('Chart of Accounts'!$A455,'Yardi Report'!$A:$A,0),2)),"",INDEX('Yardi Report'!$A:$E,MATCH('Chart of Accounts'!$A455,'Yardi Report'!$A:$A,0),2))</f>
        <v/>
      </c>
      <c r="C449" t="str">
        <f>IF(A449="","",MAX($C$1:C448)+1)</f>
        <v/>
      </c>
      <c r="E449" t="str">
        <f t="shared" si="14"/>
        <v xml:space="preserve"> </v>
      </c>
      <c r="G449">
        <f t="shared" si="15"/>
        <v>449</v>
      </c>
    </row>
    <row r="450" spans="1:7">
      <c r="A450" t="str">
        <f>IF(ISNA(INDEX('Yardi Report'!$A:$E,MATCH('Chart of Accounts'!$A456,'Yardi Report'!$A:$A,0),1)),"",INDEX('Yardi Report'!$A:$E,MATCH('Chart of Accounts'!$A456,'Yardi Report'!$A:$A,0),1))</f>
        <v/>
      </c>
      <c r="B450" t="str">
        <f>IF(ISNA(INDEX('Yardi Report'!$A:$E,MATCH('Chart of Accounts'!$A456,'Yardi Report'!$A:$A,0),2)),"",INDEX('Yardi Report'!$A:$E,MATCH('Chart of Accounts'!$A456,'Yardi Report'!$A:$A,0),2))</f>
        <v/>
      </c>
      <c r="C450" t="str">
        <f>IF(A450="","",MAX($C$1:C449)+1)</f>
        <v/>
      </c>
      <c r="E450" t="str">
        <f t="shared" ref="E450:E467" si="16">A450&amp;" "&amp;B450</f>
        <v xml:space="preserve"> </v>
      </c>
      <c r="G450">
        <f t="shared" si="15"/>
        <v>450</v>
      </c>
    </row>
    <row r="451" spans="1:7">
      <c r="A451" t="str">
        <f>IF(ISNA(INDEX('Yardi Report'!$A:$E,MATCH('Chart of Accounts'!$A457,'Yardi Report'!$A:$A,0),1)),"",INDEX('Yardi Report'!$A:$E,MATCH('Chart of Accounts'!$A457,'Yardi Report'!$A:$A,0),1))</f>
        <v/>
      </c>
      <c r="B451" t="str">
        <f>IF(ISNA(INDEX('Yardi Report'!$A:$E,MATCH('Chart of Accounts'!$A457,'Yardi Report'!$A:$A,0),2)),"",INDEX('Yardi Report'!$A:$E,MATCH('Chart of Accounts'!$A457,'Yardi Report'!$A:$A,0),2))</f>
        <v/>
      </c>
      <c r="C451" t="str">
        <f>IF(A451="","",MAX($C$1:C450)+1)</f>
        <v/>
      </c>
      <c r="E451" t="str">
        <f t="shared" si="16"/>
        <v xml:space="preserve"> </v>
      </c>
      <c r="G451">
        <f t="shared" ref="G451:G467" si="17">+G450+1</f>
        <v>451</v>
      </c>
    </row>
    <row r="452" spans="1:7">
      <c r="A452" t="str">
        <f>IF(ISNA(INDEX('Yardi Report'!$A:$E,MATCH('Chart of Accounts'!$A458,'Yardi Report'!$A:$A,0),1)),"",INDEX('Yardi Report'!$A:$E,MATCH('Chart of Accounts'!$A458,'Yardi Report'!$A:$A,0),1))</f>
        <v/>
      </c>
      <c r="B452" t="str">
        <f>IF(ISNA(INDEX('Yardi Report'!$A:$E,MATCH('Chart of Accounts'!$A458,'Yardi Report'!$A:$A,0),2)),"",INDEX('Yardi Report'!$A:$E,MATCH('Chart of Accounts'!$A458,'Yardi Report'!$A:$A,0),2))</f>
        <v/>
      </c>
      <c r="C452" t="str">
        <f>IF(A452="","",MAX($C$1:C451)+1)</f>
        <v/>
      </c>
      <c r="E452" t="str">
        <f t="shared" si="16"/>
        <v xml:space="preserve"> </v>
      </c>
      <c r="G452">
        <f t="shared" si="17"/>
        <v>452</v>
      </c>
    </row>
    <row r="453" spans="1:7">
      <c r="A453" t="str">
        <f>IF(ISNA(INDEX('Yardi Report'!$A:$E,MATCH('Chart of Accounts'!$A459,'Yardi Report'!$A:$A,0),1)),"",INDEX('Yardi Report'!$A:$E,MATCH('Chart of Accounts'!$A459,'Yardi Report'!$A:$A,0),1))</f>
        <v/>
      </c>
      <c r="B453" t="str">
        <f>IF(ISNA(INDEX('Yardi Report'!$A:$E,MATCH('Chart of Accounts'!$A459,'Yardi Report'!$A:$A,0),2)),"",INDEX('Yardi Report'!$A:$E,MATCH('Chart of Accounts'!$A459,'Yardi Report'!$A:$A,0),2))</f>
        <v/>
      </c>
      <c r="C453" t="str">
        <f>IF(A453="","",MAX($C$1:C452)+1)</f>
        <v/>
      </c>
      <c r="E453" t="str">
        <f t="shared" si="16"/>
        <v xml:space="preserve"> </v>
      </c>
      <c r="G453">
        <f t="shared" si="17"/>
        <v>453</v>
      </c>
    </row>
    <row r="454" spans="1:7">
      <c r="A454" t="str">
        <f>IF(ISNA(INDEX('Yardi Report'!$A:$E,MATCH('Chart of Accounts'!$A460,'Yardi Report'!$A:$A,0),1)),"",INDEX('Yardi Report'!$A:$E,MATCH('Chart of Accounts'!$A460,'Yardi Report'!$A:$A,0),1))</f>
        <v/>
      </c>
      <c r="B454" t="str">
        <f>IF(ISNA(INDEX('Yardi Report'!$A:$E,MATCH('Chart of Accounts'!$A460,'Yardi Report'!$A:$A,0),2)),"",INDEX('Yardi Report'!$A:$E,MATCH('Chart of Accounts'!$A460,'Yardi Report'!$A:$A,0),2))</f>
        <v/>
      </c>
      <c r="C454" t="str">
        <f>IF(A454="","",MAX($C$1:C453)+1)</f>
        <v/>
      </c>
      <c r="E454" t="str">
        <f t="shared" si="16"/>
        <v xml:space="preserve"> </v>
      </c>
      <c r="G454">
        <f t="shared" si="17"/>
        <v>454</v>
      </c>
    </row>
    <row r="455" spans="1:7">
      <c r="A455" t="str">
        <f>IF(ISNA(INDEX('Yardi Report'!$A:$E,MATCH('Chart of Accounts'!$A461,'Yardi Report'!$A:$A,0),1)),"",INDEX('Yardi Report'!$A:$E,MATCH('Chart of Accounts'!$A461,'Yardi Report'!$A:$A,0),1))</f>
        <v>2490-0000</v>
      </c>
      <c r="B455" t="str">
        <f>IF(ISNA(INDEX('Yardi Report'!$A:$E,MATCH('Chart of Accounts'!$A461,'Yardi Report'!$A:$A,0),2)),"",INDEX('Yardi Report'!$A:$E,MATCH('Chart of Accounts'!$A461,'Yardi Report'!$A:$A,0),2))</f>
        <v xml:space="preserve">  TOTAL TAX LIABILITIES</v>
      </c>
      <c r="C455">
        <f>IF(A455="","",MAX($C$1:C454)+1)</f>
        <v>44</v>
      </c>
      <c r="E455" t="str">
        <f t="shared" si="16"/>
        <v>2490-0000   TOTAL TAX LIABILITIES</v>
      </c>
      <c r="G455">
        <f t="shared" si="17"/>
        <v>455</v>
      </c>
    </row>
    <row r="456" spans="1:7">
      <c r="A456" t="str">
        <f>IF(ISNA(INDEX('Yardi Report'!$A:$E,MATCH('Chart of Accounts'!$A462,'Yardi Report'!$A:$A,0),1)),"",INDEX('Yardi Report'!$A:$E,MATCH('Chart of Accounts'!$A462,'Yardi Report'!$A:$A,0),1))</f>
        <v>2609-0000</v>
      </c>
      <c r="B456" t="str">
        <f>IF(ISNA(INDEX('Yardi Report'!$A:$E,MATCH('Chart of Accounts'!$A462,'Yardi Report'!$A:$A,0),2)),"",INDEX('Yardi Report'!$A:$E,MATCH('Chart of Accounts'!$A462,'Yardi Report'!$A:$A,0),2))</f>
        <v xml:space="preserve"> Interest Accrual</v>
      </c>
      <c r="C456">
        <f>IF(A456="","",MAX($C$1:C455)+1)</f>
        <v>45</v>
      </c>
      <c r="E456" t="str">
        <f t="shared" si="16"/>
        <v>2609-0000  Interest Accrual</v>
      </c>
      <c r="G456">
        <f t="shared" si="17"/>
        <v>456</v>
      </c>
    </row>
    <row r="457" spans="1:7">
      <c r="A457" t="str">
        <f>IF(ISNA(INDEX('Yardi Report'!$A:$E,MATCH('Chart of Accounts'!$A463,'Yardi Report'!$A:$A,0),1)),"",INDEX('Yardi Report'!$A:$E,MATCH('Chart of Accounts'!$A463,'Yardi Report'!$A:$A,0),1))</f>
        <v/>
      </c>
      <c r="B457" t="str">
        <f>IF(ISNA(INDEX('Yardi Report'!$A:$E,MATCH('Chart of Accounts'!$A463,'Yardi Report'!$A:$A,0),2)),"",INDEX('Yardi Report'!$A:$E,MATCH('Chart of Accounts'!$A463,'Yardi Report'!$A:$A,0),2))</f>
        <v/>
      </c>
      <c r="C457" t="str">
        <f>IF(A457="","",MAX($C$1:C456)+1)</f>
        <v/>
      </c>
      <c r="E457" t="str">
        <f t="shared" si="16"/>
        <v xml:space="preserve"> </v>
      </c>
      <c r="G457">
        <f t="shared" si="17"/>
        <v>457</v>
      </c>
    </row>
    <row r="458" spans="1:7">
      <c r="A458" t="str">
        <f>IF(ISNA(INDEX('Yardi Report'!$A:$E,MATCH('Chart of Accounts'!$A464,'Yardi Report'!$A:$A,0),1)),"",INDEX('Yardi Report'!$A:$E,MATCH('Chart of Accounts'!$A464,'Yardi Report'!$A:$A,0),1))</f>
        <v/>
      </c>
      <c r="B458" t="str">
        <f>IF(ISNA(INDEX('Yardi Report'!$A:$E,MATCH('Chart of Accounts'!$A464,'Yardi Report'!$A:$A,0),2)),"",INDEX('Yardi Report'!$A:$E,MATCH('Chart of Accounts'!$A464,'Yardi Report'!$A:$A,0),2))</f>
        <v/>
      </c>
      <c r="C458" t="str">
        <f>IF(A458="","",MAX($C$1:C457)+1)</f>
        <v/>
      </c>
      <c r="E458" t="str">
        <f t="shared" si="16"/>
        <v xml:space="preserve"> </v>
      </c>
      <c r="G458">
        <f t="shared" si="17"/>
        <v>458</v>
      </c>
    </row>
    <row r="459" spans="1:7">
      <c r="A459" t="str">
        <f>IF(ISNA(INDEX('Yardi Report'!$A:$E,MATCH('Chart of Accounts'!$A465,'Yardi Report'!$A:$A,0),1)),"",INDEX('Yardi Report'!$A:$E,MATCH('Chart of Accounts'!$A465,'Yardi Report'!$A:$A,0),1))</f>
        <v/>
      </c>
      <c r="B459" t="str">
        <f>IF(ISNA(INDEX('Yardi Report'!$A:$E,MATCH('Chart of Accounts'!$A465,'Yardi Report'!$A:$A,0),2)),"",INDEX('Yardi Report'!$A:$E,MATCH('Chart of Accounts'!$A465,'Yardi Report'!$A:$A,0),2))</f>
        <v/>
      </c>
      <c r="C459" t="str">
        <f>IF(A459="","",MAX($C$1:C458)+1)</f>
        <v/>
      </c>
      <c r="E459" t="str">
        <f t="shared" si="16"/>
        <v xml:space="preserve"> </v>
      </c>
      <c r="G459">
        <f t="shared" si="17"/>
        <v>459</v>
      </c>
    </row>
    <row r="460" spans="1:7">
      <c r="A460" t="str">
        <f>IF(ISNA(INDEX('Yardi Report'!$A:$E,MATCH('Chart of Accounts'!$A466,'Yardi Report'!$A:$A,0),1)),"",INDEX('Yardi Report'!$A:$E,MATCH('Chart of Accounts'!$A466,'Yardi Report'!$A:$A,0),1))</f>
        <v/>
      </c>
      <c r="B460" t="str">
        <f>IF(ISNA(INDEX('Yardi Report'!$A:$E,MATCH('Chart of Accounts'!$A466,'Yardi Report'!$A:$A,0),2)),"",INDEX('Yardi Report'!$A:$E,MATCH('Chart of Accounts'!$A466,'Yardi Report'!$A:$A,0),2))</f>
        <v/>
      </c>
      <c r="C460" t="str">
        <f>IF(A460="","",MAX($C$1:C459)+1)</f>
        <v/>
      </c>
      <c r="E460" t="str">
        <f t="shared" si="16"/>
        <v xml:space="preserve"> </v>
      </c>
      <c r="G460">
        <f t="shared" si="17"/>
        <v>460</v>
      </c>
    </row>
    <row r="461" spans="1:7">
      <c r="A461" t="str">
        <f>IF(ISNA(INDEX('Yardi Report'!$A:$E,MATCH('Chart of Accounts'!$A467,'Yardi Report'!$A:$A,0),1)),"",INDEX('Yardi Report'!$A:$E,MATCH('Chart of Accounts'!$A467,'Yardi Report'!$A:$A,0),1))</f>
        <v/>
      </c>
      <c r="B461" t="str">
        <f>IF(ISNA(INDEX('Yardi Report'!$A:$E,MATCH('Chart of Accounts'!$A467,'Yardi Report'!$A:$A,0),2)),"",INDEX('Yardi Report'!$A:$E,MATCH('Chart of Accounts'!$A467,'Yardi Report'!$A:$A,0),2))</f>
        <v/>
      </c>
      <c r="C461" t="str">
        <f>IF(A461="","",MAX($C$1:C460)+1)</f>
        <v/>
      </c>
      <c r="E461" t="str">
        <f t="shared" si="16"/>
        <v xml:space="preserve"> </v>
      </c>
      <c r="G461">
        <f t="shared" si="17"/>
        <v>461</v>
      </c>
    </row>
    <row r="462" spans="1:7">
      <c r="A462" t="str">
        <f>IF(ISNA(INDEX('Yardi Report'!$A:$E,MATCH('Chart of Accounts'!$A468,'Yardi Report'!$A:$A,0),1)),"",INDEX('Yardi Report'!$A:$E,MATCH('Chart of Accounts'!$A468,'Yardi Report'!$A:$A,0),1))</f>
        <v/>
      </c>
      <c r="B462" t="str">
        <f>IF(ISNA(INDEX('Yardi Report'!$A:$E,MATCH('Chart of Accounts'!$A468,'Yardi Report'!$A:$A,0),2)),"",INDEX('Yardi Report'!$A:$E,MATCH('Chart of Accounts'!$A468,'Yardi Report'!$A:$A,0),2))</f>
        <v/>
      </c>
      <c r="C462" t="str">
        <f>IF(A462="","",MAX($C$1:C461)+1)</f>
        <v/>
      </c>
      <c r="E462" t="str">
        <f t="shared" si="16"/>
        <v xml:space="preserve"> </v>
      </c>
      <c r="G462">
        <f t="shared" si="17"/>
        <v>462</v>
      </c>
    </row>
    <row r="463" spans="1:7">
      <c r="A463" t="str">
        <f>IF(ISNA(INDEX('Yardi Report'!$A:$E,MATCH('Chart of Accounts'!$A469,'Yardi Report'!$A:$A,0),1)),"",INDEX('Yardi Report'!$A:$E,MATCH('Chart of Accounts'!$A469,'Yardi Report'!$A:$A,0),1))</f>
        <v>2640-0998</v>
      </c>
      <c r="B463" t="str">
        <f>IF(ISNA(INDEX('Yardi Report'!$A:$E,MATCH('Chart of Accounts'!$A469,'Yardi Report'!$A:$A,0),2)),"",INDEX('Yardi Report'!$A:$E,MATCH('Chart of Accounts'!$A469,'Yardi Report'!$A:$A,0),2))</f>
        <v xml:space="preserve"> Expense Accrual</v>
      </c>
      <c r="C463">
        <f>IF(A463="","",MAX($C$1:C462)+1)</f>
        <v>46</v>
      </c>
      <c r="E463" t="str">
        <f t="shared" si="16"/>
        <v>2640-0998  Expense Accrual</v>
      </c>
      <c r="G463">
        <f t="shared" si="17"/>
        <v>463</v>
      </c>
    </row>
    <row r="464" spans="1:7">
      <c r="A464" t="str">
        <f>IF(ISNA(INDEX('Yardi Report'!$A:$E,MATCH('Chart of Accounts'!$A470,'Yardi Report'!$A:$A,0),1)),"",INDEX('Yardi Report'!$A:$E,MATCH('Chart of Accounts'!$A470,'Yardi Report'!$A:$A,0),1))</f>
        <v>2640-0999</v>
      </c>
      <c r="B464" t="str">
        <f>IF(ISNA(INDEX('Yardi Report'!$A:$E,MATCH('Chart of Accounts'!$A470,'Yardi Report'!$A:$A,0),2)),"",INDEX('Yardi Report'!$A:$E,MATCH('Chart of Accounts'!$A470,'Yardi Report'!$A:$A,0),2))</f>
        <v xml:space="preserve"> Payroll Accrual</v>
      </c>
      <c r="C464">
        <f>IF(A464="","",MAX($C$1:C463)+1)</f>
        <v>47</v>
      </c>
      <c r="E464" t="str">
        <f t="shared" si="16"/>
        <v>2640-0999  Payroll Accrual</v>
      </c>
      <c r="G464">
        <f t="shared" si="17"/>
        <v>464</v>
      </c>
    </row>
    <row r="465" spans="1:7">
      <c r="A465" t="str">
        <f>IF(ISNA(INDEX('Yardi Report'!$A:$E,MATCH('Chart of Accounts'!$A471,'Yardi Report'!$A:$A,0),1)),"",INDEX('Yardi Report'!$A:$E,MATCH('Chart of Accounts'!$A471,'Yardi Report'!$A:$A,0),1))</f>
        <v/>
      </c>
      <c r="B465" t="str">
        <f>IF(ISNA(INDEX('Yardi Report'!$A:$E,MATCH('Chart of Accounts'!$A471,'Yardi Report'!$A:$A,0),2)),"",INDEX('Yardi Report'!$A:$E,MATCH('Chart of Accounts'!$A471,'Yardi Report'!$A:$A,0),2))</f>
        <v/>
      </c>
      <c r="C465" t="str">
        <f>IF(A465="","",MAX($C$1:C464)+1)</f>
        <v/>
      </c>
      <c r="E465" t="str">
        <f t="shared" si="16"/>
        <v xml:space="preserve"> </v>
      </c>
      <c r="G465">
        <f t="shared" si="17"/>
        <v>465</v>
      </c>
    </row>
    <row r="466" spans="1:7">
      <c r="A466" t="str">
        <f>IF(ISNA(INDEX('Yardi Report'!$A:$E,MATCH('Chart of Accounts'!$A472,'Yardi Report'!$A:$A,0),1)),"",INDEX('Yardi Report'!$A:$E,MATCH('Chart of Accounts'!$A472,'Yardi Report'!$A:$A,0),1))</f>
        <v/>
      </c>
      <c r="B466" t="str">
        <f>IF(ISNA(INDEX('Yardi Report'!$A:$E,MATCH('Chart of Accounts'!$A472,'Yardi Report'!$A:$A,0),2)),"",INDEX('Yardi Report'!$A:$E,MATCH('Chart of Accounts'!$A472,'Yardi Report'!$A:$A,0),2))</f>
        <v/>
      </c>
      <c r="C466" t="str">
        <f>IF(A466="","",MAX($C$1:C465)+1)</f>
        <v/>
      </c>
      <c r="E466" t="str">
        <f t="shared" si="16"/>
        <v xml:space="preserve"> </v>
      </c>
      <c r="G466">
        <f t="shared" si="17"/>
        <v>466</v>
      </c>
    </row>
    <row r="467" spans="1:7">
      <c r="A467" t="str">
        <f>IF(ISNA(INDEX('Yardi Report'!$A:$E,MATCH('Chart of Accounts'!$A473,'Yardi Report'!$A:$A,0),1)),"",INDEX('Yardi Report'!$A:$E,MATCH('Chart of Accounts'!$A473,'Yardi Report'!$A:$A,0),1))</f>
        <v>2990-0000</v>
      </c>
      <c r="B467" t="str">
        <f>IF(ISNA(INDEX('Yardi Report'!$A:$E,MATCH('Chart of Accounts'!$A473,'Yardi Report'!$A:$A,0),2)),"",INDEX('Yardi Report'!$A:$E,MATCH('Chart of Accounts'!$A473,'Yardi Report'!$A:$A,0),2))</f>
        <v xml:space="preserve">  TOTAL LIABILITIES</v>
      </c>
      <c r="C467">
        <f>IF(A467="","",MAX($C$1:C466)+1)</f>
        <v>48</v>
      </c>
      <c r="E467" t="str">
        <f t="shared" si="16"/>
        <v>2990-0000   TOTAL LIABILITIES</v>
      </c>
      <c r="G467">
        <f t="shared" si="17"/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Rhondora Mendoza</dc:creator>
  <cp:keywords/>
  <dc:description/>
  <cp:lastModifiedBy/>
  <cp:revision/>
  <dcterms:created xsi:type="dcterms:W3CDTF">2024-10-09T19:56:30Z</dcterms:created>
  <dcterms:modified xsi:type="dcterms:W3CDTF">2025-11-19T19:56:08Z</dcterms:modified>
  <cp:category/>
  <cp:contentStatus/>
</cp:coreProperties>
</file>