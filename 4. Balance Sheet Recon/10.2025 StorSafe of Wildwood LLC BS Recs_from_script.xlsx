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49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e-Paid Insurance" sheetId="2" state="visible" r:id="rId2"/>
    <sheet xmlns:r="http://schemas.openxmlformats.org/officeDocument/2006/relationships" name="Pre-Paid Association Fees" sheetId="3" state="visible" r:id="rId3"/>
    <sheet xmlns:r="http://schemas.openxmlformats.org/officeDocument/2006/relationships" name="Pre-Paid Expenses - Other" sheetId="4" state="hidden" r:id="rId4"/>
    <sheet xmlns:r="http://schemas.openxmlformats.org/officeDocument/2006/relationships" name="Real Estate Tax Accrual" sheetId="5" state="visible" r:id="rId5"/>
    <sheet xmlns:r="http://schemas.openxmlformats.org/officeDocument/2006/relationships" name="Sales Tax Collected" sheetId="6" state="visible" r:id="rId6"/>
    <sheet xmlns:r="http://schemas.openxmlformats.org/officeDocument/2006/relationships" name="Sales Tax Payable" sheetId="7" state="visible" r:id="rId7"/>
    <sheet xmlns:r="http://schemas.openxmlformats.org/officeDocument/2006/relationships" name="Interest Accrual" sheetId="8" state="visible" r:id="rId8"/>
    <sheet xmlns:r="http://schemas.openxmlformats.org/officeDocument/2006/relationships" name="Expense Accrual" sheetId="9" state="visible" r:id="rId9"/>
    <sheet xmlns:r="http://schemas.openxmlformats.org/officeDocument/2006/relationships" name="Yardi Report" sheetId="10" state="visible" r:id="rId10"/>
    <sheet xmlns:r="http://schemas.openxmlformats.org/officeDocument/2006/relationships" name="Chart of Accounts" sheetId="11" state="hidden" r:id="rId11"/>
    <sheet xmlns:r="http://schemas.openxmlformats.org/officeDocument/2006/relationships" name="Account Table" sheetId="12" state="hidden" r:id="rId12"/>
  </sheets>
  <definedNames>
    <definedName name="_Account_Lookup">'Account Table'!$E$1:$E$500</definedName>
    <definedName name="_xlnm.Print_Titles" localSheetId="9">'Yardi Report'!$1:$6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mm/yyyy"/>
    <numFmt numFmtId="167" formatCode="mm\-yyyy"/>
    <numFmt numFmtId="168" formatCode="[$-409]mmmm\ d\,\ yyyy;@"/>
  </numFmts>
  <fonts count="11">
    <font>
      <name val="Arial"/>
      <family val="2"/>
      <sz val="10"/>
    </font>
    <font>
      <name val="Tahoma"/>
      <family val="2"/>
      <color rgb="FF505050"/>
      <sz val="8"/>
    </font>
    <font>
      <name val="Tahoma"/>
      <family val="2"/>
      <b val="1"/>
      <sz val="12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sz val="8"/>
    </font>
    <font>
      <name val="Arial"/>
      <family val="2"/>
      <b val="1"/>
      <sz val="12"/>
    </font>
    <font>
      <name val="Tahoma"/>
      <family val="2"/>
      <b val="1"/>
      <sz val="8"/>
    </font>
    <font>
      <name val="Tahoma"/>
      <family val="2"/>
      <color indexed="63"/>
      <sz val="8"/>
    </font>
    <font>
      <name val="Tahoma"/>
      <family val="2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6">
    <xf numFmtId="0" fontId="5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4">
    <xf numFmtId="0" fontId="0" fillId="0" borderId="0" pivotButton="0" quotePrefix="0" xfId="0"/>
    <xf numFmtId="164" fontId="0" fillId="0" borderId="0" pivotButton="0" quotePrefix="0" xfId="2"/>
    <xf numFmtId="164" fontId="4" fillId="0" borderId="0" applyAlignment="1" pivotButton="0" quotePrefix="0" xfId="2">
      <alignment horizontal="right" vertical="center"/>
    </xf>
    <xf numFmtId="16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0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0" fontId="8" fillId="2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3" fontId="6" fillId="0" borderId="3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5" applyAlignment="1" pivotButton="0" quotePrefix="0" xfId="0">
      <alignment horizontal="left" vertical="center"/>
    </xf>
    <xf numFmtId="3" fontId="6" fillId="0" borderId="5" applyAlignment="1" pivotButton="0" quotePrefix="0" xfId="0">
      <alignment horizontal="right" vertical="center"/>
    </xf>
    <xf numFmtId="0" fontId="8" fillId="0" borderId="6" applyAlignment="1" pivotButton="0" quotePrefix="0" xfId="0">
      <alignment horizontal="left" vertical="center"/>
    </xf>
    <xf numFmtId="0" fontId="8" fillId="0" borderId="6" applyAlignment="1" pivotButton="0" quotePrefix="0" xfId="0">
      <alignment horizontal="right" vertical="center"/>
    </xf>
    <xf numFmtId="0" fontId="6" fillId="0" borderId="0" pivotButton="0" quotePrefix="0" xfId="0"/>
    <xf numFmtId="0" fontId="0" fillId="0" borderId="7" pivotButton="0" quotePrefix="0" xfId="0"/>
    <xf numFmtId="164" fontId="0" fillId="0" borderId="7" applyAlignment="1" pivotButton="0" quotePrefix="0" xfId="2">
      <alignment horizontal="center"/>
    </xf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8" pivotButton="0" quotePrefix="0" xfId="0"/>
    <xf numFmtId="164" fontId="0" fillId="0" borderId="8" pivotButton="0" quotePrefix="0" xfId="2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164" fontId="6" fillId="0" borderId="0" pivotButton="0" quotePrefix="0" xfId="2"/>
    <xf numFmtId="166" fontId="0" fillId="0" borderId="0" pivotButton="0" quotePrefix="0" xfId="0"/>
    <xf numFmtId="164" fontId="0" fillId="0" borderId="0" pivotButton="0" quotePrefix="0" xfId="2"/>
    <xf numFmtId="164" fontId="0" fillId="0" borderId="0" pivotButton="0" quotePrefix="0" xfId="2"/>
    <xf numFmtId="0" fontId="6" fillId="4" borderId="9" applyAlignment="1" pivotButton="0" quotePrefix="0" xfId="0">
      <alignment horizontal="left" vertical="center" wrapText="1"/>
    </xf>
    <xf numFmtId="14" fontId="6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  <xf numFmtId="164" fontId="6" fillId="0" borderId="0" applyAlignment="1" pivotButton="0" quotePrefix="0" xfId="2">
      <alignment horizontal="right" vertical="center"/>
    </xf>
    <xf numFmtId="0" fontId="6" fillId="0" borderId="0" applyAlignment="1" pivotButton="0" quotePrefix="0" xfId="0">
      <alignment wrapText="1"/>
    </xf>
    <xf numFmtId="14" fontId="0" fillId="0" borderId="0" pivotButton="0" quotePrefix="0" xfId="2"/>
    <xf numFmtId="13" fontId="0" fillId="0" borderId="0" pivotButton="0" quotePrefix="0" xfId="0"/>
    <xf numFmtId="0" fontId="0" fillId="5" borderId="0" pivotButton="0" quotePrefix="0" xfId="0"/>
    <xf numFmtId="14" fontId="6" fillId="5" borderId="0" applyAlignment="1" pivotButton="0" quotePrefix="0" xfId="0">
      <alignment horizontal="left" vertical="center"/>
    </xf>
    <xf numFmtId="167" fontId="6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164" fontId="0" fillId="5" borderId="0" pivotButton="0" quotePrefix="0" xfId="2"/>
    <xf numFmtId="164" fontId="4" fillId="5" borderId="0" applyAlignment="1" pivotButton="0" quotePrefix="0" xfId="2">
      <alignment horizontal="right" vertical="center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4" fillId="0" borderId="3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" fontId="3" fillId="0" borderId="4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0" fillId="0" borderId="0" pivotButton="0" quotePrefix="0" xfId="2"/>
    <xf numFmtId="168" fontId="7" fillId="0" borderId="0" applyAlignment="1" pivotButton="0" quotePrefix="0" xfId="0">
      <alignment horizontal="center"/>
    </xf>
    <xf numFmtId="164" fontId="0" fillId="0" borderId="7" applyAlignment="1" pivotButton="0" quotePrefix="0" xfId="2">
      <alignment horizontal="center"/>
    </xf>
    <xf numFmtId="165" fontId="0" fillId="0" borderId="0" pivotButton="0" quotePrefix="0" xfId="0"/>
    <xf numFmtId="164" fontId="6" fillId="0" borderId="0" pivotButton="0" quotePrefix="0" xfId="2"/>
    <xf numFmtId="164" fontId="0" fillId="0" borderId="0" pivotButton="0" quotePrefix="0" xfId="0"/>
    <xf numFmtId="164" fontId="0" fillId="0" borderId="8" pivotButton="0" quotePrefix="0" xfId="2"/>
    <xf numFmtId="164" fontId="6" fillId="0" borderId="0" applyAlignment="1" pivotButton="0" quotePrefix="0" xfId="2">
      <alignment horizontal="right" vertical="center"/>
    </xf>
    <xf numFmtId="164" fontId="0" fillId="5" borderId="0" pivotButton="0" quotePrefix="0" xfId="2"/>
    <xf numFmtId="164" fontId="4" fillId="5" borderId="0" applyAlignment="1" pivotButton="0" quotePrefix="0" xfId="2">
      <alignment horizontal="right" vertical="center"/>
    </xf>
    <xf numFmtId="164" fontId="4" fillId="0" borderId="0" applyAlignment="1" pivotButton="0" quotePrefix="0" xfId="2">
      <alignment horizontal="right" vertical="center"/>
    </xf>
  </cellXfs>
  <cellStyles count="6">
    <cellStyle name="Normal" xfId="0" builtinId="0"/>
    <cellStyle name="Percent" xfId="1"/>
    <cellStyle name="Currency" xfId="2"/>
    <cellStyle name="Currency [0]" xfId="3"/>
    <cellStyle name="Comma" xfId="4"/>
    <cellStyle name="Comma [0]" xfId="5"/>
  </cellStyles>
  <dxfs count="32"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file:///\\192.168.11.15\Elmdale-Root\Accounting\pages\CommonAccount.aspx%3fsJump=1000-0000&amp;c.ChartCode=&amp;hAccount=&amp;hAccount2=&amp;DbCrd=Either&amp;AcTyp=Any&amp;RpTyp=Either" TargetMode="External" Id="rId1"/><Relationship Type="http://schemas.openxmlformats.org/officeDocument/2006/relationships/hyperlink" Target="file:///\\192.168.11.15\Elmdale-Root\Accounting\pages\CommonAccount.aspx%3fsJump=1100-0000&amp;c.ChartCode=&amp;hAccount=&amp;hAccount2=&amp;DbCrd=Either&amp;AcTyp=Any&amp;RpTyp=Either" TargetMode="External" Id="rId2"/><Relationship Type="http://schemas.openxmlformats.org/officeDocument/2006/relationships/hyperlink" Target="file:///\\192.168.11.15\Elmdale-Root\Accounting\pages\CommonAccount.aspx%3fsJump=1100-0001&amp;c.ChartCode=&amp;hAccount=&amp;hAccount2=&amp;DbCrd=Either&amp;AcTyp=Any&amp;RpTyp=Either" TargetMode="External" Id="rId3"/><Relationship Type="http://schemas.openxmlformats.org/officeDocument/2006/relationships/hyperlink" Target="file:///\\192.168.11.15\Elmdale-Root\Accounting\pages\CommonAccount.aspx%3fsJump=1100-0500&amp;c.ChartCode=&amp;hAccount=&amp;hAccount2=&amp;DbCrd=Either&amp;AcTyp=Any&amp;RpTyp=Either" TargetMode="External" Id="rId4"/><Relationship Type="http://schemas.openxmlformats.org/officeDocument/2006/relationships/hyperlink" Target="file:///\\192.168.11.15\Elmdale-Root\Accounting\pages\CommonAccount.aspx%3fsJump=1110-0000&amp;c.ChartCode=&amp;hAccount=&amp;hAccount2=&amp;DbCrd=Either&amp;AcTyp=Any&amp;RpTyp=Either" TargetMode="External" Id="rId5"/><Relationship Type="http://schemas.openxmlformats.org/officeDocument/2006/relationships/hyperlink" Target="file:///\\192.168.11.15\Elmdale-Root\Accounting\pages\CommonAccount.aspx%3fsJump=1110-0001&amp;c.ChartCode=&amp;hAccount=&amp;hAccount2=&amp;DbCrd=Either&amp;AcTyp=Any&amp;RpTyp=Either" TargetMode="External" Id="rId6"/><Relationship Type="http://schemas.openxmlformats.org/officeDocument/2006/relationships/hyperlink" Target="file:///\\192.168.11.15\Elmdale-Root\Accounting\pages\CommonAccount.aspx%3fsJump=1110-0002&amp;c.ChartCode=&amp;hAccount=&amp;hAccount2=&amp;DbCrd=Either&amp;AcTyp=Any&amp;RpTyp=Either" TargetMode="External" Id="rId7"/><Relationship Type="http://schemas.openxmlformats.org/officeDocument/2006/relationships/hyperlink" Target="file:///\\192.168.11.15\Elmdale-Root\Accounting\pages\CommonAccount.aspx%3fsJump=1110-0003&amp;c.ChartCode=&amp;hAccount=&amp;hAccount2=&amp;DbCrd=Either&amp;AcTyp=Any&amp;RpTyp=Either" TargetMode="External" Id="rId8"/><Relationship Type="http://schemas.openxmlformats.org/officeDocument/2006/relationships/hyperlink" Target="file:///\\192.168.11.15\Elmdale-Root\Accounting\pages\CommonAccount.aspx%3fsJump=1110-0004&amp;c.ChartCode=&amp;hAccount=&amp;hAccount2=&amp;DbCrd=Either&amp;AcTyp=Any&amp;RpTyp=Either" TargetMode="External" Id="rId9"/><Relationship Type="http://schemas.openxmlformats.org/officeDocument/2006/relationships/hyperlink" Target="file:///\\192.168.11.15\Elmdale-Root\Accounting\pages\CommonAccount.aspx%3fsJump=1110-0005&amp;c.ChartCode=&amp;hAccount=&amp;hAccount2=&amp;DbCrd=Either&amp;AcTyp=Any&amp;RpTyp=Either" TargetMode="External" Id="rId10"/><Relationship Type="http://schemas.openxmlformats.org/officeDocument/2006/relationships/hyperlink" Target="file:///\\192.168.11.15\Elmdale-Root\Accounting\pages\CommonAccount.aspx%3fsJump=1110-0006&amp;c.ChartCode=&amp;hAccount=&amp;hAccount2=&amp;DbCrd=Either&amp;AcTyp=Any&amp;RpTyp=Either" TargetMode="External" Id="rId11"/><Relationship Type="http://schemas.openxmlformats.org/officeDocument/2006/relationships/hyperlink" Target="file:///\\192.168.11.15\Elmdale-Root\Accounting\pages\CommonAccount.aspx%3fsJump=1110-0010&amp;c.ChartCode=&amp;hAccount=&amp;hAccount2=&amp;DbCrd=Either&amp;AcTyp=Any&amp;RpTyp=Either" TargetMode="External" Id="rId12"/><Relationship Type="http://schemas.openxmlformats.org/officeDocument/2006/relationships/hyperlink" Target="file:///\\192.168.11.15\Elmdale-Root\Accounting\pages\CommonAccount.aspx%3fsJump=1110-0020&amp;c.ChartCode=&amp;hAccount=&amp;hAccount2=&amp;DbCrd=Either&amp;AcTyp=Any&amp;RpTyp=Either" TargetMode="External" Id="rId13"/><Relationship Type="http://schemas.openxmlformats.org/officeDocument/2006/relationships/hyperlink" Target="file:///\\192.168.11.15\Elmdale-Root\Accounting\pages\CommonAccount.aspx%3fsJump=1110-0030&amp;c.ChartCode=&amp;hAccount=&amp;hAccount2=&amp;DbCrd=Either&amp;AcTyp=Any&amp;RpTyp=Either" TargetMode="External" Id="rId14"/><Relationship Type="http://schemas.openxmlformats.org/officeDocument/2006/relationships/hyperlink" Target="file:///\\192.168.11.15\Elmdale-Root\Accounting\pages\CommonAccount.aspx%3fsJump=1110-0040&amp;c.ChartCode=&amp;hAccount=&amp;hAccount2=&amp;DbCrd=Either&amp;AcTyp=Any&amp;RpTyp=Either" TargetMode="External" Id="rId15"/><Relationship Type="http://schemas.openxmlformats.org/officeDocument/2006/relationships/hyperlink" Target="file:///\\192.168.11.15\Elmdale-Root\Accounting\pages\CommonAccount.aspx%3fsJump=1110-0100&amp;c.ChartCode=&amp;hAccount=&amp;hAccount2=&amp;DbCrd=Either&amp;AcTyp=Any&amp;RpTyp=Either" TargetMode="External" Id="rId16"/><Relationship Type="http://schemas.openxmlformats.org/officeDocument/2006/relationships/hyperlink" Target="file:///\\192.168.11.15\Elmdale-Root\Accounting\pages\CommonAccount.aspx%3fsJump=1110-0200&amp;c.ChartCode=&amp;hAccount=&amp;hAccount2=&amp;DbCrd=Either&amp;AcTyp=Any&amp;RpTyp=Either" TargetMode="External" Id="rId17"/><Relationship Type="http://schemas.openxmlformats.org/officeDocument/2006/relationships/hyperlink" Target="file:///\\192.168.11.15\Elmdale-Root\Accounting\pages\CommonAccount.aspx%3fsJump=1110-0300&amp;c.ChartCode=&amp;hAccount=&amp;hAccount2=&amp;DbCrd=Either&amp;AcTyp=Any&amp;RpTyp=Either" TargetMode="External" Id="rId18"/><Relationship Type="http://schemas.openxmlformats.org/officeDocument/2006/relationships/hyperlink" Target="file:///\\192.168.11.15\Elmdale-Root\Accounting\pages\CommonAccount.aspx%3fsJump=1110-0435&amp;c.ChartCode=&amp;hAccount=&amp;hAccount2=&amp;DbCrd=Either&amp;AcTyp=Any&amp;RpTyp=Either" TargetMode="External" Id="rId19"/><Relationship Type="http://schemas.openxmlformats.org/officeDocument/2006/relationships/hyperlink" Target="file:///\\192.168.11.15\Elmdale-Root\Accounting\pages\CommonAccount.aspx%3fsJump=1110-0451&amp;c.ChartCode=&amp;hAccount=&amp;hAccount2=&amp;DbCrd=Either&amp;AcTyp=Any&amp;RpTyp=Either" TargetMode="External" Id="rId20"/><Relationship Type="http://schemas.openxmlformats.org/officeDocument/2006/relationships/hyperlink" Target="file:///\\192.168.11.15\Elmdale-Root\Accounting\pages\CommonAccount.aspx%3fsJump=1110-1000&amp;c.ChartCode=&amp;hAccount=&amp;hAccount2=&amp;DbCrd=Either&amp;AcTyp=Any&amp;RpTyp=Either" TargetMode="External" Id="rId21"/><Relationship Type="http://schemas.openxmlformats.org/officeDocument/2006/relationships/hyperlink" Target="file:///\\192.168.11.15\Elmdale-Root\Accounting\pages\CommonAccount.aspx%3fsJump=1110-1001&amp;c.ChartCode=&amp;hAccount=&amp;hAccount2=&amp;DbCrd=Either&amp;AcTyp=Any&amp;RpTyp=Either" TargetMode="External" Id="rId22"/><Relationship Type="http://schemas.openxmlformats.org/officeDocument/2006/relationships/hyperlink" Target="file:///\\192.168.11.15\Elmdale-Root\Accounting\pages\CommonAccount.aspx%3fsJump=1110-1002&amp;c.ChartCode=&amp;hAccount=&amp;hAccount2=&amp;DbCrd=Either&amp;AcTyp=Any&amp;RpTyp=Either" TargetMode="External" Id="rId23"/><Relationship Type="http://schemas.openxmlformats.org/officeDocument/2006/relationships/hyperlink" Target="file:///\\192.168.11.15\Elmdale-Root\Accounting\pages\CommonAccount.aspx%3fsJump=1110-1003&amp;c.ChartCode=&amp;hAccount=&amp;hAccount2=&amp;DbCrd=Either&amp;AcTyp=Any&amp;RpTyp=Either" TargetMode="External" Id="rId24"/><Relationship Type="http://schemas.openxmlformats.org/officeDocument/2006/relationships/hyperlink" Target="file:///\\192.168.11.15\Elmdale-Root\Accounting\pages\CommonAccount.aspx%3fsJump=1110-1004&amp;c.ChartCode=&amp;hAccount=&amp;hAccount2=&amp;DbCrd=Either&amp;AcTyp=Any&amp;RpTyp=Either" TargetMode="External" Id="rId25"/><Relationship Type="http://schemas.openxmlformats.org/officeDocument/2006/relationships/hyperlink" Target="file:///\\192.168.11.15\Elmdale-Root\Accounting\pages\CommonAccount.aspx%3fsJump=1110-1200&amp;c.ChartCode=&amp;hAccount=&amp;hAccount2=&amp;DbCrd=Either&amp;AcTyp=Any&amp;RpTyp=Either" TargetMode="External" Id="rId26"/><Relationship Type="http://schemas.openxmlformats.org/officeDocument/2006/relationships/hyperlink" Target="file:///\\192.168.11.15\Elmdale-Root\Accounting\pages\CommonAccount.aspx%3fsJump=1110-1435&amp;c.ChartCode=&amp;hAccount=&amp;hAccount2=&amp;DbCrd=Either&amp;AcTyp=Any&amp;RpTyp=Either" TargetMode="External" Id="rId27"/><Relationship Type="http://schemas.openxmlformats.org/officeDocument/2006/relationships/hyperlink" Target="file:///\\192.168.11.15\Elmdale-Root\Accounting\pages\CommonAccount.aspx%3fsJump=1110-1451&amp;c.ChartCode=&amp;hAccount=&amp;hAccount2=&amp;DbCrd=Either&amp;AcTyp=Any&amp;RpTyp=Either" TargetMode="External" Id="rId28"/><Relationship Type="http://schemas.openxmlformats.org/officeDocument/2006/relationships/hyperlink" Target="file:///\\192.168.11.15\Elmdale-Root\Accounting\pages\CommonAccount.aspx%3fsJump=1110-1500&amp;c.ChartCode=&amp;hAccount=&amp;hAccount2=&amp;DbCrd=Either&amp;AcTyp=Any&amp;RpTyp=Either" TargetMode="External" Id="rId29"/><Relationship Type="http://schemas.openxmlformats.org/officeDocument/2006/relationships/hyperlink" Target="file:///\\192.168.11.15\Elmdale-Root\Accounting\pages\CommonAccount.aspx%3fsJump=1110-1501&amp;c.ChartCode=&amp;hAccount=&amp;hAccount2=&amp;DbCrd=Either&amp;AcTyp=Any&amp;RpTyp=Either" TargetMode="External" Id="rId30"/><Relationship Type="http://schemas.openxmlformats.org/officeDocument/2006/relationships/hyperlink" Target="file:///\\192.168.11.15\Elmdale-Root\Accounting\pages\CommonAccount.aspx%3fsJump=1110-1502&amp;c.ChartCode=&amp;hAccount=&amp;hAccount2=&amp;DbCrd=Either&amp;AcTyp=Any&amp;RpTyp=Either" TargetMode="External" Id="rId31"/><Relationship Type="http://schemas.openxmlformats.org/officeDocument/2006/relationships/hyperlink" Target="file:///\\192.168.11.15\Elmdale-Root\Accounting\pages\CommonAccount.aspx%3fsJump=1110-1503&amp;c.ChartCode=&amp;hAccount=&amp;hAccount2=&amp;DbCrd=Either&amp;AcTyp=Any&amp;RpTyp=Either" TargetMode="External" Id="rId32"/><Relationship Type="http://schemas.openxmlformats.org/officeDocument/2006/relationships/hyperlink" Target="file:///\\192.168.11.15\Elmdale-Root\Accounting\pages\CommonAccount.aspx%3fsJump=1110-1504&amp;c.ChartCode=&amp;hAccount=&amp;hAccount2=&amp;DbCrd=Either&amp;AcTyp=Any&amp;RpTyp=Either" TargetMode="External" Id="rId33"/><Relationship Type="http://schemas.openxmlformats.org/officeDocument/2006/relationships/hyperlink" Target="file:///\\192.168.11.15\Elmdale-Root\Accounting\pages\CommonAccount.aspx%3fsJump=1110-1505&amp;c.ChartCode=&amp;hAccount=&amp;hAccount2=&amp;DbCrd=Either&amp;AcTyp=Any&amp;RpTyp=Either" TargetMode="External" Id="rId34"/><Relationship Type="http://schemas.openxmlformats.org/officeDocument/2006/relationships/hyperlink" Target="file:///\\192.168.11.15\Elmdale-Root\Accounting\pages\CommonAccount.aspx%3fsJump=1110-1506&amp;c.ChartCode=&amp;hAccount=&amp;hAccount2=&amp;DbCrd=Either&amp;AcTyp=Any&amp;RpTyp=Either" TargetMode="External" Id="rId35"/><Relationship Type="http://schemas.openxmlformats.org/officeDocument/2006/relationships/hyperlink" Target="file:///\\192.168.11.15\Elmdale-Root\Accounting\pages\CommonAccount.aspx%3fsJump=1110-1507&amp;c.ChartCode=&amp;hAccount=&amp;hAccount2=&amp;DbCrd=Either&amp;AcTyp=Any&amp;RpTyp=Either" TargetMode="External" Id="rId36"/><Relationship Type="http://schemas.openxmlformats.org/officeDocument/2006/relationships/hyperlink" Target="file:///\\192.168.11.15\Elmdale-Root\Accounting\pages\CommonAccount.aspx%3fsJump=1110-1508&amp;c.ChartCode=&amp;hAccount=&amp;hAccount2=&amp;DbCrd=Either&amp;AcTyp=Any&amp;RpTyp=Either" TargetMode="External" Id="rId37"/><Relationship Type="http://schemas.openxmlformats.org/officeDocument/2006/relationships/hyperlink" Target="file:///\\192.168.11.15\Elmdale-Root\Accounting\pages\CommonAccount.aspx%3fsJump=1110-1509&amp;c.ChartCode=&amp;hAccount=&amp;hAccount2=&amp;DbCrd=Either&amp;AcTyp=Any&amp;RpTyp=Either" TargetMode="External" Id="rId38"/><Relationship Type="http://schemas.openxmlformats.org/officeDocument/2006/relationships/hyperlink" Target="file:///\\192.168.11.15\Elmdale-Root\Accounting\pages\CommonAccount.aspx%3fsJump=1110-1510&amp;c.ChartCode=&amp;hAccount=&amp;hAccount2=&amp;DbCrd=Either&amp;AcTyp=Any&amp;RpTyp=Either" TargetMode="External" Id="rId39"/><Relationship Type="http://schemas.openxmlformats.org/officeDocument/2006/relationships/hyperlink" Target="file:///\\192.168.11.15\Elmdale-Root\Accounting\pages\CommonAccount.aspx%3fsJump=1110-1511&amp;c.ChartCode=&amp;hAccount=&amp;hAccount2=&amp;DbCrd=Either&amp;AcTyp=Any&amp;RpTyp=Either" TargetMode="External" Id="rId40"/><Relationship Type="http://schemas.openxmlformats.org/officeDocument/2006/relationships/hyperlink" Target="file:///\\192.168.11.15\Elmdale-Root\Accounting\pages\CommonAccount.aspx%3fsJump=1110-1512&amp;c.ChartCode=&amp;hAccount=&amp;hAccount2=&amp;DbCrd=Either&amp;AcTyp=Any&amp;RpTyp=Either" TargetMode="External" Id="rId41"/><Relationship Type="http://schemas.openxmlformats.org/officeDocument/2006/relationships/hyperlink" Target="file:///\\192.168.11.15\Elmdale-Root\Accounting\pages\CommonAccount.aspx%3fsJump=1110-1513&amp;c.ChartCode=&amp;hAccount=&amp;hAccount2=&amp;DbCrd=Either&amp;AcTyp=Any&amp;RpTyp=Either" TargetMode="External" Id="rId42"/><Relationship Type="http://schemas.openxmlformats.org/officeDocument/2006/relationships/hyperlink" Target="file:///\\192.168.11.15\Elmdale-Root\Accounting\pages\CommonAccount.aspx%3fsJump=1110-1514&amp;c.ChartCode=&amp;hAccount=&amp;hAccount2=&amp;DbCrd=Either&amp;AcTyp=Any&amp;RpTyp=Either" TargetMode="External" Id="rId43"/><Relationship Type="http://schemas.openxmlformats.org/officeDocument/2006/relationships/hyperlink" Target="file:///\\192.168.11.15\Elmdale-Root\Accounting\pages\CommonAccount.aspx%3fsJump=1110-1515&amp;c.ChartCode=&amp;hAccount=&amp;hAccount2=&amp;DbCrd=Either&amp;AcTyp=Any&amp;RpTyp=Either" TargetMode="External" Id="rId44"/><Relationship Type="http://schemas.openxmlformats.org/officeDocument/2006/relationships/hyperlink" Target="file:///\\192.168.11.15\Elmdale-Root\Accounting\pages\CommonAccount.aspx%3fsJump=1110-1516&amp;c.ChartCode=&amp;hAccount=&amp;hAccount2=&amp;DbCrd=Either&amp;AcTyp=Any&amp;RpTyp=Either" TargetMode="External" Id="rId45"/><Relationship Type="http://schemas.openxmlformats.org/officeDocument/2006/relationships/hyperlink" Target="file:///\\192.168.11.15\Elmdale-Root\Accounting\pages\CommonAccount.aspx%3fsJump=1110-1517&amp;c.ChartCode=&amp;hAccount=&amp;hAccount2=&amp;DbCrd=Either&amp;AcTyp=Any&amp;RpTyp=Either" TargetMode="External" Id="rId46"/><Relationship Type="http://schemas.openxmlformats.org/officeDocument/2006/relationships/hyperlink" Target="file:///\\192.168.11.15\Elmdale-Root\Accounting\pages\CommonAccount.aspx%3fsJump=1110-1518&amp;c.ChartCode=&amp;hAccount=&amp;hAccount2=&amp;DbCrd=Either&amp;AcTyp=Any&amp;RpTyp=Either" TargetMode="External" Id="rId47"/><Relationship Type="http://schemas.openxmlformats.org/officeDocument/2006/relationships/hyperlink" Target="file:///\\192.168.11.15\Elmdale-Root\Accounting\pages\CommonAccount.aspx%3fsJump=1110-1519&amp;c.ChartCode=&amp;hAccount=&amp;hAccount2=&amp;DbCrd=Either&amp;AcTyp=Any&amp;RpTyp=Either" TargetMode="External" Id="rId48"/><Relationship Type="http://schemas.openxmlformats.org/officeDocument/2006/relationships/hyperlink" Target="file:///\\192.168.11.15\Elmdale-Root\Accounting\pages\CommonAccount.aspx%3fsJump=1110-1520&amp;c.ChartCode=&amp;hAccount=&amp;hAccount2=&amp;DbCrd=Either&amp;AcTyp=Any&amp;RpTyp=Either" TargetMode="External" Id="rId49"/><Relationship Type="http://schemas.openxmlformats.org/officeDocument/2006/relationships/hyperlink" Target="file:///\\192.168.11.15\Elmdale-Root\Accounting\pages\CommonAccount.aspx%3fsJump=1110-1521&amp;c.ChartCode=&amp;hAccount=&amp;hAccount2=&amp;DbCrd=Either&amp;AcTyp=Any&amp;RpTyp=Either" TargetMode="External" Id="rId50"/><Relationship Type="http://schemas.openxmlformats.org/officeDocument/2006/relationships/hyperlink" Target="file:///\\192.168.11.15\Elmdale-Root\Accounting\pages\CommonAccount.aspx%3fsJump=1110-1522&amp;c.ChartCode=&amp;hAccount=&amp;hAccount2=&amp;DbCrd=Either&amp;AcTyp=Any&amp;RpTyp=Either" TargetMode="External" Id="rId51"/><Relationship Type="http://schemas.openxmlformats.org/officeDocument/2006/relationships/hyperlink" Target="file:///\\192.168.11.15\Elmdale-Root\Accounting\pages\CommonAccount.aspx%3fsJump=1110-1523&amp;c.ChartCode=&amp;hAccount=&amp;hAccount2=&amp;DbCrd=Either&amp;AcTyp=Any&amp;RpTyp=Either" TargetMode="External" Id="rId52"/><Relationship Type="http://schemas.openxmlformats.org/officeDocument/2006/relationships/hyperlink" Target="file:///\\192.168.11.15\Elmdale-Root\Accounting\pages\CommonAccount.aspx%3fsJump=1110-1524&amp;c.ChartCode=&amp;hAccount=&amp;hAccount2=&amp;DbCrd=Either&amp;AcTyp=Any&amp;RpTyp=Either" TargetMode="External" Id="rId53"/><Relationship Type="http://schemas.openxmlformats.org/officeDocument/2006/relationships/hyperlink" Target="file:///\\192.168.11.15\Elmdale-Root\Accounting\pages\CommonAccount.aspx%3fsJump=1110-1525&amp;c.ChartCode=&amp;hAccount=&amp;hAccount2=&amp;DbCrd=Either&amp;AcTyp=Any&amp;RpTyp=Either" TargetMode="External" Id="rId54"/><Relationship Type="http://schemas.openxmlformats.org/officeDocument/2006/relationships/hyperlink" Target="file:///\\192.168.11.15\Elmdale-Root\Accounting\pages\CommonAccount.aspx%3fsJump=1110-1526&amp;c.ChartCode=&amp;hAccount=&amp;hAccount2=&amp;DbCrd=Either&amp;AcTyp=Any&amp;RpTyp=Either" TargetMode="External" Id="rId55"/><Relationship Type="http://schemas.openxmlformats.org/officeDocument/2006/relationships/hyperlink" Target="file:///\\192.168.11.15\Elmdale-Root\Accounting\pages\CommonAccount.aspx%3fsJump=1110-1527&amp;c.ChartCode=&amp;hAccount=&amp;hAccount2=&amp;DbCrd=Either&amp;AcTyp=Any&amp;RpTyp=Either" TargetMode="External" Id="rId56"/><Relationship Type="http://schemas.openxmlformats.org/officeDocument/2006/relationships/hyperlink" Target="file:///\\192.168.11.15\Elmdale-Root\Accounting\pages\CommonAccount.aspx%3fsJump=1110-1528&amp;c.ChartCode=&amp;hAccount=&amp;hAccount2=&amp;DbCrd=Either&amp;AcTyp=Any&amp;RpTyp=Either" TargetMode="External" Id="rId57"/><Relationship Type="http://schemas.openxmlformats.org/officeDocument/2006/relationships/hyperlink" Target="file:///\\192.168.11.15\Elmdale-Root\Accounting\pages\CommonAccount.aspx%3fsJump=1110-1529&amp;c.ChartCode=&amp;hAccount=&amp;hAccount2=&amp;DbCrd=Either&amp;AcTyp=Any&amp;RpTyp=Either" TargetMode="External" Id="rId58"/><Relationship Type="http://schemas.openxmlformats.org/officeDocument/2006/relationships/hyperlink" Target="file:///\\192.168.11.15\Elmdale-Root\Accounting\pages\CommonAccount.aspx%3fsJump=1110-1530&amp;c.ChartCode=&amp;hAccount=&amp;hAccount2=&amp;DbCrd=Either&amp;AcTyp=Any&amp;RpTyp=Either" TargetMode="External" Id="rId59"/><Relationship Type="http://schemas.openxmlformats.org/officeDocument/2006/relationships/hyperlink" Target="file:///\\192.168.11.15\Elmdale-Root\Accounting\pages\CommonAccount.aspx%3fsJump=1110-1531&amp;c.ChartCode=&amp;hAccount=&amp;hAccount2=&amp;DbCrd=Either&amp;AcTyp=Any&amp;RpTyp=Either" TargetMode="External" Id="rId60"/><Relationship Type="http://schemas.openxmlformats.org/officeDocument/2006/relationships/hyperlink" Target="file:///\\192.168.11.15\Elmdale-Root\Accounting\pages\CommonAccount.aspx%3fsJump=1110-1532&amp;c.ChartCode=&amp;hAccount=&amp;hAccount2=&amp;DbCrd=Either&amp;AcTyp=Any&amp;RpTyp=Either" TargetMode="External" Id="rId61"/><Relationship Type="http://schemas.openxmlformats.org/officeDocument/2006/relationships/hyperlink" Target="file:///\\192.168.11.15\Elmdale-Root\Accounting\pages\CommonAccount.aspx%3fsJump=1110-1534&amp;c.ChartCode=&amp;hAccount=&amp;hAccount2=&amp;DbCrd=Either&amp;AcTyp=Any&amp;RpTyp=Either" TargetMode="External" Id="rId62"/><Relationship Type="http://schemas.openxmlformats.org/officeDocument/2006/relationships/hyperlink" Target="file:///\\192.168.11.15\Elmdale-Root\Accounting\pages\CommonAccount.aspx%3fsJump=1110-1553&amp;c.ChartCode=&amp;hAccount=&amp;hAccount2=&amp;DbCrd=Either&amp;AcTyp=Any&amp;RpTyp=Either" TargetMode="External" Id="rId63"/><Relationship Type="http://schemas.openxmlformats.org/officeDocument/2006/relationships/hyperlink" Target="file:///\\192.168.11.15\Elmdale-Root\Accounting\pages\CommonAccount.aspx%3fsJump=1110-1554&amp;c.ChartCode=&amp;hAccount=&amp;hAccount2=&amp;DbCrd=Either&amp;AcTyp=Any&amp;RpTyp=Either" TargetMode="External" Id="rId64"/><Relationship Type="http://schemas.openxmlformats.org/officeDocument/2006/relationships/hyperlink" Target="file:///\\192.168.11.15\Elmdale-Root\Accounting\pages\CommonAccount.aspx%3fsJump=1110-1555&amp;c.ChartCode=&amp;hAccount=&amp;hAccount2=&amp;DbCrd=Either&amp;AcTyp=Any&amp;RpTyp=Either" TargetMode="External" Id="rId65"/><Relationship Type="http://schemas.openxmlformats.org/officeDocument/2006/relationships/hyperlink" Target="file:///\\192.168.11.15\Elmdale-Root\Accounting\pages\CommonAccount.aspx%3fsJump=1110-1669&amp;c.ChartCode=&amp;hAccount=&amp;hAccount2=&amp;DbCrd=Either&amp;AcTyp=Any&amp;RpTyp=Either" TargetMode="External" Id="rId66"/><Relationship Type="http://schemas.openxmlformats.org/officeDocument/2006/relationships/hyperlink" Target="file:///\\192.168.11.15\Elmdale-Root\Accounting\pages\CommonAccount.aspx%3fsJump=1110-2000&amp;c.ChartCode=&amp;hAccount=&amp;hAccount2=&amp;DbCrd=Either&amp;AcTyp=Any&amp;RpTyp=Either" TargetMode="External" Id="rId67"/><Relationship Type="http://schemas.openxmlformats.org/officeDocument/2006/relationships/hyperlink" Target="file:///\\192.168.11.15\Elmdale-Root\Accounting\pages\CommonAccount.aspx%3fsJump=1110-2100&amp;c.ChartCode=&amp;hAccount=&amp;hAccount2=&amp;DbCrd=Either&amp;AcTyp=Any&amp;RpTyp=Either" TargetMode="External" Id="rId68"/><Relationship Type="http://schemas.openxmlformats.org/officeDocument/2006/relationships/hyperlink" Target="file:///\\192.168.11.15\Elmdale-Root\Accounting\pages\CommonAccount.aspx%3fsJump=1110-2200&amp;c.ChartCode=&amp;hAccount=&amp;hAccount2=&amp;DbCrd=Either&amp;AcTyp=Any&amp;RpTyp=Either" TargetMode="External" Id="rId69"/><Relationship Type="http://schemas.openxmlformats.org/officeDocument/2006/relationships/hyperlink" Target="file:///\\192.168.11.15\Elmdale-Root\Accounting\pages\CommonAccount.aspx%3fsJump=1110-2469&amp;c.ChartCode=&amp;hAccount=&amp;hAccount2=&amp;DbCrd=Either&amp;AcTyp=Any&amp;RpTyp=Either" TargetMode="External" Id="rId70"/><Relationship Type="http://schemas.openxmlformats.org/officeDocument/2006/relationships/hyperlink" Target="file:///\\192.168.11.15\Elmdale-Root\Accounting\pages\CommonAccount.aspx%3fsJump=1110-3000&amp;c.ChartCode=&amp;hAccount=&amp;hAccount2=&amp;DbCrd=Either&amp;AcTyp=Any&amp;RpTyp=Either" TargetMode="External" Id="rId71"/><Relationship Type="http://schemas.openxmlformats.org/officeDocument/2006/relationships/hyperlink" Target="file:///\\192.168.11.15\Elmdale-Root\Accounting\pages\CommonAccount.aspx%3fsJump=1110-3001&amp;c.ChartCode=&amp;hAccount=&amp;hAccount2=&amp;DbCrd=Either&amp;AcTyp=Any&amp;RpTyp=Either" TargetMode="External" Id="rId72"/><Relationship Type="http://schemas.openxmlformats.org/officeDocument/2006/relationships/hyperlink" Target="file:///\\192.168.11.15\Elmdale-Root\Accounting\pages\CommonAccount.aspx%3fsJump=1110-3004&amp;c.ChartCode=&amp;hAccount=&amp;hAccount2=&amp;DbCrd=Either&amp;AcTyp=Any&amp;RpTyp=Either" TargetMode="External" Id="rId73"/><Relationship Type="http://schemas.openxmlformats.org/officeDocument/2006/relationships/hyperlink" Target="file:///\\192.168.11.15\Elmdale-Root\Accounting\pages\CommonAccount.aspx%3fsJump=1110-3012&amp;c.ChartCode=&amp;hAccount=&amp;hAccount2=&amp;DbCrd=Either&amp;AcTyp=Any&amp;RpTyp=Either" TargetMode="External" Id="rId74"/><Relationship Type="http://schemas.openxmlformats.org/officeDocument/2006/relationships/hyperlink" Target="file:///\\192.168.11.15\Elmdale-Root\Accounting\pages\CommonAccount.aspx%3fsJump=1110-3111&amp;c.ChartCode=&amp;hAccount=&amp;hAccount2=&amp;DbCrd=Either&amp;AcTyp=Any&amp;RpTyp=Either" TargetMode="External" Id="rId75"/><Relationship Type="http://schemas.openxmlformats.org/officeDocument/2006/relationships/hyperlink" Target="file:///\\192.168.11.15\Elmdale-Root\Accounting\pages\CommonAccount.aspx%3fsJump=1110-3112&amp;c.ChartCode=&amp;hAccount=&amp;hAccount2=&amp;DbCrd=Either&amp;AcTyp=Any&amp;RpTyp=Either" TargetMode="External" Id="rId76"/><Relationship Type="http://schemas.openxmlformats.org/officeDocument/2006/relationships/hyperlink" Target="file:///\\192.168.11.15\Elmdale-Root\Accounting\pages\CommonAccount.aspx%3fsJump=1110-3113&amp;c.ChartCode=&amp;hAccount=&amp;hAccount2=&amp;DbCrd=Either&amp;AcTyp=Any&amp;RpTyp=Either" TargetMode="External" Id="rId77"/><Relationship Type="http://schemas.openxmlformats.org/officeDocument/2006/relationships/hyperlink" Target="file:///\\192.168.11.15\Elmdale-Root\Accounting\pages\CommonAccount.aspx%3fsJump=1110-3300&amp;c.ChartCode=&amp;hAccount=&amp;hAccount2=&amp;DbCrd=Either&amp;AcTyp=Any&amp;RpTyp=Either" TargetMode="External" Id="rId78"/><Relationship Type="http://schemas.openxmlformats.org/officeDocument/2006/relationships/hyperlink" Target="file:///\\192.168.11.15\Elmdale-Root\Accounting\pages\CommonAccount.aspx%3fsJump=1110-3310&amp;c.ChartCode=&amp;hAccount=&amp;hAccount2=&amp;DbCrd=Either&amp;AcTyp=Any&amp;RpTyp=Either" TargetMode="External" Id="rId79"/><Relationship Type="http://schemas.openxmlformats.org/officeDocument/2006/relationships/hyperlink" Target="file:///\\192.168.11.15\Elmdale-Root\Accounting\pages\CommonAccount.aspx%3fsJump=1110-3311&amp;c.ChartCode=&amp;hAccount=&amp;hAccount2=&amp;DbCrd=Either&amp;AcTyp=Any&amp;RpTyp=Either" TargetMode="External" Id="rId80"/><Relationship Type="http://schemas.openxmlformats.org/officeDocument/2006/relationships/hyperlink" Target="file:///\\192.168.11.15\Elmdale-Root\Accounting\pages\CommonAccount.aspx%3fsJump=1110-3330&amp;c.ChartCode=&amp;hAccount=&amp;hAccount2=&amp;DbCrd=Either&amp;AcTyp=Any&amp;RpTyp=Either" TargetMode="External" Id="rId81"/><Relationship Type="http://schemas.openxmlformats.org/officeDocument/2006/relationships/hyperlink" Target="file:///\\192.168.11.15\Elmdale-Root\Accounting\pages\CommonAccount.aspx%3fsJump=1110-3333&amp;c.ChartCode=&amp;hAccount=&amp;hAccount2=&amp;DbCrd=Either&amp;AcTyp=Any&amp;RpTyp=Either" TargetMode="External" Id="rId82"/><Relationship Type="http://schemas.openxmlformats.org/officeDocument/2006/relationships/hyperlink" Target="file:///\\192.168.11.15\Elmdale-Root\Accounting\pages\CommonAccount.aspx%3fsJump=1110-3336&amp;c.ChartCode=&amp;hAccount=&amp;hAccount2=&amp;DbCrd=Either&amp;AcTyp=Any&amp;RpTyp=Either" TargetMode="External" Id="rId83"/><Relationship Type="http://schemas.openxmlformats.org/officeDocument/2006/relationships/hyperlink" Target="file:///\\192.168.11.15\Elmdale-Root\Accounting\pages\CommonAccount.aspx%3fsJump=1110-3500&amp;c.ChartCode=&amp;hAccount=&amp;hAccount2=&amp;DbCrd=Either&amp;AcTyp=Any&amp;RpTyp=Either" TargetMode="External" Id="rId84"/><Relationship Type="http://schemas.openxmlformats.org/officeDocument/2006/relationships/hyperlink" Target="file:///\\192.168.11.15\Elmdale-Root\Accounting\pages\CommonAccount.aspx%3fsJump=1110-4000&amp;c.ChartCode=&amp;hAccount=&amp;hAccount2=&amp;DbCrd=Either&amp;AcTyp=Any&amp;RpTyp=Either" TargetMode="External" Id="rId85"/><Relationship Type="http://schemas.openxmlformats.org/officeDocument/2006/relationships/hyperlink" Target="file:///\\192.168.11.15\Elmdale-Root\Accounting\pages\CommonAccount.aspx%3fsJump=1110-4328&amp;c.ChartCode=&amp;hAccount=&amp;hAccount2=&amp;DbCrd=Either&amp;AcTyp=Any&amp;RpTyp=Either" TargetMode="External" Id="rId86"/><Relationship Type="http://schemas.openxmlformats.org/officeDocument/2006/relationships/hyperlink" Target="file:///\\192.168.11.15\Elmdale-Root\Accounting\pages\CommonAccount.aspx%3fsJump=1110-4329&amp;c.ChartCode=&amp;hAccount=&amp;hAccount2=&amp;DbCrd=Either&amp;AcTyp=Any&amp;RpTyp=Either" TargetMode="External" Id="rId87"/><Relationship Type="http://schemas.openxmlformats.org/officeDocument/2006/relationships/hyperlink" Target="file:///\\192.168.11.15\Elmdale-Root\Accounting\pages\CommonAccount.aspx%3fsJump=1110-4700&amp;c.ChartCode=&amp;hAccount=&amp;hAccount2=&amp;DbCrd=Either&amp;AcTyp=Any&amp;RpTyp=Either" TargetMode="External" Id="rId88"/><Relationship Type="http://schemas.openxmlformats.org/officeDocument/2006/relationships/hyperlink" Target="file:///\\192.168.11.15\Elmdale-Root\Accounting\pages\CommonAccount.aspx%3fsJump=1110-4701&amp;c.ChartCode=&amp;hAccount=&amp;hAccount2=&amp;DbCrd=Either&amp;AcTyp=Any&amp;RpTyp=Either" TargetMode="External" Id="rId89"/><Relationship Type="http://schemas.openxmlformats.org/officeDocument/2006/relationships/hyperlink" Target="file:///\\192.168.11.15\Elmdale-Root\Accounting\pages\CommonAccount.aspx%3fsJump=1110-4762&amp;c.ChartCode=&amp;hAccount=&amp;hAccount2=&amp;DbCrd=Either&amp;AcTyp=Any&amp;RpTyp=Either" TargetMode="External" Id="rId90"/><Relationship Type="http://schemas.openxmlformats.org/officeDocument/2006/relationships/hyperlink" Target="file:///\\192.168.11.15\Elmdale-Root\Accounting\pages\CommonAccount.aspx%3fsJump=1110-4897&amp;c.ChartCode=&amp;hAccount=&amp;hAccount2=&amp;DbCrd=Either&amp;AcTyp=Any&amp;RpTyp=Either" TargetMode="External" Id="rId91"/><Relationship Type="http://schemas.openxmlformats.org/officeDocument/2006/relationships/hyperlink" Target="file:///\\192.168.11.15\Elmdale-Root\Accounting\pages\CommonAccount.aspx%3fsJump=1110-4898&amp;c.ChartCode=&amp;hAccount=&amp;hAccount2=&amp;DbCrd=Either&amp;AcTyp=Any&amp;RpTyp=Either" TargetMode="External" Id="rId92"/><Relationship Type="http://schemas.openxmlformats.org/officeDocument/2006/relationships/hyperlink" Target="file:///\\192.168.11.15\Elmdale-Root\Accounting\pages\CommonAccount.aspx%3fsJump=1110-4899&amp;c.ChartCode=&amp;hAccount=&amp;hAccount2=&amp;DbCrd=Either&amp;AcTyp=Any&amp;RpTyp=Either" TargetMode="External" Id="rId93"/><Relationship Type="http://schemas.openxmlformats.org/officeDocument/2006/relationships/hyperlink" Target="file:///\\192.168.11.15\Elmdale-Root\Accounting\pages\CommonAccount.aspx%3fsJump=1110-4900&amp;c.ChartCode=&amp;hAccount=&amp;hAccount2=&amp;DbCrd=Either&amp;AcTyp=Any&amp;RpTyp=Either" TargetMode="External" Id="rId94"/><Relationship Type="http://schemas.openxmlformats.org/officeDocument/2006/relationships/hyperlink" Target="file:///\\192.168.11.15\Elmdale-Root\Accounting\pages\CommonAccount.aspx%3fsJump=1110-4901&amp;c.ChartCode=&amp;hAccount=&amp;hAccount2=&amp;DbCrd=Either&amp;AcTyp=Any&amp;RpTyp=Either" TargetMode="External" Id="rId95"/><Relationship Type="http://schemas.openxmlformats.org/officeDocument/2006/relationships/hyperlink" Target="file:///\\192.168.11.15\Elmdale-Root\Accounting\pages\CommonAccount.aspx%3fsJump=1110-4902&amp;c.ChartCode=&amp;hAccount=&amp;hAccount2=&amp;DbCrd=Either&amp;AcTyp=Any&amp;RpTyp=Either" TargetMode="External" Id="rId96"/><Relationship Type="http://schemas.openxmlformats.org/officeDocument/2006/relationships/hyperlink" Target="file:///\\192.168.11.15\Elmdale-Root\Accounting\pages\CommonAccount.aspx%3fsJump=1110-4903&amp;c.ChartCode=&amp;hAccount=&amp;hAccount2=&amp;DbCrd=Either&amp;AcTyp=Any&amp;RpTyp=Either" TargetMode="External" Id="rId97"/><Relationship Type="http://schemas.openxmlformats.org/officeDocument/2006/relationships/hyperlink" Target="file:///\\192.168.11.15\Elmdale-Root\Accounting\pages\CommonAccount.aspx%3fsJump=1110-4904&amp;c.ChartCode=&amp;hAccount=&amp;hAccount2=&amp;DbCrd=Either&amp;AcTyp=Any&amp;RpTyp=Either" TargetMode="External" Id="rId98"/><Relationship Type="http://schemas.openxmlformats.org/officeDocument/2006/relationships/hyperlink" Target="file:///\\192.168.11.15\Elmdale-Root\Accounting\pages\CommonAccount.aspx%3fsJump=1110-4905&amp;c.ChartCode=&amp;hAccount=&amp;hAccount2=&amp;DbCrd=Either&amp;AcTyp=Any&amp;RpTyp=Either" TargetMode="External" Id="rId99"/><Relationship Type="http://schemas.openxmlformats.org/officeDocument/2006/relationships/hyperlink" Target="file:///\\192.168.11.15\Elmdale-Root\Accounting\pages\CommonAccount.aspx%3fsJump=1110-4906&amp;c.ChartCode=&amp;hAccount=&amp;hAccount2=&amp;DbCrd=Either&amp;AcTyp=Any&amp;RpTyp=Either" TargetMode="External" Id="rId100"/><Relationship Type="http://schemas.openxmlformats.org/officeDocument/2006/relationships/hyperlink" Target="file:///\\192.168.11.15\Elmdale-Root\Accounting\pages\CommonAccount.aspx%3fsJump=1110-4907&amp;c.ChartCode=&amp;hAccount=&amp;hAccount2=&amp;DbCrd=Either&amp;AcTyp=Any&amp;RpTyp=Either" TargetMode="External" Id="rId101"/><Relationship Type="http://schemas.openxmlformats.org/officeDocument/2006/relationships/hyperlink" Target="file:///\\192.168.11.15\Elmdale-Root\Accounting\pages\CommonAccount.aspx%3fsJump=1110-4908&amp;c.ChartCode=&amp;hAccount=&amp;hAccount2=&amp;DbCrd=Either&amp;AcTyp=Any&amp;RpTyp=Either" TargetMode="External" Id="rId102"/><Relationship Type="http://schemas.openxmlformats.org/officeDocument/2006/relationships/hyperlink" Target="file:///\\192.168.11.15\Elmdale-Root\Accounting\pages\CommonAccount.aspx%3fsJump=1110-4909&amp;c.ChartCode=&amp;hAccount=&amp;hAccount2=&amp;DbCrd=Either&amp;AcTyp=Any&amp;RpTyp=Either" TargetMode="External" Id="rId103"/><Relationship Type="http://schemas.openxmlformats.org/officeDocument/2006/relationships/hyperlink" Target="file:///\\192.168.11.15\Elmdale-Root\Accounting\pages\CommonAccount.aspx%3fsJump=1110-4910&amp;c.ChartCode=&amp;hAccount=&amp;hAccount2=&amp;DbCrd=Either&amp;AcTyp=Any&amp;RpTyp=Either" TargetMode="External" Id="rId104"/><Relationship Type="http://schemas.openxmlformats.org/officeDocument/2006/relationships/hyperlink" Target="file:///\\192.168.11.15\Elmdale-Root\Accounting\pages\CommonAccount.aspx%3fsJump=1110-4911&amp;c.ChartCode=&amp;hAccount=&amp;hAccount2=&amp;DbCrd=Either&amp;AcTyp=Any&amp;RpTyp=Either" TargetMode="External" Id="rId105"/><Relationship Type="http://schemas.openxmlformats.org/officeDocument/2006/relationships/hyperlink" Target="file:///\\192.168.11.15\Elmdale-Root\Accounting\pages\CommonAccount.aspx%3fsJump=1110-4912&amp;c.ChartCode=&amp;hAccount=&amp;hAccount2=&amp;DbCrd=Either&amp;AcTyp=Any&amp;RpTyp=Either" TargetMode="External" Id="rId106"/><Relationship Type="http://schemas.openxmlformats.org/officeDocument/2006/relationships/hyperlink" Target="file:///\\192.168.11.15\Elmdale-Root\Accounting\pages\CommonAccount.aspx%3fsJump=1110-4913&amp;c.ChartCode=&amp;hAccount=&amp;hAccount2=&amp;DbCrd=Either&amp;AcTyp=Any&amp;RpTyp=Either" TargetMode="External" Id="rId107"/><Relationship Type="http://schemas.openxmlformats.org/officeDocument/2006/relationships/hyperlink" Target="file:///\\192.168.11.15\Elmdale-Root\Accounting\pages\CommonAccount.aspx%3fsJump=1110-4914&amp;c.ChartCode=&amp;hAccount=&amp;hAccount2=&amp;DbCrd=Either&amp;AcTyp=Any&amp;RpTyp=Either" TargetMode="External" Id="rId108"/><Relationship Type="http://schemas.openxmlformats.org/officeDocument/2006/relationships/hyperlink" Target="file:///\\192.168.11.15\Elmdale-Root\Accounting\pages\CommonAccount.aspx%3fsJump=1110-4915&amp;c.ChartCode=&amp;hAccount=&amp;hAccount2=&amp;DbCrd=Either&amp;AcTyp=Any&amp;RpTyp=Either" TargetMode="External" Id="rId109"/><Relationship Type="http://schemas.openxmlformats.org/officeDocument/2006/relationships/hyperlink" Target="file:///\\192.168.11.15\Elmdale-Root\Accounting\pages\CommonAccount.aspx%3fsJump=1110-4916&amp;c.ChartCode=&amp;hAccount=&amp;hAccount2=&amp;DbCrd=Either&amp;AcTyp=Any&amp;RpTyp=Either" TargetMode="External" Id="rId110"/><Relationship Type="http://schemas.openxmlformats.org/officeDocument/2006/relationships/hyperlink" Target="file:///\\192.168.11.15\Elmdale-Root\Accounting\pages\CommonAccount.aspx%3fsJump=1110-4917&amp;c.ChartCode=&amp;hAccount=&amp;hAccount2=&amp;DbCrd=Either&amp;AcTyp=Any&amp;RpTyp=Either" TargetMode="External" Id="rId111"/><Relationship Type="http://schemas.openxmlformats.org/officeDocument/2006/relationships/hyperlink" Target="file:///\\192.168.11.15\Elmdale-Root\Accounting\pages\CommonAccount.aspx%3fsJump=1110-4918&amp;c.ChartCode=&amp;hAccount=&amp;hAccount2=&amp;DbCrd=Either&amp;AcTyp=Any&amp;RpTyp=Either" TargetMode="External" Id="rId112"/><Relationship Type="http://schemas.openxmlformats.org/officeDocument/2006/relationships/hyperlink" Target="file:///\\192.168.11.15\Elmdale-Root\Accounting\pages\CommonAccount.aspx%3fsJump=1110-4919&amp;c.ChartCode=&amp;hAccount=&amp;hAccount2=&amp;DbCrd=Either&amp;AcTyp=Any&amp;RpTyp=Either" TargetMode="External" Id="rId113"/><Relationship Type="http://schemas.openxmlformats.org/officeDocument/2006/relationships/hyperlink" Target="file:///\\192.168.11.15\Elmdale-Root\Accounting\pages\CommonAccount.aspx%3fsJump=1110-4920&amp;c.ChartCode=&amp;hAccount=&amp;hAccount2=&amp;DbCrd=Either&amp;AcTyp=Any&amp;RpTyp=Either" TargetMode="External" Id="rId114"/><Relationship Type="http://schemas.openxmlformats.org/officeDocument/2006/relationships/hyperlink" Target="file:///\\192.168.11.15\Elmdale-Root\Accounting\pages\CommonAccount.aspx%3fsJump=1110-4921&amp;c.ChartCode=&amp;hAccount=&amp;hAccount2=&amp;DbCrd=Either&amp;AcTyp=Any&amp;RpTyp=Either" TargetMode="External" Id="rId115"/><Relationship Type="http://schemas.openxmlformats.org/officeDocument/2006/relationships/hyperlink" Target="file:///\\192.168.11.15\Elmdale-Root\Accounting\pages\CommonAccount.aspx%3fsJump=1110-4922&amp;c.ChartCode=&amp;hAccount=&amp;hAccount2=&amp;DbCrd=Either&amp;AcTyp=Any&amp;RpTyp=Either" TargetMode="External" Id="rId116"/><Relationship Type="http://schemas.openxmlformats.org/officeDocument/2006/relationships/hyperlink" Target="file:///\\192.168.11.15\Elmdale-Root\Accounting\pages\CommonAccount.aspx%3fsJump=1110-4923&amp;c.ChartCode=&amp;hAccount=&amp;hAccount2=&amp;DbCrd=Either&amp;AcTyp=Any&amp;RpTyp=Either" TargetMode="External" Id="rId117"/><Relationship Type="http://schemas.openxmlformats.org/officeDocument/2006/relationships/hyperlink" Target="file:///\\192.168.11.15\Elmdale-Root\Accounting\pages\CommonAccount.aspx%3fsJump=1110-4924&amp;c.ChartCode=&amp;hAccount=&amp;hAccount2=&amp;DbCrd=Either&amp;AcTyp=Any&amp;RpTyp=Either" TargetMode="External" Id="rId118"/><Relationship Type="http://schemas.openxmlformats.org/officeDocument/2006/relationships/hyperlink" Target="file:///\\192.168.11.15\Elmdale-Root\Accounting\pages\CommonAccount.aspx%3fsJump=1110-4925&amp;c.ChartCode=&amp;hAccount=&amp;hAccount2=&amp;DbCrd=Either&amp;AcTyp=Any&amp;RpTyp=Either" TargetMode="External" Id="rId119"/><Relationship Type="http://schemas.openxmlformats.org/officeDocument/2006/relationships/hyperlink" Target="file:///\\192.168.11.15\Elmdale-Root\Accounting\pages\CommonAccount.aspx%3fsJump=1110-4926&amp;c.ChartCode=&amp;hAccount=&amp;hAccount2=&amp;DbCrd=Either&amp;AcTyp=Any&amp;RpTyp=Either" TargetMode="External" Id="rId120"/><Relationship Type="http://schemas.openxmlformats.org/officeDocument/2006/relationships/hyperlink" Target="file:///\\192.168.11.15\Elmdale-Root\Accounting\pages\CommonAccount.aspx%3fsJump=1110-4927&amp;c.ChartCode=&amp;hAccount=&amp;hAccount2=&amp;DbCrd=Either&amp;AcTyp=Any&amp;RpTyp=Either" TargetMode="External" Id="rId121"/><Relationship Type="http://schemas.openxmlformats.org/officeDocument/2006/relationships/hyperlink" Target="file:///\\192.168.11.15\Elmdale-Root\Accounting\pages\CommonAccount.aspx%3fsJump=1110-4937&amp;c.ChartCode=&amp;hAccount=&amp;hAccount2=&amp;DbCrd=Either&amp;AcTyp=Any&amp;RpTyp=Either" TargetMode="External" Id="rId122"/><Relationship Type="http://schemas.openxmlformats.org/officeDocument/2006/relationships/hyperlink" Target="file:///\\192.168.11.15\Elmdale-Root\Accounting\pages\CommonAccount.aspx%3fsJump=1110-4938&amp;c.ChartCode=&amp;hAccount=&amp;hAccount2=&amp;DbCrd=Either&amp;AcTyp=Any&amp;RpTyp=Either" TargetMode="External" Id="rId123"/><Relationship Type="http://schemas.openxmlformats.org/officeDocument/2006/relationships/hyperlink" Target="file:///\\192.168.11.15\Elmdale-Root\Accounting\pages\CommonAccount.aspx%3fsJump=1110-4939&amp;c.ChartCode=&amp;hAccount=&amp;hAccount2=&amp;DbCrd=Either&amp;AcTyp=Any&amp;RpTyp=Either" TargetMode="External" Id="rId124"/><Relationship Type="http://schemas.openxmlformats.org/officeDocument/2006/relationships/hyperlink" Target="file:///\\192.168.11.15\Elmdale-Root\Accounting\pages\CommonAccount.aspx%3fsJump=1110-4940&amp;c.ChartCode=&amp;hAccount=&amp;hAccount2=&amp;DbCrd=Either&amp;AcTyp=Any&amp;RpTyp=Either" TargetMode="External" Id="rId125"/><Relationship Type="http://schemas.openxmlformats.org/officeDocument/2006/relationships/hyperlink" Target="file:///\\192.168.11.15\Elmdale-Root\Accounting\pages\CommonAccount.aspx%3fsJump=1110-4941&amp;c.ChartCode=&amp;hAccount=&amp;hAccount2=&amp;DbCrd=Either&amp;AcTyp=Any&amp;RpTyp=Either" TargetMode="External" Id="rId126"/><Relationship Type="http://schemas.openxmlformats.org/officeDocument/2006/relationships/hyperlink" Target="file:///\\192.168.11.15\Elmdale-Root\Accounting\pages\CommonAccount.aspx%3fsJump=1110-4942&amp;c.ChartCode=&amp;hAccount=&amp;hAccount2=&amp;DbCrd=Either&amp;AcTyp=Any&amp;RpTyp=Either" TargetMode="External" Id="rId127"/><Relationship Type="http://schemas.openxmlformats.org/officeDocument/2006/relationships/hyperlink" Target="file:///\\192.168.11.15\Elmdale-Root\Accounting\pages\CommonAccount.aspx%3fsJump=1110-4943&amp;c.ChartCode=&amp;hAccount=&amp;hAccount2=&amp;DbCrd=Either&amp;AcTyp=Any&amp;RpTyp=Either" TargetMode="External" Id="rId128"/><Relationship Type="http://schemas.openxmlformats.org/officeDocument/2006/relationships/hyperlink" Target="file:///\\192.168.11.15\Elmdale-Root\Accounting\pages\CommonAccount.aspx%3fsJump=1110-4944&amp;c.ChartCode=&amp;hAccount=&amp;hAccount2=&amp;DbCrd=Either&amp;AcTyp=Any&amp;RpTyp=Either" TargetMode="External" Id="rId129"/><Relationship Type="http://schemas.openxmlformats.org/officeDocument/2006/relationships/hyperlink" Target="file:///\\192.168.11.15\Elmdale-Root\Accounting\pages\CommonAccount.aspx%3fsJump=1110-4945&amp;c.ChartCode=&amp;hAccount=&amp;hAccount2=&amp;DbCrd=Either&amp;AcTyp=Any&amp;RpTyp=Either" TargetMode="External" Id="rId130"/><Relationship Type="http://schemas.openxmlformats.org/officeDocument/2006/relationships/hyperlink" Target="file:///\\192.168.11.15\Elmdale-Root\Accounting\pages\CommonAccount.aspx%3fsJump=1110-4946&amp;c.ChartCode=&amp;hAccount=&amp;hAccount2=&amp;DbCrd=Either&amp;AcTyp=Any&amp;RpTyp=Either" TargetMode="External" Id="rId131"/><Relationship Type="http://schemas.openxmlformats.org/officeDocument/2006/relationships/hyperlink" Target="file:///\\192.168.11.15\Elmdale-Root\Accounting\pages\CommonAccount.aspx%3fsJump=1110-4947&amp;c.ChartCode=&amp;hAccount=&amp;hAccount2=&amp;DbCrd=Either&amp;AcTyp=Any&amp;RpTyp=Either" TargetMode="External" Id="rId132"/><Relationship Type="http://schemas.openxmlformats.org/officeDocument/2006/relationships/hyperlink" Target="file:///\\192.168.11.15\Elmdale-Root\Accounting\pages\CommonAccount.aspx%3fsJump=1110-4948&amp;c.ChartCode=&amp;hAccount=&amp;hAccount2=&amp;DbCrd=Either&amp;AcTyp=Any&amp;RpTyp=Either" TargetMode="External" Id="rId133"/><Relationship Type="http://schemas.openxmlformats.org/officeDocument/2006/relationships/hyperlink" Target="file:///\\192.168.11.15\Elmdale-Root\Accounting\pages\CommonAccount.aspx%3fsJump=1110-4949&amp;c.ChartCode=&amp;hAccount=&amp;hAccount2=&amp;DbCrd=Either&amp;AcTyp=Any&amp;RpTyp=Either" TargetMode="External" Id="rId134"/><Relationship Type="http://schemas.openxmlformats.org/officeDocument/2006/relationships/hyperlink" Target="file:///\\192.168.11.15\Elmdale-Root\Accounting\pages\CommonAccount.aspx%3fsJump=1110-4950&amp;c.ChartCode=&amp;hAccount=&amp;hAccount2=&amp;DbCrd=Either&amp;AcTyp=Any&amp;RpTyp=Either" TargetMode="External" Id="rId135"/><Relationship Type="http://schemas.openxmlformats.org/officeDocument/2006/relationships/hyperlink" Target="file:///\\192.168.11.15\Elmdale-Root\Accounting\pages\CommonAccount.aspx%3fsJump=1110-4951&amp;c.ChartCode=&amp;hAccount=&amp;hAccount2=&amp;DbCrd=Either&amp;AcTyp=Any&amp;RpTyp=Either" TargetMode="External" Id="rId136"/><Relationship Type="http://schemas.openxmlformats.org/officeDocument/2006/relationships/hyperlink" Target="file:///\\192.168.11.15\Elmdale-Root\Accounting\pages\CommonAccount.aspx%3fsJump=1110-4952&amp;c.ChartCode=&amp;hAccount=&amp;hAccount2=&amp;DbCrd=Either&amp;AcTyp=Any&amp;RpTyp=Either" TargetMode="External" Id="rId137"/><Relationship Type="http://schemas.openxmlformats.org/officeDocument/2006/relationships/hyperlink" Target="file:///\\192.168.11.15\Elmdale-Root\Accounting\pages\CommonAccount.aspx%3fsJump=1110-4953&amp;c.ChartCode=&amp;hAccount=&amp;hAccount2=&amp;DbCrd=Either&amp;AcTyp=Any&amp;RpTyp=Either" TargetMode="External" Id="rId138"/><Relationship Type="http://schemas.openxmlformats.org/officeDocument/2006/relationships/hyperlink" Target="file:///\\192.168.11.15\Elmdale-Root\Accounting\pages\CommonAccount.aspx%3fsJump=1110-4954&amp;c.ChartCode=&amp;hAccount=&amp;hAccount2=&amp;DbCrd=Either&amp;AcTyp=Any&amp;RpTyp=Either" TargetMode="External" Id="rId139"/><Relationship Type="http://schemas.openxmlformats.org/officeDocument/2006/relationships/hyperlink" Target="file:///\\192.168.11.15\Elmdale-Root\Accounting\pages\CommonAccount.aspx%3fsJump=1110-4955&amp;c.ChartCode=&amp;hAccount=&amp;hAccount2=&amp;DbCrd=Either&amp;AcTyp=Any&amp;RpTyp=Either" TargetMode="External" Id="rId140"/><Relationship Type="http://schemas.openxmlformats.org/officeDocument/2006/relationships/hyperlink" Target="file:///\\192.168.11.15\Elmdale-Root\Accounting\pages\CommonAccount.aspx%3fsJump=1110-4957&amp;c.ChartCode=&amp;hAccount=&amp;hAccount2=&amp;DbCrd=Either&amp;AcTyp=Any&amp;RpTyp=Either" TargetMode="External" Id="rId141"/><Relationship Type="http://schemas.openxmlformats.org/officeDocument/2006/relationships/hyperlink" Target="file:///\\192.168.11.15\Elmdale-Root\Accounting\pages\CommonAccount.aspx%3fsJump=1110-4958&amp;c.ChartCode=&amp;hAccount=&amp;hAccount2=&amp;DbCrd=Either&amp;AcTyp=Any&amp;RpTyp=Either" TargetMode="External" Id="rId142"/><Relationship Type="http://schemas.openxmlformats.org/officeDocument/2006/relationships/hyperlink" Target="file:///\\192.168.11.15\Elmdale-Root\Accounting\pages\CommonAccount.aspx%3fsJump=1110-4959&amp;c.ChartCode=&amp;hAccount=&amp;hAccount2=&amp;DbCrd=Either&amp;AcTyp=Any&amp;RpTyp=Either" TargetMode="External" Id="rId143"/><Relationship Type="http://schemas.openxmlformats.org/officeDocument/2006/relationships/hyperlink" Target="file:///\\192.168.11.15\Elmdale-Root\Accounting\pages\CommonAccount.aspx%3fsJump=1110-4960&amp;c.ChartCode=&amp;hAccount=&amp;hAccount2=&amp;DbCrd=Either&amp;AcTyp=Any&amp;RpTyp=Either" TargetMode="External" Id="rId144"/><Relationship Type="http://schemas.openxmlformats.org/officeDocument/2006/relationships/hyperlink" Target="file:///\\192.168.11.15\Elmdale-Root\Accounting\pages\CommonAccount.aspx%3fsJump=1110-4961&amp;c.ChartCode=&amp;hAccount=&amp;hAccount2=&amp;DbCrd=Either&amp;AcTyp=Any&amp;RpTyp=Either" TargetMode="External" Id="rId145"/><Relationship Type="http://schemas.openxmlformats.org/officeDocument/2006/relationships/hyperlink" Target="file:///\\192.168.11.15\Elmdale-Root\Accounting\pages\CommonAccount.aspx%3fsJump=1110-4962&amp;c.ChartCode=&amp;hAccount=&amp;hAccount2=&amp;DbCrd=Either&amp;AcTyp=Any&amp;RpTyp=Either" TargetMode="External" Id="rId146"/><Relationship Type="http://schemas.openxmlformats.org/officeDocument/2006/relationships/hyperlink" Target="file:///\\192.168.11.15\Elmdale-Root\Accounting\pages\CommonAccount.aspx%3fsJump=1110-4963&amp;c.ChartCode=&amp;hAccount=&amp;hAccount2=&amp;DbCrd=Either&amp;AcTyp=Any&amp;RpTyp=Either" TargetMode="External" Id="rId147"/><Relationship Type="http://schemas.openxmlformats.org/officeDocument/2006/relationships/hyperlink" Target="file:///\\192.168.11.15\Elmdale-Root\Accounting\pages\CommonAccount.aspx%3fsJump=1110-4964&amp;c.ChartCode=&amp;hAccount=&amp;hAccount2=&amp;DbCrd=Either&amp;AcTyp=Any&amp;RpTyp=Either" TargetMode="External" Id="rId148"/><Relationship Type="http://schemas.openxmlformats.org/officeDocument/2006/relationships/hyperlink" Target="file:///\\192.168.11.15\Elmdale-Root\Accounting\pages\CommonAccount.aspx%3fsJump=1110-4965&amp;c.ChartCode=&amp;hAccount=&amp;hAccount2=&amp;DbCrd=Either&amp;AcTyp=Any&amp;RpTyp=Either" TargetMode="External" Id="rId149"/><Relationship Type="http://schemas.openxmlformats.org/officeDocument/2006/relationships/hyperlink" Target="file:///\\192.168.11.15\Elmdale-Root\Accounting\pages\CommonAccount.aspx%3fsJump=1110-4966&amp;c.ChartCode=&amp;hAccount=&amp;hAccount2=&amp;DbCrd=Either&amp;AcTyp=Any&amp;RpTyp=Either" TargetMode="External" Id="rId150"/><Relationship Type="http://schemas.openxmlformats.org/officeDocument/2006/relationships/hyperlink" Target="file:///\\192.168.11.15\Elmdale-Root\Accounting\pages\CommonAccount.aspx%3fsJump=1110-4967&amp;c.ChartCode=&amp;hAccount=&amp;hAccount2=&amp;DbCrd=Either&amp;AcTyp=Any&amp;RpTyp=Either" TargetMode="External" Id="rId151"/><Relationship Type="http://schemas.openxmlformats.org/officeDocument/2006/relationships/hyperlink" Target="file:///\\192.168.11.15\Elmdale-Root\Accounting\pages\CommonAccount.aspx%3fsJump=1110-4968&amp;c.ChartCode=&amp;hAccount=&amp;hAccount2=&amp;DbCrd=Either&amp;AcTyp=Any&amp;RpTyp=Either" TargetMode="External" Id="rId152"/><Relationship Type="http://schemas.openxmlformats.org/officeDocument/2006/relationships/hyperlink" Target="file:///\\192.168.11.15\Elmdale-Root\Accounting\pages\CommonAccount.aspx%3fsJump=1110-4969&amp;c.ChartCode=&amp;hAccount=&amp;hAccount2=&amp;DbCrd=Either&amp;AcTyp=Any&amp;RpTyp=Either" TargetMode="External" Id="rId153"/><Relationship Type="http://schemas.openxmlformats.org/officeDocument/2006/relationships/hyperlink" Target="file:///\\192.168.11.15\Elmdale-Root\Accounting\pages\CommonAccount.aspx%3fsJump=1110-4970&amp;c.ChartCode=&amp;hAccount=&amp;hAccount2=&amp;DbCrd=Either&amp;AcTyp=Any&amp;RpTyp=Either" TargetMode="External" Id="rId154"/><Relationship Type="http://schemas.openxmlformats.org/officeDocument/2006/relationships/hyperlink" Target="file:///\\192.168.11.15\Elmdale-Root\Accounting\pages\CommonAccount.aspx%3fsJump=1110-4971&amp;c.ChartCode=&amp;hAccount=&amp;hAccount2=&amp;DbCrd=Either&amp;AcTyp=Any&amp;RpTyp=Either" TargetMode="External" Id="rId155"/><Relationship Type="http://schemas.openxmlformats.org/officeDocument/2006/relationships/hyperlink" Target="file:///\\192.168.11.15\Elmdale-Root\Accounting\pages\CommonAccount.aspx%3fsJump=1110-4972&amp;c.ChartCode=&amp;hAccount=&amp;hAccount2=&amp;DbCrd=Either&amp;AcTyp=Any&amp;RpTyp=Either" TargetMode="External" Id="rId156"/><Relationship Type="http://schemas.openxmlformats.org/officeDocument/2006/relationships/hyperlink" Target="file:///\\192.168.11.15\Elmdale-Root\Accounting\pages\CommonAccount.aspx%3fsJump=1110-4973&amp;c.ChartCode=&amp;hAccount=&amp;hAccount2=&amp;DbCrd=Either&amp;AcTyp=Any&amp;RpTyp=Either" TargetMode="External" Id="rId157"/><Relationship Type="http://schemas.openxmlformats.org/officeDocument/2006/relationships/hyperlink" Target="file:///\\192.168.11.15\Elmdale-Root\Accounting\pages\CommonAccount.aspx%3fsJump=1110-4974&amp;c.ChartCode=&amp;hAccount=&amp;hAccount2=&amp;DbCrd=Either&amp;AcTyp=Any&amp;RpTyp=Either" TargetMode="External" Id="rId158"/><Relationship Type="http://schemas.openxmlformats.org/officeDocument/2006/relationships/hyperlink" Target="file:///\\192.168.11.15\Elmdale-Root\Accounting\pages\CommonAccount.aspx%3fsJump=1110-4975&amp;c.ChartCode=&amp;hAccount=&amp;hAccount2=&amp;DbCrd=Either&amp;AcTyp=Any&amp;RpTyp=Either" TargetMode="External" Id="rId159"/><Relationship Type="http://schemas.openxmlformats.org/officeDocument/2006/relationships/hyperlink" Target="file:///\\192.168.11.15\Elmdale-Root\Accounting\pages\CommonAccount.aspx%3fsJump=1110-4976&amp;c.ChartCode=&amp;hAccount=&amp;hAccount2=&amp;DbCrd=Either&amp;AcTyp=Any&amp;RpTyp=Either" TargetMode="External" Id="rId160"/><Relationship Type="http://schemas.openxmlformats.org/officeDocument/2006/relationships/hyperlink" Target="file:///\\192.168.11.15\Elmdale-Root\Accounting\pages\CommonAccount.aspx%3fsJump=1110-4977&amp;c.ChartCode=&amp;hAccount=&amp;hAccount2=&amp;DbCrd=Either&amp;AcTyp=Any&amp;RpTyp=Either" TargetMode="External" Id="rId161"/><Relationship Type="http://schemas.openxmlformats.org/officeDocument/2006/relationships/hyperlink" Target="file:///\\192.168.11.15\Elmdale-Root\Accounting\pages\CommonAccount.aspx%3fsJump=1110-4978&amp;c.ChartCode=&amp;hAccount=&amp;hAccount2=&amp;DbCrd=Either&amp;AcTyp=Any&amp;RpTyp=Either" TargetMode="External" Id="rId162"/><Relationship Type="http://schemas.openxmlformats.org/officeDocument/2006/relationships/hyperlink" Target="file:///\\192.168.11.15\Elmdale-Root\Accounting\pages\CommonAccount.aspx%3fsJump=1110-4979&amp;c.ChartCode=&amp;hAccount=&amp;hAccount2=&amp;DbCrd=Either&amp;AcTyp=Any&amp;RpTyp=Either" TargetMode="External" Id="rId163"/><Relationship Type="http://schemas.openxmlformats.org/officeDocument/2006/relationships/hyperlink" Target="file:///\\192.168.11.15\Elmdale-Root\Accounting\pages\CommonAccount.aspx%3fsJump=1110-4980&amp;c.ChartCode=&amp;hAccount=&amp;hAccount2=&amp;DbCrd=Either&amp;AcTyp=Any&amp;RpTyp=Either" TargetMode="External" Id="rId164"/><Relationship Type="http://schemas.openxmlformats.org/officeDocument/2006/relationships/hyperlink" Target="file:///\\192.168.11.15\Elmdale-Root\Accounting\pages\CommonAccount.aspx%3fsJump=1110-4981&amp;c.ChartCode=&amp;hAccount=&amp;hAccount2=&amp;DbCrd=Either&amp;AcTyp=Any&amp;RpTyp=Either" TargetMode="External" Id="rId165"/><Relationship Type="http://schemas.openxmlformats.org/officeDocument/2006/relationships/hyperlink" Target="file:///\\192.168.11.15\Elmdale-Root\Accounting\pages\CommonAccount.aspx%3fsJump=1110-4982&amp;c.ChartCode=&amp;hAccount=&amp;hAccount2=&amp;DbCrd=Either&amp;AcTyp=Any&amp;RpTyp=Either" TargetMode="External" Id="rId166"/><Relationship Type="http://schemas.openxmlformats.org/officeDocument/2006/relationships/hyperlink" Target="file:///\\192.168.11.15\Elmdale-Root\Accounting\pages\CommonAccount.aspx%3fsJump=1110-4983&amp;c.ChartCode=&amp;hAccount=&amp;hAccount2=&amp;DbCrd=Either&amp;AcTyp=Any&amp;RpTyp=Either" TargetMode="External" Id="rId167"/><Relationship Type="http://schemas.openxmlformats.org/officeDocument/2006/relationships/hyperlink" Target="file:///\\192.168.11.15\Elmdale-Root\Accounting\pages\CommonAccount.aspx%3fsJump=1110-4984&amp;c.ChartCode=&amp;hAccount=&amp;hAccount2=&amp;DbCrd=Either&amp;AcTyp=Any&amp;RpTyp=Either" TargetMode="External" Id="rId168"/><Relationship Type="http://schemas.openxmlformats.org/officeDocument/2006/relationships/hyperlink" Target="file:///\\192.168.11.15\Elmdale-Root\Accounting\pages\CommonAccount.aspx%3fsJump=1110-5000&amp;c.ChartCode=&amp;hAccount=&amp;hAccount2=&amp;DbCrd=Either&amp;AcTyp=Any&amp;RpTyp=Either" TargetMode="External" Id="rId169"/><Relationship Type="http://schemas.openxmlformats.org/officeDocument/2006/relationships/hyperlink" Target="file:///\\192.168.11.15\Elmdale-Root\Accounting\pages\CommonAccount.aspx%3fsJump=1110-5001&amp;c.ChartCode=&amp;hAccount=&amp;hAccount2=&amp;DbCrd=Either&amp;AcTyp=Any&amp;RpTyp=Either" TargetMode="External" Id="rId170"/><Relationship Type="http://schemas.openxmlformats.org/officeDocument/2006/relationships/hyperlink" Target="file:///\\192.168.11.15\Elmdale-Root\Accounting\pages\CommonAccount.aspx%3fsJump=1110-5050&amp;c.ChartCode=&amp;hAccount=&amp;hAccount2=&amp;DbCrd=Either&amp;AcTyp=Any&amp;RpTyp=Either" TargetMode="External" Id="rId171"/><Relationship Type="http://schemas.openxmlformats.org/officeDocument/2006/relationships/hyperlink" Target="file:///\\192.168.11.15\Elmdale-Root\Accounting\pages\CommonAccount.aspx%3fsJump=1110-5100&amp;c.ChartCode=&amp;hAccount=&amp;hAccount2=&amp;DbCrd=Either&amp;AcTyp=Any&amp;RpTyp=Either" TargetMode="External" Id="rId172"/><Relationship Type="http://schemas.openxmlformats.org/officeDocument/2006/relationships/hyperlink" Target="file:///\\192.168.11.15\Elmdale-Root\Accounting\pages\CommonAccount.aspx%3fsJump=1110-5101&amp;c.ChartCode=&amp;hAccount=&amp;hAccount2=&amp;DbCrd=Either&amp;AcTyp=Any&amp;RpTyp=Either" TargetMode="External" Id="rId173"/><Relationship Type="http://schemas.openxmlformats.org/officeDocument/2006/relationships/hyperlink" Target="file:///\\192.168.11.15\Elmdale-Root\Accounting\pages\CommonAccount.aspx%3fsJump=1120-0000&amp;c.ChartCode=&amp;hAccount=&amp;hAccount2=&amp;DbCrd=Either&amp;AcTyp=Any&amp;RpTyp=Either" TargetMode="External" Id="rId174"/><Relationship Type="http://schemas.openxmlformats.org/officeDocument/2006/relationships/hyperlink" Target="file:///\\192.168.11.15\Elmdale-Root\Accounting\pages\CommonAccount.aspx%3fsJump=1120-1000&amp;c.ChartCode=&amp;hAccount=&amp;hAccount2=&amp;DbCrd=Either&amp;AcTyp=Any&amp;RpTyp=Either" TargetMode="External" Id="rId175"/><Relationship Type="http://schemas.openxmlformats.org/officeDocument/2006/relationships/hyperlink" Target="file:///\\192.168.11.15\Elmdale-Root\Accounting\pages\CommonAccount.aspx%3fsJump=1121-0000&amp;c.ChartCode=&amp;hAccount=&amp;hAccount2=&amp;DbCrd=Either&amp;AcTyp=Any&amp;RpTyp=Either" TargetMode="External" Id="rId176"/><Relationship Type="http://schemas.openxmlformats.org/officeDocument/2006/relationships/hyperlink" Target="file:///\\192.168.11.15\Elmdale-Root\Accounting\pages\CommonAccount.aspx%3fsJump=1121-1000&amp;c.ChartCode=&amp;hAccount=&amp;hAccount2=&amp;DbCrd=Either&amp;AcTyp=Any&amp;RpTyp=Either" TargetMode="External" Id="rId177"/><Relationship Type="http://schemas.openxmlformats.org/officeDocument/2006/relationships/hyperlink" Target="file:///\\192.168.11.15\Elmdale-Root\Accounting\pages\CommonAccount.aspx%3fsJump=1121-2001&amp;c.ChartCode=&amp;hAccount=&amp;hAccount2=&amp;DbCrd=Either&amp;AcTyp=Any&amp;RpTyp=Either" TargetMode="External" Id="rId178"/><Relationship Type="http://schemas.openxmlformats.org/officeDocument/2006/relationships/hyperlink" Target="file:///\\192.168.11.15\Elmdale-Root\Accounting\pages\CommonAccount.aspx%3fsJump=1130-0000&amp;c.ChartCode=&amp;hAccount=&amp;hAccount2=&amp;DbCrd=Either&amp;AcTyp=Any&amp;RpTyp=Either" TargetMode="External" Id="rId179"/><Relationship Type="http://schemas.openxmlformats.org/officeDocument/2006/relationships/hyperlink" Target="file:///\\192.168.11.15\Elmdale-Root\Accounting\pages\CommonAccount.aspx%3fsJump=1131-0000&amp;c.ChartCode=&amp;hAccount=&amp;hAccount2=&amp;DbCrd=Either&amp;AcTyp=Any&amp;RpTyp=Either" TargetMode="External" Id="rId180"/><Relationship Type="http://schemas.openxmlformats.org/officeDocument/2006/relationships/hyperlink" Target="file:///\\192.168.11.15\Elmdale-Root\Accounting\pages\CommonAccount.aspx%3fsJump=1135-0000&amp;c.ChartCode=&amp;hAccount=&amp;hAccount2=&amp;DbCrd=Either&amp;AcTyp=Any&amp;RpTyp=Either" TargetMode="External" Id="rId181"/><Relationship Type="http://schemas.openxmlformats.org/officeDocument/2006/relationships/hyperlink" Target="file:///\\192.168.11.15\Elmdale-Root\Accounting\pages\CommonAccount.aspx%3fsJump=1140-0000&amp;c.ChartCode=&amp;hAccount=&amp;hAccount2=&amp;DbCrd=Either&amp;AcTyp=Any&amp;RpTyp=Either" TargetMode="External" Id="rId182"/><Relationship Type="http://schemas.openxmlformats.org/officeDocument/2006/relationships/hyperlink" Target="file:///\\192.168.11.15\Elmdale-Root\Accounting\pages\CommonAccount.aspx%3fsJump=1140-8521&amp;c.ChartCode=&amp;hAccount=&amp;hAccount2=&amp;DbCrd=Either&amp;AcTyp=Any&amp;RpTyp=Either" TargetMode="External" Id="rId183"/><Relationship Type="http://schemas.openxmlformats.org/officeDocument/2006/relationships/hyperlink" Target="file:///\\192.168.11.15\Elmdale-Root\Accounting\pages\CommonAccount.aspx%3fsJump=1150-0000&amp;c.ChartCode=&amp;hAccount=&amp;hAccount2=&amp;DbCrd=Either&amp;AcTyp=Any&amp;RpTyp=Either" TargetMode="External" Id="rId184"/><Relationship Type="http://schemas.openxmlformats.org/officeDocument/2006/relationships/hyperlink" Target="file:///\\192.168.11.15\Elmdale-Root\Accounting\pages\CommonAccount.aspx%3fsJump=1160-0000&amp;c.ChartCode=&amp;hAccount=&amp;hAccount2=&amp;DbCrd=Either&amp;AcTyp=Any&amp;RpTyp=Either" TargetMode="External" Id="rId185"/><Relationship Type="http://schemas.openxmlformats.org/officeDocument/2006/relationships/hyperlink" Target="file:///\\192.168.11.15\Elmdale-Root\Accounting\pages\CommonAccount.aspx%3fsJump=1170-0000&amp;c.ChartCode=&amp;hAccount=&amp;hAccount2=&amp;DbCrd=Either&amp;AcTyp=Any&amp;RpTyp=Either" TargetMode="External" Id="rId186"/><Relationship Type="http://schemas.openxmlformats.org/officeDocument/2006/relationships/hyperlink" Target="file:///\\192.168.11.15\Elmdale-Root\Accounting\pages\CommonAccount.aspx%3fsJump=1180-0000&amp;c.ChartCode=&amp;hAccount=&amp;hAccount2=&amp;DbCrd=Either&amp;AcTyp=Any&amp;RpTyp=Either" TargetMode="External" Id="rId187"/><Relationship Type="http://schemas.openxmlformats.org/officeDocument/2006/relationships/hyperlink" Target="file:///\\192.168.11.15\Elmdale-Root\Accounting\pages\CommonAccount.aspx%3fsJump=1190-0000&amp;c.ChartCode=&amp;hAccount=&amp;hAccount2=&amp;DbCrd=Either&amp;AcTyp=Any&amp;RpTyp=Either" TargetMode="External" Id="rId188"/><Relationship Type="http://schemas.openxmlformats.org/officeDocument/2006/relationships/hyperlink" Target="file:///\\192.168.11.15\Elmdale-Root\Accounting\pages\CommonAccount.aspx%3fsJump=1190-0020&amp;c.ChartCode=&amp;hAccount=&amp;hAccount2=&amp;DbCrd=Either&amp;AcTyp=Any&amp;RpTyp=Either" TargetMode="External" Id="rId189"/><Relationship Type="http://schemas.openxmlformats.org/officeDocument/2006/relationships/hyperlink" Target="file:///\\192.168.11.15\Elmdale-Root\Accounting\pages\CommonAccount.aspx%3fsJump=1200-0000&amp;c.ChartCode=&amp;hAccount=&amp;hAccount2=&amp;DbCrd=Either&amp;AcTyp=Any&amp;RpTyp=Either" TargetMode="External" Id="rId190"/><Relationship Type="http://schemas.openxmlformats.org/officeDocument/2006/relationships/hyperlink" Target="file:///\\192.168.11.15\Elmdale-Root\Accounting\pages\CommonAccount.aspx%3fsJump=1200-0001&amp;c.ChartCode=&amp;hAccount=&amp;hAccount2=&amp;DbCrd=Either&amp;AcTyp=Any&amp;RpTyp=Either" TargetMode="External" Id="rId191"/><Relationship Type="http://schemas.openxmlformats.org/officeDocument/2006/relationships/hyperlink" Target="file:///\\192.168.11.15\Elmdale-Root\Accounting\pages\CommonAccount.aspx%3fsJump=1200-0002&amp;c.ChartCode=&amp;hAccount=&amp;hAccount2=&amp;DbCrd=Either&amp;AcTyp=Any&amp;RpTyp=Either" TargetMode="External" Id="rId192"/><Relationship Type="http://schemas.openxmlformats.org/officeDocument/2006/relationships/hyperlink" Target="file:///\\192.168.11.15\Elmdale-Root\Accounting\pages\CommonAccount.aspx%3fsJump=1200-0003&amp;c.ChartCode=&amp;hAccount=&amp;hAccount2=&amp;DbCrd=Either&amp;AcTyp=Any&amp;RpTyp=Either" TargetMode="External" Id="rId193"/><Relationship Type="http://schemas.openxmlformats.org/officeDocument/2006/relationships/hyperlink" Target="file:///\\192.168.11.15\Elmdale-Root\Accounting\pages\CommonAccount.aspx%3fsJump=1200-0004&amp;c.ChartCode=&amp;hAccount=&amp;hAccount2=&amp;DbCrd=Either&amp;AcTyp=Any&amp;RpTyp=Either" TargetMode="External" Id="rId194"/><Relationship Type="http://schemas.openxmlformats.org/officeDocument/2006/relationships/hyperlink" Target="file:///\\192.168.11.15\Elmdale-Root\Accounting\pages\CommonAccount.aspx%3fsJump=1200-0005&amp;c.ChartCode=&amp;hAccount=&amp;hAccount2=&amp;DbCrd=Either&amp;AcTyp=Any&amp;RpTyp=Either" TargetMode="External" Id="rId195"/><Relationship Type="http://schemas.openxmlformats.org/officeDocument/2006/relationships/hyperlink" Target="file:///\\192.168.11.15\Elmdale-Root\Accounting\pages\CommonAccount.aspx%3fsJump=1200-0006&amp;c.ChartCode=&amp;hAccount=&amp;hAccount2=&amp;DbCrd=Either&amp;AcTyp=Any&amp;RpTyp=Either" TargetMode="External" Id="rId196"/><Relationship Type="http://schemas.openxmlformats.org/officeDocument/2006/relationships/hyperlink" Target="file:///\\192.168.11.15\Elmdale-Root\Accounting\pages\CommonAccount.aspx%3fsJump=1200-0007&amp;c.ChartCode=&amp;hAccount=&amp;hAccount2=&amp;DbCrd=Either&amp;AcTyp=Any&amp;RpTyp=Either" TargetMode="External" Id="rId197"/><Relationship Type="http://schemas.openxmlformats.org/officeDocument/2006/relationships/hyperlink" Target="file:///\\192.168.11.15\Elmdale-Root\Accounting\pages\CommonAccount.aspx%3fsJump=1200-0008&amp;c.ChartCode=&amp;hAccount=&amp;hAccount2=&amp;DbCrd=Either&amp;AcTyp=Any&amp;RpTyp=Either" TargetMode="External" Id="rId198"/><Relationship Type="http://schemas.openxmlformats.org/officeDocument/2006/relationships/hyperlink" Target="file:///\\192.168.11.15\Elmdale-Root\Accounting\pages\CommonAccount.aspx%3fsJump=1200-0009&amp;c.ChartCode=&amp;hAccount=&amp;hAccount2=&amp;DbCrd=Either&amp;AcTyp=Any&amp;RpTyp=Either" TargetMode="External" Id="rId199"/><Relationship Type="http://schemas.openxmlformats.org/officeDocument/2006/relationships/hyperlink" Target="file:///\\192.168.11.15\Elmdale-Root\Accounting\pages\CommonAccount.aspx%3fsJump=1250-0000&amp;c.ChartCode=&amp;hAccount=&amp;hAccount2=&amp;DbCrd=Either&amp;AcTyp=Any&amp;RpTyp=Either" TargetMode="External" Id="rId200"/><Relationship Type="http://schemas.openxmlformats.org/officeDocument/2006/relationships/hyperlink" Target="file:///\\192.168.11.15\Elmdale-Root\Accounting\pages\CommonAccount.aspx%3fsJump=1300-0000&amp;c.ChartCode=&amp;hAccount=&amp;hAccount2=&amp;DbCrd=Either&amp;AcTyp=Any&amp;RpTyp=Either" TargetMode="External" Id="rId201"/><Relationship Type="http://schemas.openxmlformats.org/officeDocument/2006/relationships/hyperlink" Target="file:///\\192.168.11.15\Elmdale-Root\Accounting\pages\CommonAccount.aspx%3fsJump=1350-0000&amp;c.ChartCode=&amp;hAccount=&amp;hAccount2=&amp;DbCrd=Either&amp;AcTyp=Any&amp;RpTyp=Either" TargetMode="External" Id="rId202"/><Relationship Type="http://schemas.openxmlformats.org/officeDocument/2006/relationships/hyperlink" Target="file:///\\192.168.11.15\Elmdale-Root\Accounting\pages\CommonAccount.aspx%3fsJump=1350-0001&amp;c.ChartCode=&amp;hAccount=&amp;hAccount2=&amp;DbCrd=Either&amp;AcTyp=Any&amp;RpTyp=Either" TargetMode="External" Id="rId203"/><Relationship Type="http://schemas.openxmlformats.org/officeDocument/2006/relationships/hyperlink" Target="file:///\\192.168.11.15\Elmdale-Root\Accounting\pages\CommonAccount.aspx%3fsJump=1350-0002&amp;c.ChartCode=&amp;hAccount=&amp;hAccount2=&amp;DbCrd=Either&amp;AcTyp=Any&amp;RpTyp=Either" TargetMode="External" Id="rId204"/><Relationship Type="http://schemas.openxmlformats.org/officeDocument/2006/relationships/hyperlink" Target="file:///\\192.168.11.15\Elmdale-Root\Accounting\pages\CommonAccount.aspx%3fsJump=1350-9000&amp;c.ChartCode=&amp;hAccount=&amp;hAccount2=&amp;DbCrd=Either&amp;AcTyp=Any&amp;RpTyp=Either" TargetMode="External" Id="rId205"/><Relationship Type="http://schemas.openxmlformats.org/officeDocument/2006/relationships/hyperlink" Target="file:///\\192.168.11.15\Elmdale-Root\Accounting\pages\CommonAccount.aspx%3fsJump=1350-9999&amp;c.ChartCode=&amp;hAccount=&amp;hAccount2=&amp;DbCrd=Either&amp;AcTyp=Any&amp;RpTyp=Either" TargetMode="External" Id="rId206"/><Relationship Type="http://schemas.openxmlformats.org/officeDocument/2006/relationships/hyperlink" Target="file:///\\192.168.11.15\Elmdale-Root\Accounting\pages\CommonAccount.aspx%3fsJump=1400-0000&amp;c.ChartCode=&amp;hAccount=&amp;hAccount2=&amp;DbCrd=Either&amp;AcTyp=Any&amp;RpTyp=Either" TargetMode="External" Id="rId207"/><Relationship Type="http://schemas.openxmlformats.org/officeDocument/2006/relationships/hyperlink" Target="file:///\\192.168.11.15\Elmdale-Root\Accounting\pages\CommonAccount.aspx%3fsJump=1401-0000&amp;c.ChartCode=&amp;hAccount=&amp;hAccount2=&amp;DbCrd=Either&amp;AcTyp=Any&amp;RpTyp=Either" TargetMode="External" Id="rId208"/><Relationship Type="http://schemas.openxmlformats.org/officeDocument/2006/relationships/hyperlink" Target="file:///\\192.168.11.15\Elmdale-Root\Accounting\pages\CommonAccount.aspx%3fsJump=1401-0001&amp;c.ChartCode=&amp;hAccount=&amp;hAccount2=&amp;DbCrd=Either&amp;AcTyp=Any&amp;RpTyp=Either" TargetMode="External" Id="rId209"/><Relationship Type="http://schemas.openxmlformats.org/officeDocument/2006/relationships/hyperlink" Target="file:///\\192.168.11.15\Elmdale-Root\Accounting\pages\CommonAccount.aspx%3fsJump=1401-0002&amp;c.ChartCode=&amp;hAccount=&amp;hAccount2=&amp;DbCrd=Either&amp;AcTyp=Any&amp;RpTyp=Either" TargetMode="External" Id="rId210"/><Relationship Type="http://schemas.openxmlformats.org/officeDocument/2006/relationships/hyperlink" Target="file:///\\192.168.11.15\Elmdale-Root\Accounting\pages\CommonAccount.aspx%3fsJump=1401-0003&amp;c.ChartCode=&amp;hAccount=&amp;hAccount2=&amp;DbCrd=Either&amp;AcTyp=Any&amp;RpTyp=Either" TargetMode="External" Id="rId211"/><Relationship Type="http://schemas.openxmlformats.org/officeDocument/2006/relationships/hyperlink" Target="file:///\\192.168.11.15\Elmdale-Root\Accounting\pages\CommonAccount.aspx%3fsJump=1401-0004&amp;c.ChartCode=&amp;hAccount=&amp;hAccount2=&amp;DbCrd=Either&amp;AcTyp=Any&amp;RpTyp=Either" TargetMode="External" Id="rId212"/><Relationship Type="http://schemas.openxmlformats.org/officeDocument/2006/relationships/hyperlink" Target="file:///\\192.168.11.15\Elmdale-Root\Accounting\pages\CommonAccount.aspx%3fsJump=1401-0100&amp;c.ChartCode=&amp;hAccount=&amp;hAccount2=&amp;DbCrd=Either&amp;AcTyp=Any&amp;RpTyp=Either" TargetMode="External" Id="rId213"/><Relationship Type="http://schemas.openxmlformats.org/officeDocument/2006/relationships/hyperlink" Target="file:///\\192.168.11.15\Elmdale-Root\Accounting\pages\CommonAccount.aspx%3fsJump=1401-1000&amp;c.ChartCode=&amp;hAccount=&amp;hAccount2=&amp;DbCrd=Either&amp;AcTyp=Any&amp;RpTyp=Either" TargetMode="External" Id="rId214"/><Relationship Type="http://schemas.openxmlformats.org/officeDocument/2006/relationships/hyperlink" Target="file:///\\192.168.11.15\Elmdale-Root\Accounting\pages\CommonAccount.aspx%3fsJump=1410-0000&amp;c.ChartCode=&amp;hAccount=&amp;hAccount2=&amp;DbCrd=Either&amp;AcTyp=Any&amp;RpTyp=Either" TargetMode="External" Id="rId215"/><Relationship Type="http://schemas.openxmlformats.org/officeDocument/2006/relationships/hyperlink" Target="file:///\\192.168.11.15\Elmdale-Root\Accounting\pages\CommonAccount.aspx%3fsJump=1410-0001&amp;c.ChartCode=&amp;hAccount=&amp;hAccount2=&amp;DbCrd=Either&amp;AcTyp=Any&amp;RpTyp=Either" TargetMode="External" Id="rId216"/><Relationship Type="http://schemas.openxmlformats.org/officeDocument/2006/relationships/hyperlink" Target="file:///\\192.168.11.15\Elmdale-Root\Accounting\pages\CommonAccount.aspx%3fsJump=1410-1000&amp;c.ChartCode=&amp;hAccount=&amp;hAccount2=&amp;DbCrd=Either&amp;AcTyp=Any&amp;RpTyp=Either" TargetMode="External" Id="rId217"/><Relationship Type="http://schemas.openxmlformats.org/officeDocument/2006/relationships/hyperlink" Target="file:///\\192.168.11.15\Elmdale-Root\Accounting\pages\CommonAccount.aspx%3fsJump=1411-0000&amp;c.ChartCode=&amp;hAccount=&amp;hAccount2=&amp;DbCrd=Either&amp;AcTyp=Any&amp;RpTyp=Either" TargetMode="External" Id="rId218"/><Relationship Type="http://schemas.openxmlformats.org/officeDocument/2006/relationships/hyperlink" Target="file:///\\192.168.11.15\Elmdale-Root\Accounting\pages\CommonAccount.aspx%3fsJump=1412-0000&amp;c.ChartCode=&amp;hAccount=&amp;hAccount2=&amp;DbCrd=Either&amp;AcTyp=Any&amp;RpTyp=Either" TargetMode="External" Id="rId219"/><Relationship Type="http://schemas.openxmlformats.org/officeDocument/2006/relationships/hyperlink" Target="file:///\\192.168.11.15\Elmdale-Root\Accounting\pages\CommonAccount.aspx%3fsJump=1412-1000&amp;c.ChartCode=&amp;hAccount=&amp;hAccount2=&amp;DbCrd=Either&amp;AcTyp=Any&amp;RpTyp=Either" TargetMode="External" Id="rId220"/><Relationship Type="http://schemas.openxmlformats.org/officeDocument/2006/relationships/hyperlink" Target="file:///\\192.168.11.15\Elmdale-Root\Accounting\pages\CommonAccount.aspx%3fsJump=1413-0000&amp;c.ChartCode=&amp;hAccount=&amp;hAccount2=&amp;DbCrd=Either&amp;AcTyp=Any&amp;RpTyp=Either" TargetMode="External" Id="rId221"/><Relationship Type="http://schemas.openxmlformats.org/officeDocument/2006/relationships/hyperlink" Target="file:///\\192.168.11.15\Elmdale-Root\Accounting\pages\CommonAccount.aspx%3fsJump=1414-0000&amp;c.ChartCode=&amp;hAccount=&amp;hAccount2=&amp;DbCrd=Either&amp;AcTyp=Any&amp;RpTyp=Either" TargetMode="External" Id="rId222"/><Relationship Type="http://schemas.openxmlformats.org/officeDocument/2006/relationships/hyperlink" Target="file:///\\192.168.11.15\Elmdale-Root\Accounting\pages\CommonAccount.aspx%3fsJump=1415-0000&amp;c.ChartCode=&amp;hAccount=&amp;hAccount2=&amp;DbCrd=Either&amp;AcTyp=Any&amp;RpTyp=Either" TargetMode="External" Id="rId223"/><Relationship Type="http://schemas.openxmlformats.org/officeDocument/2006/relationships/hyperlink" Target="file:///\\192.168.11.15\Elmdale-Root\Accounting\pages\CommonAccount.aspx%3fsJump=1416-0000&amp;c.ChartCode=&amp;hAccount=&amp;hAccount2=&amp;DbCrd=Either&amp;AcTyp=Any&amp;RpTyp=Either" TargetMode="External" Id="rId224"/><Relationship Type="http://schemas.openxmlformats.org/officeDocument/2006/relationships/hyperlink" Target="file:///\\192.168.11.15\Elmdale-Root\Accounting\pages\CommonAccount.aspx%3fsJump=1417-0000&amp;c.ChartCode=&amp;hAccount=&amp;hAccount2=&amp;DbCrd=Either&amp;AcTyp=Any&amp;RpTyp=Either" TargetMode="External" Id="rId225"/><Relationship Type="http://schemas.openxmlformats.org/officeDocument/2006/relationships/hyperlink" Target="file:///\\192.168.11.15\Elmdale-Root\Accounting\pages\CommonAccount.aspx%3fsJump=1418-0000&amp;c.ChartCode=&amp;hAccount=&amp;hAccount2=&amp;DbCrd=Either&amp;AcTyp=Any&amp;RpTyp=Either" TargetMode="External" Id="rId226"/><Relationship Type="http://schemas.openxmlformats.org/officeDocument/2006/relationships/hyperlink" Target="file:///\\192.168.11.15\Elmdale-Root\Accounting\pages\CommonAccount.aspx%3fsJump=1419-0000&amp;c.ChartCode=&amp;hAccount=&amp;hAccount2=&amp;DbCrd=Either&amp;AcTyp=Any&amp;RpTyp=Either" TargetMode="External" Id="rId227"/><Relationship Type="http://schemas.openxmlformats.org/officeDocument/2006/relationships/hyperlink" Target="file:///\\192.168.11.15\Elmdale-Root\Accounting\pages\CommonAccount.aspx%3fsJump=1420-0000&amp;c.ChartCode=&amp;hAccount=&amp;hAccount2=&amp;DbCrd=Either&amp;AcTyp=Any&amp;RpTyp=Either" TargetMode="External" Id="rId228"/><Relationship Type="http://schemas.openxmlformats.org/officeDocument/2006/relationships/hyperlink" Target="file:///\\192.168.11.15\Elmdale-Root\Accounting\pages\CommonAccount.aspx%3fsJump=1500-0000&amp;c.ChartCode=&amp;hAccount=&amp;hAccount2=&amp;DbCrd=Either&amp;AcTyp=Any&amp;RpTyp=Either" TargetMode="External" Id="rId229"/><Relationship Type="http://schemas.openxmlformats.org/officeDocument/2006/relationships/hyperlink" Target="file:///\\192.168.11.15\Elmdale-Root\Accounting\pages\CommonAccount.aspx%3fsJump=1500-0001&amp;c.ChartCode=&amp;hAccount=&amp;hAccount2=&amp;DbCrd=Either&amp;AcTyp=Any&amp;RpTyp=Either" TargetMode="External" Id="rId230"/><Relationship Type="http://schemas.openxmlformats.org/officeDocument/2006/relationships/hyperlink" Target="file:///\\192.168.11.15\Elmdale-Root\Accounting\pages\CommonAccount.aspx%3fsJump=1500-0005&amp;c.ChartCode=&amp;hAccount=&amp;hAccount2=&amp;DbCrd=Either&amp;AcTyp=Any&amp;RpTyp=Either" TargetMode="External" Id="rId231"/><Relationship Type="http://schemas.openxmlformats.org/officeDocument/2006/relationships/hyperlink" Target="file:///\\192.168.11.15\Elmdale-Root\Accounting\pages\CommonAccount.aspx%3fsJump=1500-0009&amp;c.ChartCode=&amp;hAccount=&amp;hAccount2=&amp;DbCrd=Either&amp;AcTyp=Any&amp;RpTyp=Either" TargetMode="External" Id="rId232"/><Relationship Type="http://schemas.openxmlformats.org/officeDocument/2006/relationships/hyperlink" Target="file:///\\192.168.11.15\Elmdale-Root\Accounting\pages\CommonAccount.aspx%3fsJump=1500-0010&amp;c.ChartCode=&amp;hAccount=&amp;hAccount2=&amp;DbCrd=Either&amp;AcTyp=Any&amp;RpTyp=Either" TargetMode="External" Id="rId233"/><Relationship Type="http://schemas.openxmlformats.org/officeDocument/2006/relationships/hyperlink" Target="file:///\\192.168.11.15\Elmdale-Root\Accounting\pages\CommonAccount.aspx%3fsJump=1500-0015&amp;c.ChartCode=&amp;hAccount=&amp;hAccount2=&amp;DbCrd=Either&amp;AcTyp=Any&amp;RpTyp=Either" TargetMode="External" Id="rId234"/><Relationship Type="http://schemas.openxmlformats.org/officeDocument/2006/relationships/hyperlink" Target="file:///\\192.168.11.15\Elmdale-Root\Accounting\pages\CommonAccount.aspx%3fsJump=1500-0017&amp;c.ChartCode=&amp;hAccount=&amp;hAccount2=&amp;DbCrd=Either&amp;AcTyp=Any&amp;RpTyp=Either" TargetMode="External" Id="rId235"/><Relationship Type="http://schemas.openxmlformats.org/officeDocument/2006/relationships/hyperlink" Target="file:///\\192.168.11.15\Elmdale-Root\Accounting\pages\CommonAccount.aspx%3fsJump=1500-0018&amp;c.ChartCode=&amp;hAccount=&amp;hAccount2=&amp;DbCrd=Either&amp;AcTyp=Any&amp;RpTyp=Either" TargetMode="External" Id="rId236"/><Relationship Type="http://schemas.openxmlformats.org/officeDocument/2006/relationships/hyperlink" Target="file:///\\192.168.11.15\Elmdale-Root\Accounting\pages\CommonAccount.aspx%3fsJump=1500-0020&amp;c.ChartCode=&amp;hAccount=&amp;hAccount2=&amp;DbCrd=Either&amp;AcTyp=Any&amp;RpTyp=Either" TargetMode="External" Id="rId237"/><Relationship Type="http://schemas.openxmlformats.org/officeDocument/2006/relationships/hyperlink" Target="file:///\\192.168.11.15\Elmdale-Root\Accounting\pages\CommonAccount.aspx%3fsJump=1500-0025&amp;c.ChartCode=&amp;hAccount=&amp;hAccount2=&amp;DbCrd=Either&amp;AcTyp=Any&amp;RpTyp=Either" TargetMode="External" Id="rId238"/><Relationship Type="http://schemas.openxmlformats.org/officeDocument/2006/relationships/hyperlink" Target="file:///\\192.168.11.15\Elmdale-Root\Accounting\pages\CommonAccount.aspx%3fsJump=1500-0030&amp;c.ChartCode=&amp;hAccount=&amp;hAccount2=&amp;DbCrd=Either&amp;AcTyp=Any&amp;RpTyp=Either" TargetMode="External" Id="rId239"/><Relationship Type="http://schemas.openxmlformats.org/officeDocument/2006/relationships/hyperlink" Target="file:///\\192.168.11.15\Elmdale-Root\Accounting\pages\CommonAccount.aspx%3fsJump=1500-0031&amp;c.ChartCode=&amp;hAccount=&amp;hAccount2=&amp;DbCrd=Either&amp;AcTyp=Any&amp;RpTyp=Either" TargetMode="External" Id="rId240"/><Relationship Type="http://schemas.openxmlformats.org/officeDocument/2006/relationships/hyperlink" Target="file:///\\192.168.11.15\Elmdale-Root\Accounting\pages\CommonAccount.aspx%3fsJump=1500-0035&amp;c.ChartCode=&amp;hAccount=&amp;hAccount2=&amp;DbCrd=Either&amp;AcTyp=Any&amp;RpTyp=Either" TargetMode="External" Id="rId241"/><Relationship Type="http://schemas.openxmlformats.org/officeDocument/2006/relationships/hyperlink" Target="file:///\\192.168.11.15\Elmdale-Root\Accounting\pages\CommonAccount.aspx%3fsJump=1500-0037&amp;c.ChartCode=&amp;hAccount=&amp;hAccount2=&amp;DbCrd=Either&amp;AcTyp=Any&amp;RpTyp=Either" TargetMode="External" Id="rId242"/><Relationship Type="http://schemas.openxmlformats.org/officeDocument/2006/relationships/hyperlink" Target="file:///\\192.168.11.15\Elmdale-Root\Accounting\pages\CommonAccount.aspx%3fsJump=1500-0040&amp;c.ChartCode=&amp;hAccount=&amp;hAccount2=&amp;DbCrd=Either&amp;AcTyp=Any&amp;RpTyp=Either" TargetMode="External" Id="rId243"/><Relationship Type="http://schemas.openxmlformats.org/officeDocument/2006/relationships/hyperlink" Target="file:///\\192.168.11.15\Elmdale-Root\Accounting\pages\CommonAccount.aspx%3fsJump=1500-0045&amp;c.ChartCode=&amp;hAccount=&amp;hAccount2=&amp;DbCrd=Either&amp;AcTyp=Any&amp;RpTyp=Either" TargetMode="External" Id="rId244"/><Relationship Type="http://schemas.openxmlformats.org/officeDocument/2006/relationships/hyperlink" Target="file:///\\192.168.11.15\Elmdale-Root\Accounting\pages\CommonAccount.aspx%3fsJump=1500-0046&amp;c.ChartCode=&amp;hAccount=&amp;hAccount2=&amp;DbCrd=Either&amp;AcTyp=Any&amp;RpTyp=Either" TargetMode="External" Id="rId245"/><Relationship Type="http://schemas.openxmlformats.org/officeDocument/2006/relationships/hyperlink" Target="file:///\\192.168.11.15\Elmdale-Root\Accounting\pages\CommonAccount.aspx%3fsJump=1500-0050&amp;c.ChartCode=&amp;hAccount=&amp;hAccount2=&amp;DbCrd=Either&amp;AcTyp=Any&amp;RpTyp=Either" TargetMode="External" Id="rId246"/><Relationship Type="http://schemas.openxmlformats.org/officeDocument/2006/relationships/hyperlink" Target="file:///\\192.168.11.15\Elmdale-Root\Accounting\pages\CommonAccount.aspx%3fsJump=1500-0051&amp;c.ChartCode=&amp;hAccount=&amp;hAccount2=&amp;DbCrd=Either&amp;AcTyp=Any&amp;RpTyp=Either" TargetMode="External" Id="rId247"/><Relationship Type="http://schemas.openxmlformats.org/officeDocument/2006/relationships/hyperlink" Target="file:///\\192.168.11.15\Elmdale-Root\Accounting\pages\CommonAccount.aspx%3fsJump=1500-0055&amp;c.ChartCode=&amp;hAccount=&amp;hAccount2=&amp;DbCrd=Either&amp;AcTyp=Any&amp;RpTyp=Either" TargetMode="External" Id="rId248"/><Relationship Type="http://schemas.openxmlformats.org/officeDocument/2006/relationships/hyperlink" Target="file:///\\192.168.11.15\Elmdale-Root\Accounting\pages\CommonAccount.aspx%3fsJump=1500-0060&amp;c.ChartCode=&amp;hAccount=&amp;hAccount2=&amp;DbCrd=Either&amp;AcTyp=Any&amp;RpTyp=Either" TargetMode="External" Id="rId249"/><Relationship Type="http://schemas.openxmlformats.org/officeDocument/2006/relationships/hyperlink" Target="file:///\\192.168.11.15\Elmdale-Root\Accounting\pages\CommonAccount.aspx%3fsJump=1500-0065&amp;c.ChartCode=&amp;hAccount=&amp;hAccount2=&amp;DbCrd=Either&amp;AcTyp=Any&amp;RpTyp=Either" TargetMode="External" Id="rId250"/><Relationship Type="http://schemas.openxmlformats.org/officeDocument/2006/relationships/hyperlink" Target="file:///\\192.168.11.15\Elmdale-Root\Accounting\pages\CommonAccount.aspx%3fsJump=1500-0066&amp;c.ChartCode=&amp;hAccount=&amp;hAccount2=&amp;DbCrd=Either&amp;AcTyp=Any&amp;RpTyp=Either" TargetMode="External" Id="rId251"/><Relationship Type="http://schemas.openxmlformats.org/officeDocument/2006/relationships/hyperlink" Target="file:///\\192.168.11.15\Elmdale-Root\Accounting\pages\CommonAccount.aspx%3fsJump=1500-0067&amp;c.ChartCode=&amp;hAccount=&amp;hAccount2=&amp;DbCrd=Either&amp;AcTyp=Any&amp;RpTyp=Either" TargetMode="External" Id="rId252"/><Relationship Type="http://schemas.openxmlformats.org/officeDocument/2006/relationships/hyperlink" Target="file:///\\192.168.11.15\Elmdale-Root\Accounting\pages\CommonAccount.aspx%3fsJump=1500-0070&amp;c.ChartCode=&amp;hAccount=&amp;hAccount2=&amp;DbCrd=Either&amp;AcTyp=Any&amp;RpTyp=Either" TargetMode="External" Id="rId253"/><Relationship Type="http://schemas.openxmlformats.org/officeDocument/2006/relationships/hyperlink" Target="file:///\\192.168.11.15\Elmdale-Root\Accounting\pages\CommonAccount.aspx%3fsJump=1500-0075&amp;c.ChartCode=&amp;hAccount=&amp;hAccount2=&amp;DbCrd=Either&amp;AcTyp=Any&amp;RpTyp=Either" TargetMode="External" Id="rId254"/><Relationship Type="http://schemas.openxmlformats.org/officeDocument/2006/relationships/hyperlink" Target="file:///\\192.168.11.15\Elmdale-Root\Accounting\pages\CommonAccount.aspx%3fsJump=1500-0080&amp;c.ChartCode=&amp;hAccount=&amp;hAccount2=&amp;DbCrd=Either&amp;AcTyp=Any&amp;RpTyp=Either" TargetMode="External" Id="rId255"/><Relationship Type="http://schemas.openxmlformats.org/officeDocument/2006/relationships/hyperlink" Target="file:///\\192.168.11.15\Elmdale-Root\Accounting\pages\CommonAccount.aspx%3fsJump=1500-0085&amp;c.ChartCode=&amp;hAccount=&amp;hAccount2=&amp;DbCrd=Either&amp;AcTyp=Any&amp;RpTyp=Either" TargetMode="External" Id="rId256"/><Relationship Type="http://schemas.openxmlformats.org/officeDocument/2006/relationships/hyperlink" Target="file:///\\192.168.11.15\Elmdale-Root\Accounting\pages\CommonAccount.aspx%3fsJump=1500-0090&amp;c.ChartCode=&amp;hAccount=&amp;hAccount2=&amp;DbCrd=Either&amp;AcTyp=Any&amp;RpTyp=Either" TargetMode="External" Id="rId257"/><Relationship Type="http://schemas.openxmlformats.org/officeDocument/2006/relationships/hyperlink" Target="file:///\\192.168.11.15\Elmdale-Root\Accounting\pages\CommonAccount.aspx%3fsJump=1500-0091&amp;c.ChartCode=&amp;hAccount=&amp;hAccount2=&amp;DbCrd=Either&amp;AcTyp=Any&amp;RpTyp=Either" TargetMode="External" Id="rId258"/><Relationship Type="http://schemas.openxmlformats.org/officeDocument/2006/relationships/hyperlink" Target="file:///\\192.168.11.15\Elmdale-Root\Accounting\pages\CommonAccount.aspx%3fsJump=1500-0095&amp;c.ChartCode=&amp;hAccount=&amp;hAccount2=&amp;DbCrd=Either&amp;AcTyp=Any&amp;RpTyp=Either" TargetMode="External" Id="rId259"/><Relationship Type="http://schemas.openxmlformats.org/officeDocument/2006/relationships/hyperlink" Target="file:///\\192.168.11.15\Elmdale-Root\Accounting\pages\CommonAccount.aspx%3fsJump=1600-0000&amp;c.ChartCode=&amp;hAccount=&amp;hAccount2=&amp;DbCrd=Either&amp;AcTyp=Any&amp;RpTyp=Either" TargetMode="External" Id="rId260"/><Relationship Type="http://schemas.openxmlformats.org/officeDocument/2006/relationships/hyperlink" Target="file:///\\192.168.11.15\Elmdale-Root\Accounting\pages\CommonAccount.aspx%3fsJump=1600-0001&amp;c.ChartCode=&amp;hAccount=&amp;hAccount2=&amp;DbCrd=Either&amp;AcTyp=Any&amp;RpTyp=Either" TargetMode="External" Id="rId261"/><Relationship Type="http://schemas.openxmlformats.org/officeDocument/2006/relationships/hyperlink" Target="file:///\\192.168.11.15\Elmdale-Root\Accounting\pages\CommonAccount.aspx%3fsJump=1600-0002&amp;c.ChartCode=&amp;hAccount=&amp;hAccount2=&amp;DbCrd=Either&amp;AcTyp=Any&amp;RpTyp=Either" TargetMode="External" Id="rId262"/><Relationship Type="http://schemas.openxmlformats.org/officeDocument/2006/relationships/hyperlink" Target="file:///\\192.168.11.15\Elmdale-Root\Accounting\pages\CommonAccount.aspx%3fsJump=1600-0003&amp;c.ChartCode=&amp;hAccount=&amp;hAccount2=&amp;DbCrd=Either&amp;AcTyp=Any&amp;RpTyp=Either" TargetMode="External" Id="rId263"/><Relationship Type="http://schemas.openxmlformats.org/officeDocument/2006/relationships/hyperlink" Target="file:///\\192.168.11.15\Elmdale-Root\Accounting\pages\CommonAccount.aspx%3fsJump=1600-0004&amp;c.ChartCode=&amp;hAccount=&amp;hAccount2=&amp;DbCrd=Either&amp;AcTyp=Any&amp;RpTyp=Either" TargetMode="External" Id="rId264"/><Relationship Type="http://schemas.openxmlformats.org/officeDocument/2006/relationships/hyperlink" Target="file:///\\192.168.11.15\Elmdale-Root\Accounting\pages\CommonAccount.aspx%3fsJump=1600-0005&amp;c.ChartCode=&amp;hAccount=&amp;hAccount2=&amp;DbCrd=Either&amp;AcTyp=Any&amp;RpTyp=Either" TargetMode="External" Id="rId265"/><Relationship Type="http://schemas.openxmlformats.org/officeDocument/2006/relationships/hyperlink" Target="file:///\\192.168.11.15\Elmdale-Root\Accounting\pages\CommonAccount.aspx%3fsJump=1600-0006&amp;c.ChartCode=&amp;hAccount=&amp;hAccount2=&amp;DbCrd=Either&amp;AcTyp=Any&amp;RpTyp=Either" TargetMode="External" Id="rId266"/><Relationship Type="http://schemas.openxmlformats.org/officeDocument/2006/relationships/hyperlink" Target="file:///\\192.168.11.15\Elmdale-Root\Accounting\pages\CommonAccount.aspx%3fsJump=1600-0007&amp;c.ChartCode=&amp;hAccount=&amp;hAccount2=&amp;DbCrd=Either&amp;AcTyp=Any&amp;RpTyp=Either" TargetMode="External" Id="rId267"/><Relationship Type="http://schemas.openxmlformats.org/officeDocument/2006/relationships/hyperlink" Target="file:///\\192.168.11.15\Elmdale-Root\Accounting\pages\CommonAccount.aspx%3fsJump=1600-0008&amp;c.ChartCode=&amp;hAccount=&amp;hAccount2=&amp;DbCrd=Either&amp;AcTyp=Any&amp;RpTyp=Either" TargetMode="External" Id="rId268"/><Relationship Type="http://schemas.openxmlformats.org/officeDocument/2006/relationships/hyperlink" Target="file:///\\192.168.11.15\Elmdale-Root\Accounting\pages\CommonAccount.aspx%3fsJump=1600-0009&amp;c.ChartCode=&amp;hAccount=&amp;hAccount2=&amp;DbCrd=Either&amp;AcTyp=Any&amp;RpTyp=Either" TargetMode="External" Id="rId269"/><Relationship Type="http://schemas.openxmlformats.org/officeDocument/2006/relationships/hyperlink" Target="file:///\\192.168.11.15\Elmdale-Root\Accounting\pages\CommonAccount.aspx%3fsJump=1600-0010&amp;c.ChartCode=&amp;hAccount=&amp;hAccount2=&amp;DbCrd=Either&amp;AcTyp=Any&amp;RpTyp=Either" TargetMode="External" Id="rId270"/><Relationship Type="http://schemas.openxmlformats.org/officeDocument/2006/relationships/hyperlink" Target="file:///\\192.168.11.15\Elmdale-Root\Accounting\pages\CommonAccount.aspx%3fsJump=1600-0011&amp;c.ChartCode=&amp;hAccount=&amp;hAccount2=&amp;DbCrd=Either&amp;AcTyp=Any&amp;RpTyp=Either" TargetMode="External" Id="rId271"/><Relationship Type="http://schemas.openxmlformats.org/officeDocument/2006/relationships/hyperlink" Target="file:///\\192.168.11.15\Elmdale-Root\Accounting\pages\CommonAccount.aspx%3fsJump=1600-0012&amp;c.ChartCode=&amp;hAccount=&amp;hAccount2=&amp;DbCrd=Either&amp;AcTyp=Any&amp;RpTyp=Either" TargetMode="External" Id="rId272"/><Relationship Type="http://schemas.openxmlformats.org/officeDocument/2006/relationships/hyperlink" Target="file:///\\192.168.11.15\Elmdale-Root\Accounting\pages\CommonAccount.aspx%3fsJump=1600-0013&amp;c.ChartCode=&amp;hAccount=&amp;hAccount2=&amp;DbCrd=Either&amp;AcTyp=Any&amp;RpTyp=Either" TargetMode="External" Id="rId273"/><Relationship Type="http://schemas.openxmlformats.org/officeDocument/2006/relationships/hyperlink" Target="file:///\\192.168.11.15\Elmdale-Root\Accounting\pages\CommonAccount.aspx%3fsJump=1600-0015&amp;c.ChartCode=&amp;hAccount=&amp;hAccount2=&amp;DbCrd=Either&amp;AcTyp=Any&amp;RpTyp=Either" TargetMode="External" Id="rId274"/><Relationship Type="http://schemas.openxmlformats.org/officeDocument/2006/relationships/hyperlink" Target="file:///\\192.168.11.15\Elmdale-Root\Accounting\pages\CommonAccount.aspx%3fsJump=1600-0016&amp;c.ChartCode=&amp;hAccount=&amp;hAccount2=&amp;DbCrd=Either&amp;AcTyp=Any&amp;RpTyp=Either" TargetMode="External" Id="rId275"/><Relationship Type="http://schemas.openxmlformats.org/officeDocument/2006/relationships/hyperlink" Target="file:///\\192.168.11.15\Elmdale-Root\Accounting\pages\CommonAccount.aspx%3fsJump=1600-0017&amp;c.ChartCode=&amp;hAccount=&amp;hAccount2=&amp;DbCrd=Either&amp;AcTyp=Any&amp;RpTyp=Either" TargetMode="External" Id="rId276"/><Relationship Type="http://schemas.openxmlformats.org/officeDocument/2006/relationships/hyperlink" Target="file:///\\192.168.11.15\Elmdale-Root\Accounting\pages\CommonAccount.aspx%3fsJump=1600-0020&amp;c.ChartCode=&amp;hAccount=&amp;hAccount2=&amp;DbCrd=Either&amp;AcTyp=Any&amp;RpTyp=Either" TargetMode="External" Id="rId277"/><Relationship Type="http://schemas.openxmlformats.org/officeDocument/2006/relationships/hyperlink" Target="file:///\\192.168.11.15\Elmdale-Root\Accounting\pages\CommonAccount.aspx%3fsJump=1600-0024&amp;c.ChartCode=&amp;hAccount=&amp;hAccount2=&amp;DbCrd=Either&amp;AcTyp=Any&amp;RpTyp=Either" TargetMode="External" Id="rId278"/><Relationship Type="http://schemas.openxmlformats.org/officeDocument/2006/relationships/hyperlink" Target="file:///\\192.168.11.15\Elmdale-Root\Accounting\pages\CommonAccount.aspx%3fsJump=1600-0025&amp;c.ChartCode=&amp;hAccount=&amp;hAccount2=&amp;DbCrd=Either&amp;AcTyp=Any&amp;RpTyp=Either" TargetMode="External" Id="rId279"/><Relationship Type="http://schemas.openxmlformats.org/officeDocument/2006/relationships/hyperlink" Target="file:///\\192.168.11.15\Elmdale-Root\Accounting\pages\CommonAccount.aspx%3fsJump=1600-0026&amp;c.ChartCode=&amp;hAccount=&amp;hAccount2=&amp;DbCrd=Either&amp;AcTyp=Any&amp;RpTyp=Either" TargetMode="External" Id="rId280"/><Relationship Type="http://schemas.openxmlformats.org/officeDocument/2006/relationships/hyperlink" Target="file:///\\192.168.11.15\Elmdale-Root\Accounting\pages\CommonAccount.aspx%3fsJump=1600-0027&amp;c.ChartCode=&amp;hAccount=&amp;hAccount2=&amp;DbCrd=Either&amp;AcTyp=Any&amp;RpTyp=Either" TargetMode="External" Id="rId281"/><Relationship Type="http://schemas.openxmlformats.org/officeDocument/2006/relationships/hyperlink" Target="file:///\\192.168.11.15\Elmdale-Root\Accounting\pages\CommonAccount.aspx%3fsJump=1600-0028&amp;c.ChartCode=&amp;hAccount=&amp;hAccount2=&amp;DbCrd=Either&amp;AcTyp=Any&amp;RpTyp=Either" TargetMode="External" Id="rId282"/><Relationship Type="http://schemas.openxmlformats.org/officeDocument/2006/relationships/hyperlink" Target="file:///\\192.168.11.15\Elmdale-Root\Accounting\pages\CommonAccount.aspx%3fsJump=1600-0030&amp;c.ChartCode=&amp;hAccount=&amp;hAccount2=&amp;DbCrd=Either&amp;AcTyp=Any&amp;RpTyp=Either" TargetMode="External" Id="rId283"/><Relationship Type="http://schemas.openxmlformats.org/officeDocument/2006/relationships/hyperlink" Target="file:///\\192.168.11.15\Elmdale-Root\Accounting\pages\CommonAccount.aspx%3fsJump=1600-0035&amp;c.ChartCode=&amp;hAccount=&amp;hAccount2=&amp;DbCrd=Either&amp;AcTyp=Any&amp;RpTyp=Either" TargetMode="External" Id="rId284"/><Relationship Type="http://schemas.openxmlformats.org/officeDocument/2006/relationships/hyperlink" Target="file:///\\192.168.11.15\Elmdale-Root\Accounting\pages\CommonAccount.aspx%3fsJump=1600-0036&amp;c.ChartCode=&amp;hAccount=&amp;hAccount2=&amp;DbCrd=Either&amp;AcTyp=Any&amp;RpTyp=Either" TargetMode="External" Id="rId285"/><Relationship Type="http://schemas.openxmlformats.org/officeDocument/2006/relationships/hyperlink" Target="file:///\\192.168.11.15\Elmdale-Root\Accounting\pages\CommonAccount.aspx%3fsJump=1600-0037&amp;c.ChartCode=&amp;hAccount=&amp;hAccount2=&amp;DbCrd=Either&amp;AcTyp=Any&amp;RpTyp=Either" TargetMode="External" Id="rId286"/><Relationship Type="http://schemas.openxmlformats.org/officeDocument/2006/relationships/hyperlink" Target="file:///\\192.168.11.15\Elmdale-Root\Accounting\pages\CommonAccount.aspx%3fsJump=1600-0038&amp;c.ChartCode=&amp;hAccount=&amp;hAccount2=&amp;DbCrd=Either&amp;AcTyp=Any&amp;RpTyp=Either" TargetMode="External" Id="rId287"/><Relationship Type="http://schemas.openxmlformats.org/officeDocument/2006/relationships/hyperlink" Target="file:///\\192.168.11.15\Elmdale-Root\Accounting\pages\CommonAccount.aspx%3fsJump=1600-0040&amp;c.ChartCode=&amp;hAccount=&amp;hAccount2=&amp;DbCrd=Either&amp;AcTyp=Any&amp;RpTyp=Either" TargetMode="External" Id="rId288"/><Relationship Type="http://schemas.openxmlformats.org/officeDocument/2006/relationships/hyperlink" Target="file:///\\192.168.11.15\Elmdale-Root\Accounting\pages\CommonAccount.aspx%3fsJump=1600-0041&amp;c.ChartCode=&amp;hAccount=&amp;hAccount2=&amp;DbCrd=Either&amp;AcTyp=Any&amp;RpTyp=Either" TargetMode="External" Id="rId289"/><Relationship Type="http://schemas.openxmlformats.org/officeDocument/2006/relationships/hyperlink" Target="file:///\\192.168.11.15\Elmdale-Root\Accounting\pages\CommonAccount.aspx%3fsJump=1600-0042&amp;c.ChartCode=&amp;hAccount=&amp;hAccount2=&amp;DbCrd=Either&amp;AcTyp=Any&amp;RpTyp=Either" TargetMode="External" Id="rId290"/><Relationship Type="http://schemas.openxmlformats.org/officeDocument/2006/relationships/hyperlink" Target="file:///\\192.168.11.15\Elmdale-Root\Accounting\pages\CommonAccount.aspx%3fsJump=1600-0043&amp;c.ChartCode=&amp;hAccount=&amp;hAccount2=&amp;DbCrd=Either&amp;AcTyp=Any&amp;RpTyp=Either" TargetMode="External" Id="rId291"/><Relationship Type="http://schemas.openxmlformats.org/officeDocument/2006/relationships/hyperlink" Target="file:///\\192.168.11.15\Elmdale-Root\Accounting\pages\CommonAccount.aspx%3fsJump=1600-0044&amp;c.ChartCode=&amp;hAccount=&amp;hAccount2=&amp;DbCrd=Either&amp;AcTyp=Any&amp;RpTyp=Either" TargetMode="External" Id="rId292"/><Relationship Type="http://schemas.openxmlformats.org/officeDocument/2006/relationships/hyperlink" Target="file:///\\192.168.11.15\Elmdale-Root\Accounting\pages\CommonAccount.aspx%3fsJump=1600-0045&amp;c.ChartCode=&amp;hAccount=&amp;hAccount2=&amp;DbCrd=Either&amp;AcTyp=Any&amp;RpTyp=Either" TargetMode="External" Id="rId293"/><Relationship Type="http://schemas.openxmlformats.org/officeDocument/2006/relationships/hyperlink" Target="file:///\\192.168.11.15\Elmdale-Root\Accounting\pages\CommonAccount.aspx%3fsJump=1600-0046&amp;c.ChartCode=&amp;hAccount=&amp;hAccount2=&amp;DbCrd=Either&amp;AcTyp=Any&amp;RpTyp=Either" TargetMode="External" Id="rId294"/><Relationship Type="http://schemas.openxmlformats.org/officeDocument/2006/relationships/hyperlink" Target="file:///\\192.168.11.15\Elmdale-Root\Accounting\pages\CommonAccount.aspx%3fsJump=1600-0047&amp;c.ChartCode=&amp;hAccount=&amp;hAccount2=&amp;DbCrd=Either&amp;AcTyp=Any&amp;RpTyp=Either" TargetMode="External" Id="rId295"/><Relationship Type="http://schemas.openxmlformats.org/officeDocument/2006/relationships/hyperlink" Target="file:///\\192.168.11.15\Elmdale-Root\Accounting\pages\CommonAccount.aspx%3fsJump=1600-0048&amp;c.ChartCode=&amp;hAccount=&amp;hAccount2=&amp;DbCrd=Either&amp;AcTyp=Any&amp;RpTyp=Either" TargetMode="External" Id="rId296"/><Relationship Type="http://schemas.openxmlformats.org/officeDocument/2006/relationships/hyperlink" Target="file:///\\192.168.11.15\Elmdale-Root\Accounting\pages\CommonAccount.aspx%3fsJump=1600-0049&amp;c.ChartCode=&amp;hAccount=&amp;hAccount2=&amp;DbCrd=Either&amp;AcTyp=Any&amp;RpTyp=Either" TargetMode="External" Id="rId297"/><Relationship Type="http://schemas.openxmlformats.org/officeDocument/2006/relationships/hyperlink" Target="file:///\\192.168.11.15\Elmdale-Root\Accounting\pages\CommonAccount.aspx%3fsJump=1600-0050&amp;c.ChartCode=&amp;hAccount=&amp;hAccount2=&amp;DbCrd=Either&amp;AcTyp=Any&amp;RpTyp=Either" TargetMode="External" Id="rId298"/><Relationship Type="http://schemas.openxmlformats.org/officeDocument/2006/relationships/hyperlink" Target="file:///\\192.168.11.15\Elmdale-Root\Accounting\pages\CommonAccount.aspx%3fsJump=1600-1000&amp;c.ChartCode=&amp;hAccount=&amp;hAccount2=&amp;DbCrd=Either&amp;AcTyp=Any&amp;RpTyp=Either" TargetMode="External" Id="rId299"/><Relationship Type="http://schemas.openxmlformats.org/officeDocument/2006/relationships/hyperlink" Target="file:///\\192.168.11.15\Elmdale-Root\Accounting\pages\CommonAccount.aspx%3fsJump=1600-1001&amp;c.ChartCode=&amp;hAccount=&amp;hAccount2=&amp;DbCrd=Either&amp;AcTyp=Any&amp;RpTyp=Either" TargetMode="External" Id="rId300"/><Relationship Type="http://schemas.openxmlformats.org/officeDocument/2006/relationships/hyperlink" Target="file:///\\192.168.11.15\Elmdale-Root\Accounting\pages\CommonAccount.aspx%3fsJump=1600-1002&amp;c.ChartCode=&amp;hAccount=&amp;hAccount2=&amp;DbCrd=Either&amp;AcTyp=Any&amp;RpTyp=Either" TargetMode="External" Id="rId301"/><Relationship Type="http://schemas.openxmlformats.org/officeDocument/2006/relationships/hyperlink" Target="file:///\\192.168.11.15\Elmdale-Root\Accounting\pages\CommonAccount.aspx%3fsJump=1600-1003&amp;c.ChartCode=&amp;hAccount=&amp;hAccount2=&amp;DbCrd=Either&amp;AcTyp=Any&amp;RpTyp=Either" TargetMode="External" Id="rId302"/><Relationship Type="http://schemas.openxmlformats.org/officeDocument/2006/relationships/hyperlink" Target="file:///\\192.168.11.15\Elmdale-Root\Accounting\pages\CommonAccount.aspx%3fsJump=1600-1004&amp;c.ChartCode=&amp;hAccount=&amp;hAccount2=&amp;DbCrd=Either&amp;AcTyp=Any&amp;RpTyp=Either" TargetMode="External" Id="rId303"/><Relationship Type="http://schemas.openxmlformats.org/officeDocument/2006/relationships/hyperlink" Target="file:///\\192.168.11.15\Elmdale-Root\Accounting\pages\CommonAccount.aspx%3fsJump=1600-1005&amp;c.ChartCode=&amp;hAccount=&amp;hAccount2=&amp;DbCrd=Either&amp;AcTyp=Any&amp;RpTyp=Either" TargetMode="External" Id="rId304"/><Relationship Type="http://schemas.openxmlformats.org/officeDocument/2006/relationships/hyperlink" Target="file:///\\192.168.11.15\Elmdale-Root\Accounting\pages\CommonAccount.aspx%3fsJump=1600-1006&amp;c.ChartCode=&amp;hAccount=&amp;hAccount2=&amp;DbCrd=Either&amp;AcTyp=Any&amp;RpTyp=Either" TargetMode="External" Id="rId305"/><Relationship Type="http://schemas.openxmlformats.org/officeDocument/2006/relationships/hyperlink" Target="file:///\\192.168.11.15\Elmdale-Root\Accounting\pages\CommonAccount.aspx%3fsJump=1600-1007&amp;c.ChartCode=&amp;hAccount=&amp;hAccount2=&amp;DbCrd=Either&amp;AcTyp=Any&amp;RpTyp=Either" TargetMode="External" Id="rId306"/><Relationship Type="http://schemas.openxmlformats.org/officeDocument/2006/relationships/hyperlink" Target="file:///\\192.168.11.15\Elmdale-Root\Accounting\pages\CommonAccount.aspx%3fsJump=1600-1008&amp;c.ChartCode=&amp;hAccount=&amp;hAccount2=&amp;DbCrd=Either&amp;AcTyp=Any&amp;RpTyp=Either" TargetMode="External" Id="rId307"/><Relationship Type="http://schemas.openxmlformats.org/officeDocument/2006/relationships/hyperlink" Target="file:///\\192.168.11.15\Elmdale-Root\Accounting\pages\CommonAccount.aspx%3fsJump=1600-1009&amp;c.ChartCode=&amp;hAccount=&amp;hAccount2=&amp;DbCrd=Either&amp;AcTyp=Any&amp;RpTyp=Either" TargetMode="External" Id="rId308"/><Relationship Type="http://schemas.openxmlformats.org/officeDocument/2006/relationships/hyperlink" Target="file:///\\192.168.11.15\Elmdale-Root\Accounting\pages\CommonAccount.aspx%3fsJump=1600-1010&amp;c.ChartCode=&amp;hAccount=&amp;hAccount2=&amp;DbCrd=Either&amp;AcTyp=Any&amp;RpTyp=Either" TargetMode="External" Id="rId309"/><Relationship Type="http://schemas.openxmlformats.org/officeDocument/2006/relationships/hyperlink" Target="file:///\\192.168.11.15\Elmdale-Root\Accounting\pages\CommonAccount.aspx%3fsJump=1600-1011&amp;c.ChartCode=&amp;hAccount=&amp;hAccount2=&amp;DbCrd=Either&amp;AcTyp=Any&amp;RpTyp=Either" TargetMode="External" Id="rId310"/><Relationship Type="http://schemas.openxmlformats.org/officeDocument/2006/relationships/hyperlink" Target="file:///\\192.168.11.15\Elmdale-Root\Accounting\pages\CommonAccount.aspx%3fsJump=1600-1012&amp;c.ChartCode=&amp;hAccount=&amp;hAccount2=&amp;DbCrd=Either&amp;AcTyp=Any&amp;RpTyp=Either" TargetMode="External" Id="rId311"/><Relationship Type="http://schemas.openxmlformats.org/officeDocument/2006/relationships/hyperlink" Target="file:///\\192.168.11.15\Elmdale-Root\Accounting\pages\CommonAccount.aspx%3fsJump=1600-1013&amp;c.ChartCode=&amp;hAccount=&amp;hAccount2=&amp;DbCrd=Either&amp;AcTyp=Any&amp;RpTyp=Either" TargetMode="External" Id="rId312"/><Relationship Type="http://schemas.openxmlformats.org/officeDocument/2006/relationships/hyperlink" Target="file:///\\192.168.11.15\Elmdale-Root\Accounting\pages\CommonAccount.aspx%3fsJump=1600-1014&amp;c.ChartCode=&amp;hAccount=&amp;hAccount2=&amp;DbCrd=Either&amp;AcTyp=Any&amp;RpTyp=Either" TargetMode="External" Id="rId313"/><Relationship Type="http://schemas.openxmlformats.org/officeDocument/2006/relationships/hyperlink" Target="file:///\\192.168.11.15\Elmdale-Root\Accounting\pages\CommonAccount.aspx%3fsJump=1600-1015&amp;c.ChartCode=&amp;hAccount=&amp;hAccount2=&amp;DbCrd=Either&amp;AcTyp=Any&amp;RpTyp=Either" TargetMode="External" Id="rId314"/><Relationship Type="http://schemas.openxmlformats.org/officeDocument/2006/relationships/hyperlink" Target="file:///\\192.168.11.15\Elmdale-Root\Accounting\pages\CommonAccount.aspx%3fsJump=1600-1016&amp;c.ChartCode=&amp;hAccount=&amp;hAccount2=&amp;DbCrd=Either&amp;AcTyp=Any&amp;RpTyp=Either" TargetMode="External" Id="rId315"/><Relationship Type="http://schemas.openxmlformats.org/officeDocument/2006/relationships/hyperlink" Target="file:///\\192.168.11.15\Elmdale-Root\Accounting\pages\CommonAccount.aspx%3fsJump=1600-9999&amp;c.ChartCode=&amp;hAccount=&amp;hAccount2=&amp;DbCrd=Either&amp;AcTyp=Any&amp;RpTyp=Either" TargetMode="External" Id="rId316"/><Relationship Type="http://schemas.openxmlformats.org/officeDocument/2006/relationships/hyperlink" Target="file:///\\192.168.11.15\Elmdale-Root\Accounting\pages\CommonAccount.aspx%3fsJump=1700-0000&amp;c.ChartCode=&amp;hAccount=&amp;hAccount2=&amp;DbCrd=Either&amp;AcTyp=Any&amp;RpTyp=Either" TargetMode="External" Id="rId317"/><Relationship Type="http://schemas.openxmlformats.org/officeDocument/2006/relationships/hyperlink" Target="file:///\\192.168.11.15\Elmdale-Root\Accounting\pages\CommonAccount.aspx%3fsJump=1700-0001&amp;c.ChartCode=&amp;hAccount=&amp;hAccount2=&amp;DbCrd=Either&amp;AcTyp=Any&amp;RpTyp=Either" TargetMode="External" Id="rId318"/><Relationship Type="http://schemas.openxmlformats.org/officeDocument/2006/relationships/hyperlink" Target="file:///\\192.168.11.15\Elmdale-Root\Accounting\pages\CommonAccount.aspx%3fsJump=1700-0002&amp;c.ChartCode=&amp;hAccount=&amp;hAccount2=&amp;DbCrd=Either&amp;AcTyp=Any&amp;RpTyp=Either" TargetMode="External" Id="rId319"/><Relationship Type="http://schemas.openxmlformats.org/officeDocument/2006/relationships/hyperlink" Target="file:///\\192.168.11.15\Elmdale-Root\Accounting\pages\CommonAccount.aspx%3fsJump=1700-5100&amp;c.ChartCode=&amp;hAccount=&amp;hAccount2=&amp;DbCrd=Either&amp;AcTyp=Any&amp;RpTyp=Either" TargetMode="External" Id="rId320"/><Relationship Type="http://schemas.openxmlformats.org/officeDocument/2006/relationships/hyperlink" Target="file:///\\192.168.11.15\Elmdale-Root\Accounting\pages\CommonAccount.aspx%3fsJump=1700-6333&amp;c.ChartCode=&amp;hAccount=&amp;hAccount2=&amp;DbCrd=Either&amp;AcTyp=Any&amp;RpTyp=Either" TargetMode="External" Id="rId321"/><Relationship Type="http://schemas.openxmlformats.org/officeDocument/2006/relationships/hyperlink" Target="file:///\\192.168.11.15\Elmdale-Root\Accounting\pages\CommonAccount.aspx%3fsJump=1700-9530&amp;c.ChartCode=&amp;hAccount=&amp;hAccount2=&amp;DbCrd=Either&amp;AcTyp=Any&amp;RpTyp=Either" TargetMode="External" Id="rId322"/><Relationship Type="http://schemas.openxmlformats.org/officeDocument/2006/relationships/hyperlink" Target="file:///\\192.168.11.15\Elmdale-Root\Accounting\pages\CommonAccount.aspx%3fsJump=1710-0000&amp;c.ChartCode=&amp;hAccount=&amp;hAccount2=&amp;DbCrd=Either&amp;AcTyp=Any&amp;RpTyp=Either" TargetMode="External" Id="rId323"/><Relationship Type="http://schemas.openxmlformats.org/officeDocument/2006/relationships/hyperlink" Target="file:///\\192.168.11.15\Elmdale-Root\Accounting\pages\CommonAccount.aspx%3fsJump=1740-0000&amp;c.ChartCode=&amp;hAccount=&amp;hAccount2=&amp;DbCrd=Either&amp;AcTyp=Any&amp;RpTyp=Either" TargetMode="External" Id="rId324"/><Relationship Type="http://schemas.openxmlformats.org/officeDocument/2006/relationships/hyperlink" Target="file:///\\192.168.11.15\Elmdale-Root\Accounting\pages\CommonAccount.aspx%3fsJump=1740-1000&amp;c.ChartCode=&amp;hAccount=&amp;hAccount2=&amp;DbCrd=Either&amp;AcTyp=Any&amp;RpTyp=Either" TargetMode="External" Id="rId325"/><Relationship Type="http://schemas.openxmlformats.org/officeDocument/2006/relationships/hyperlink" Target="file:///\\192.168.11.15\Elmdale-Root\Accounting\pages\CommonAccount.aspx%3fsJump=1750-0000&amp;c.ChartCode=&amp;hAccount=&amp;hAccount2=&amp;DbCrd=Either&amp;AcTyp=Any&amp;RpTyp=Either" TargetMode="External" Id="rId326"/><Relationship Type="http://schemas.openxmlformats.org/officeDocument/2006/relationships/hyperlink" Target="file:///\\192.168.11.15\Elmdale-Root\Accounting\pages\CommonAccount.aspx%3fsJump=1770-0000&amp;c.ChartCode=&amp;hAccount=&amp;hAccount2=&amp;DbCrd=Either&amp;AcTyp=Any&amp;RpTyp=Either" TargetMode="External" Id="rId327"/><Relationship Type="http://schemas.openxmlformats.org/officeDocument/2006/relationships/hyperlink" Target="file:///\\192.168.11.15\Elmdale-Root\Accounting\pages\CommonAccount.aspx%3fsJump=1770-0001&amp;c.ChartCode=&amp;hAccount=&amp;hAccount2=&amp;DbCrd=Either&amp;AcTyp=Any&amp;RpTyp=Either" TargetMode="External" Id="rId328"/><Relationship Type="http://schemas.openxmlformats.org/officeDocument/2006/relationships/hyperlink" Target="file:///\\192.168.11.15\Elmdale-Root\Accounting\pages\CommonAccount.aspx%3fsJump=1780-0000&amp;c.ChartCode=&amp;hAccount=&amp;hAccount2=&amp;DbCrd=Either&amp;AcTyp=Any&amp;RpTyp=Either" TargetMode="External" Id="rId329"/><Relationship Type="http://schemas.openxmlformats.org/officeDocument/2006/relationships/hyperlink" Target="file:///\\192.168.11.15\Elmdale-Root\Accounting\pages\CommonAccount.aspx%3fsJump=1800-1000&amp;c.ChartCode=&amp;hAccount=&amp;hAccount2=&amp;DbCrd=Either&amp;AcTyp=Any&amp;RpTyp=Either" TargetMode="External" Id="rId330"/><Relationship Type="http://schemas.openxmlformats.org/officeDocument/2006/relationships/hyperlink" Target="file:///\\192.168.11.15\Elmdale-Root\Accounting\pages\CommonAccount.aspx%3fsJump=1890-0000&amp;c.ChartCode=&amp;hAccount=&amp;hAccount2=&amp;DbCrd=Either&amp;AcTyp=Any&amp;RpTyp=Either" TargetMode="External" Id="rId331"/><Relationship Type="http://schemas.openxmlformats.org/officeDocument/2006/relationships/hyperlink" Target="file:///\\192.168.11.15\Elmdale-Root\Accounting\pages\CommonAccount.aspx%3fsJump=1900-0000&amp;c.ChartCode=&amp;hAccount=&amp;hAccount2=&amp;DbCrd=Either&amp;AcTyp=Any&amp;RpTyp=Either" TargetMode="External" Id="rId332"/><Relationship Type="http://schemas.openxmlformats.org/officeDocument/2006/relationships/hyperlink" Target="file:///\\192.168.11.15\Elmdale-Root\Accounting\pages\CommonAccount.aspx%3fsJump=1900-0001&amp;c.ChartCode=&amp;hAccount=&amp;hAccount2=&amp;DbCrd=Either&amp;AcTyp=Any&amp;RpTyp=Either" TargetMode="External" Id="rId333"/><Relationship Type="http://schemas.openxmlformats.org/officeDocument/2006/relationships/hyperlink" Target="file:///\\192.168.11.15\Elmdale-Root\Accounting\pages\CommonAccount.aspx%3fsJump=1900-1000&amp;c.ChartCode=&amp;hAccount=&amp;hAccount2=&amp;DbCrd=Either&amp;AcTyp=Any&amp;RpTyp=Either" TargetMode="External" Id="rId334"/><Relationship Type="http://schemas.openxmlformats.org/officeDocument/2006/relationships/hyperlink" Target="file:///\\192.168.11.15\Elmdale-Root\Accounting\pages\CommonAccount.aspx%3fsJump=1900-1001&amp;c.ChartCode=&amp;hAccount=&amp;hAccount2=&amp;DbCrd=Either&amp;AcTyp=Any&amp;RpTyp=Either" TargetMode="External" Id="rId335"/><Relationship Type="http://schemas.openxmlformats.org/officeDocument/2006/relationships/hyperlink" Target="file:///\\192.168.11.15\Elmdale-Root\Accounting\pages\CommonAccount.aspx%3fsJump=1900-1002&amp;c.ChartCode=&amp;hAccount=&amp;hAccount2=&amp;DbCrd=Either&amp;AcTyp=Any&amp;RpTyp=Either" TargetMode="External" Id="rId336"/><Relationship Type="http://schemas.openxmlformats.org/officeDocument/2006/relationships/hyperlink" Target="file:///\\192.168.11.15\Elmdale-Root\Accounting\pages\CommonAccount.aspx%3fsJump=1900-1003&amp;c.ChartCode=&amp;hAccount=&amp;hAccount2=&amp;DbCrd=Either&amp;AcTyp=Any&amp;RpTyp=Either" TargetMode="External" Id="rId337"/><Relationship Type="http://schemas.openxmlformats.org/officeDocument/2006/relationships/hyperlink" Target="file:///\\192.168.11.15\Elmdale-Root\Accounting\pages\CommonAccount.aspx%3fsJump=1900-1004&amp;c.ChartCode=&amp;hAccount=&amp;hAccount2=&amp;DbCrd=Either&amp;AcTyp=Any&amp;RpTyp=Either" TargetMode="External" Id="rId338"/><Relationship Type="http://schemas.openxmlformats.org/officeDocument/2006/relationships/hyperlink" Target="file:///\\192.168.11.15\Elmdale-Root\Accounting\pages\CommonAccount.aspx%3fsJump=1900-1005&amp;c.ChartCode=&amp;hAccount=&amp;hAccount2=&amp;DbCrd=Either&amp;AcTyp=Any&amp;RpTyp=Either" TargetMode="External" Id="rId339"/><Relationship Type="http://schemas.openxmlformats.org/officeDocument/2006/relationships/hyperlink" Target="file:///\\192.168.11.15\Elmdale-Root\Accounting\pages\CommonAccount.aspx%3fsJump=1900-1006&amp;c.ChartCode=&amp;hAccount=&amp;hAccount2=&amp;DbCrd=Either&amp;AcTyp=Any&amp;RpTyp=Either" TargetMode="External" Id="rId340"/><Relationship Type="http://schemas.openxmlformats.org/officeDocument/2006/relationships/hyperlink" Target="file:///\\192.168.11.15\Elmdale-Root\Accounting\pages\CommonAccount.aspx%3fsJump=1900-1007&amp;c.ChartCode=&amp;hAccount=&amp;hAccount2=&amp;DbCrd=Either&amp;AcTyp=Any&amp;RpTyp=Either" TargetMode="External" Id="rId341"/><Relationship Type="http://schemas.openxmlformats.org/officeDocument/2006/relationships/hyperlink" Target="file:///\\192.168.11.15\Elmdale-Root\Accounting\pages\CommonAccount.aspx%3fsJump=1900-1008&amp;c.ChartCode=&amp;hAccount=&amp;hAccount2=&amp;DbCrd=Either&amp;AcTyp=Any&amp;RpTyp=Either" TargetMode="External" Id="rId342"/><Relationship Type="http://schemas.openxmlformats.org/officeDocument/2006/relationships/hyperlink" Target="file:///\\192.168.11.15\Elmdale-Root\Accounting\pages\CommonAccount.aspx%3fsJump=1900-1009&amp;c.ChartCode=&amp;hAccount=&amp;hAccount2=&amp;DbCrd=Either&amp;AcTyp=Any&amp;RpTyp=Either" TargetMode="External" Id="rId343"/><Relationship Type="http://schemas.openxmlformats.org/officeDocument/2006/relationships/hyperlink" Target="file:///\\192.168.11.15\Elmdale-Root\Accounting\pages\CommonAccount.aspx%3fsJump=1900-1010&amp;c.ChartCode=&amp;hAccount=&amp;hAccount2=&amp;DbCrd=Either&amp;AcTyp=Any&amp;RpTyp=Either" TargetMode="External" Id="rId344"/><Relationship Type="http://schemas.openxmlformats.org/officeDocument/2006/relationships/hyperlink" Target="file:///\\192.168.11.15\Elmdale-Root\Accounting\pages\CommonAccount.aspx%3fsJump=1900-1011&amp;c.ChartCode=&amp;hAccount=&amp;hAccount2=&amp;DbCrd=Either&amp;AcTyp=Any&amp;RpTyp=Either" TargetMode="External" Id="rId345"/><Relationship Type="http://schemas.openxmlformats.org/officeDocument/2006/relationships/hyperlink" Target="file:///\\192.168.11.15\Elmdale-Root\Accounting\pages\CommonAccount.aspx%3fsJump=1900-1012&amp;c.ChartCode=&amp;hAccount=&amp;hAccount2=&amp;DbCrd=Either&amp;AcTyp=Any&amp;RpTyp=Either" TargetMode="External" Id="rId346"/><Relationship Type="http://schemas.openxmlformats.org/officeDocument/2006/relationships/hyperlink" Target="file:///\\192.168.11.15\Elmdale-Root\Accounting\pages\CommonAccount.aspx%3fsJump=1900-1013&amp;c.ChartCode=&amp;hAccount=&amp;hAccount2=&amp;DbCrd=Either&amp;AcTyp=Any&amp;RpTyp=Either" TargetMode="External" Id="rId347"/><Relationship Type="http://schemas.openxmlformats.org/officeDocument/2006/relationships/hyperlink" Target="file:///\\192.168.11.15\Elmdale-Root\Accounting\pages\CommonAccount.aspx%3fsJump=1910-0000&amp;c.ChartCode=&amp;hAccount=&amp;hAccount2=&amp;DbCrd=Either&amp;AcTyp=Any&amp;RpTyp=Either" TargetMode="External" Id="rId348"/><Relationship Type="http://schemas.openxmlformats.org/officeDocument/2006/relationships/hyperlink" Target="file:///\\192.168.11.15\Elmdale-Root\Accounting\pages\CommonAccount.aspx%3fsJump=1910-0001&amp;c.ChartCode=&amp;hAccount=&amp;hAccount2=&amp;DbCrd=Either&amp;AcTyp=Any&amp;RpTyp=Either" TargetMode="External" Id="rId349"/><Relationship Type="http://schemas.openxmlformats.org/officeDocument/2006/relationships/hyperlink" Target="file:///\\192.168.11.15\Elmdale-Root\Accounting\pages\CommonAccount.aspx%3fsJump=1910-0002&amp;c.ChartCode=&amp;hAccount=&amp;hAccount2=&amp;DbCrd=Either&amp;AcTyp=Any&amp;RpTyp=Either" TargetMode="External" Id="rId350"/><Relationship Type="http://schemas.openxmlformats.org/officeDocument/2006/relationships/hyperlink" Target="file:///\\192.168.11.15\Elmdale-Root\Accounting\pages\CommonAccount.aspx%3fsJump=1920-0000&amp;c.ChartCode=&amp;hAccount=&amp;hAccount2=&amp;DbCrd=Either&amp;AcTyp=Any&amp;RpTyp=Either" TargetMode="External" Id="rId351"/><Relationship Type="http://schemas.openxmlformats.org/officeDocument/2006/relationships/hyperlink" Target="file:///\\192.168.11.15\Elmdale-Root\Accounting\pages\CommonAccount.aspx%3fsJump=1930-0000&amp;c.ChartCode=&amp;hAccount=&amp;hAccount2=&amp;DbCrd=Either&amp;AcTyp=Any&amp;RpTyp=Either" TargetMode="External" Id="rId352"/><Relationship Type="http://schemas.openxmlformats.org/officeDocument/2006/relationships/hyperlink" Target="file:///\\192.168.11.15\Elmdale-Root\Accounting\pages\CommonAccount.aspx%3fsJump=1950-0000&amp;c.ChartCode=&amp;hAccount=&amp;hAccount2=&amp;DbCrd=Either&amp;AcTyp=Any&amp;RpTyp=Either" TargetMode="External" Id="rId353"/><Relationship Type="http://schemas.openxmlformats.org/officeDocument/2006/relationships/hyperlink" Target="file:///\\192.168.11.15\Elmdale-Root\Accounting\pages\CommonAccount.aspx%3fsJump=1990-0000&amp;c.ChartCode=&amp;hAccount=&amp;hAccount2=&amp;DbCrd=Either&amp;AcTyp=Any&amp;RpTyp=Either" TargetMode="External" Id="rId354"/><Relationship Type="http://schemas.openxmlformats.org/officeDocument/2006/relationships/hyperlink" Target="file:///\\192.168.11.15\Elmdale-Root\Accounting\pages\CommonAccount.aspx%3fsJump=2000-0000&amp;c.ChartCode=&amp;hAccount=&amp;hAccount2=&amp;DbCrd=Either&amp;AcTyp=Any&amp;RpTyp=Either" TargetMode="External" Id="rId355"/><Relationship Type="http://schemas.openxmlformats.org/officeDocument/2006/relationships/hyperlink" Target="file:///\\192.168.11.15\Elmdale-Root\Accounting\pages\CommonAccount.aspx%3fsJump=2100-0000&amp;c.ChartCode=&amp;hAccount=&amp;hAccount2=&amp;DbCrd=Either&amp;AcTyp=Any&amp;RpTyp=Either" TargetMode="External" Id="rId356"/><Relationship Type="http://schemas.openxmlformats.org/officeDocument/2006/relationships/hyperlink" Target="file:///\\192.168.11.15\Elmdale-Root\Accounting\pages\CommonAccount.aspx%3fsJump=2100-1000&amp;c.ChartCode=&amp;hAccount=&amp;hAccount2=&amp;DbCrd=Either&amp;AcTyp=Any&amp;RpTyp=Either" TargetMode="External" Id="rId357"/><Relationship Type="http://schemas.openxmlformats.org/officeDocument/2006/relationships/hyperlink" Target="file:///\\192.168.11.15\Elmdale-Root\Accounting\pages\CommonAccount.aspx%3fsJump=2100-1001&amp;c.ChartCode=&amp;hAccount=&amp;hAccount2=&amp;DbCrd=Either&amp;AcTyp=Any&amp;RpTyp=Either" TargetMode="External" Id="rId358"/><Relationship Type="http://schemas.openxmlformats.org/officeDocument/2006/relationships/hyperlink" Target="file:///\\192.168.11.15\Elmdale-Root\Accounting\pages\CommonAccount.aspx%3fsJump=2100-1002&amp;c.ChartCode=&amp;hAccount=&amp;hAccount2=&amp;DbCrd=Either&amp;AcTyp=Any&amp;RpTyp=Either" TargetMode="External" Id="rId359"/><Relationship Type="http://schemas.openxmlformats.org/officeDocument/2006/relationships/hyperlink" Target="file:///\\192.168.11.15\Elmdale-Root\Accounting\pages\CommonAccount.aspx%3fsJump=2100-1003&amp;c.ChartCode=&amp;hAccount=&amp;hAccount2=&amp;DbCrd=Either&amp;AcTyp=Any&amp;RpTyp=Either" TargetMode="External" Id="rId360"/><Relationship Type="http://schemas.openxmlformats.org/officeDocument/2006/relationships/hyperlink" Target="file:///\\192.168.11.15\Elmdale-Root\Accounting\pages\CommonAccount.aspx%3fsJump=2100-1004&amp;c.ChartCode=&amp;hAccount=&amp;hAccount2=&amp;DbCrd=Either&amp;AcTyp=Any&amp;RpTyp=Either" TargetMode="External" Id="rId361"/><Relationship Type="http://schemas.openxmlformats.org/officeDocument/2006/relationships/hyperlink" Target="file:///\\192.168.11.15\Elmdale-Root\Accounting\pages\CommonAccount.aspx%3fsJump=2100-1005&amp;c.ChartCode=&amp;hAccount=&amp;hAccount2=&amp;DbCrd=Either&amp;AcTyp=Any&amp;RpTyp=Either" TargetMode="External" Id="rId362"/><Relationship Type="http://schemas.openxmlformats.org/officeDocument/2006/relationships/hyperlink" Target="file:///\\192.168.11.15\Elmdale-Root\Accounting\pages\CommonAccount.aspx%3fsJump=2110-0000&amp;c.ChartCode=&amp;hAccount=&amp;hAccount2=&amp;DbCrd=Either&amp;AcTyp=Any&amp;RpTyp=Either" TargetMode="External" Id="rId363"/><Relationship Type="http://schemas.openxmlformats.org/officeDocument/2006/relationships/hyperlink" Target="file:///\\192.168.11.15\Elmdale-Root\Accounting\pages\CommonAccount.aspx%3fsJump=2110-0015&amp;c.ChartCode=&amp;hAccount=&amp;hAccount2=&amp;DbCrd=Either&amp;AcTyp=Any&amp;RpTyp=Either" TargetMode="External" Id="rId364"/><Relationship Type="http://schemas.openxmlformats.org/officeDocument/2006/relationships/hyperlink" Target="file:///\\192.168.11.15\Elmdale-Root\Accounting\pages\CommonAccount.aspx%3fsJump=2120-0000&amp;c.ChartCode=&amp;hAccount=&amp;hAccount2=&amp;DbCrd=Either&amp;AcTyp=Any&amp;RpTyp=Either" TargetMode="External" Id="rId365"/><Relationship Type="http://schemas.openxmlformats.org/officeDocument/2006/relationships/hyperlink" Target="file:///\\192.168.11.15\Elmdale-Root\Accounting\pages\CommonAccount.aspx%3fsJump=2130-0000&amp;c.ChartCode=&amp;hAccount=&amp;hAccount2=&amp;DbCrd=Either&amp;AcTyp=Any&amp;RpTyp=Either" TargetMode="External" Id="rId366"/><Relationship Type="http://schemas.openxmlformats.org/officeDocument/2006/relationships/hyperlink" Target="file:///\\192.168.11.15\Elmdale-Root\Accounting\pages\CommonAccount.aspx%3fsJump=2135-0000&amp;c.ChartCode=&amp;hAccount=&amp;hAccount2=&amp;DbCrd=Either&amp;AcTyp=Any&amp;RpTyp=Either" TargetMode="External" Id="rId367"/><Relationship Type="http://schemas.openxmlformats.org/officeDocument/2006/relationships/hyperlink" Target="file:///\\192.168.11.15\Elmdale-Root\Accounting\pages\CommonAccount.aspx%3fsJump=2135-0010&amp;c.ChartCode=&amp;hAccount=&amp;hAccount2=&amp;DbCrd=Either&amp;AcTyp=Any&amp;RpTyp=Either" TargetMode="External" Id="rId368"/><Relationship Type="http://schemas.openxmlformats.org/officeDocument/2006/relationships/hyperlink" Target="file:///\\192.168.11.15\Elmdale-Root\Accounting\pages\CommonAccount.aspx%3fsJump=2140-0000&amp;c.ChartCode=&amp;hAccount=&amp;hAccount2=&amp;DbCrd=Either&amp;AcTyp=Any&amp;RpTyp=Either" TargetMode="External" Id="rId369"/><Relationship Type="http://schemas.openxmlformats.org/officeDocument/2006/relationships/hyperlink" Target="file:///\\192.168.11.15\Elmdale-Root\Accounting\pages\CommonAccount.aspx%3fsJump=2147-2200&amp;c.ChartCode=&amp;hAccount=&amp;hAccount2=&amp;DbCrd=Either&amp;AcTyp=Any&amp;RpTyp=Either" TargetMode="External" Id="rId370"/><Relationship Type="http://schemas.openxmlformats.org/officeDocument/2006/relationships/hyperlink" Target="file:///\\192.168.11.15\Elmdale-Root\Accounting\pages\CommonAccount.aspx%3fsJump=2150-0000&amp;c.ChartCode=&amp;hAccount=&amp;hAccount2=&amp;DbCrd=Either&amp;AcTyp=Any&amp;RpTyp=Either" TargetMode="External" Id="rId371"/><Relationship Type="http://schemas.openxmlformats.org/officeDocument/2006/relationships/hyperlink" Target="file:///\\192.168.11.15\Elmdale-Root\Accounting\pages\CommonAccount.aspx%3fsJump=2150-0001&amp;c.ChartCode=&amp;hAccount=&amp;hAccount2=&amp;DbCrd=Either&amp;AcTyp=Any&amp;RpTyp=Either" TargetMode="External" Id="rId372"/><Relationship Type="http://schemas.openxmlformats.org/officeDocument/2006/relationships/hyperlink" Target="file:///\\192.168.11.15\Elmdale-Root\Accounting\pages\CommonAccount.aspx%3fsJump=2150-0002&amp;c.ChartCode=&amp;hAccount=&amp;hAccount2=&amp;DbCrd=Either&amp;AcTyp=Any&amp;RpTyp=Either" TargetMode="External" Id="rId373"/><Relationship Type="http://schemas.openxmlformats.org/officeDocument/2006/relationships/hyperlink" Target="file:///\\192.168.11.15\Elmdale-Root\Accounting\pages\CommonAccount.aspx%3fsJump=2150-0003&amp;c.ChartCode=&amp;hAccount=&amp;hAccount2=&amp;DbCrd=Either&amp;AcTyp=Any&amp;RpTyp=Either" TargetMode="External" Id="rId374"/><Relationship Type="http://schemas.openxmlformats.org/officeDocument/2006/relationships/hyperlink" Target="file:///\\192.168.11.15\Elmdale-Root\Accounting\pages\CommonAccount.aspx%3fsJump=2150-0004&amp;c.ChartCode=&amp;hAccount=&amp;hAccount2=&amp;DbCrd=Either&amp;AcTyp=Any&amp;RpTyp=Either" TargetMode="External" Id="rId375"/><Relationship Type="http://schemas.openxmlformats.org/officeDocument/2006/relationships/hyperlink" Target="file:///\\192.168.11.15\Elmdale-Root\Accounting\pages\CommonAccount.aspx%3fsJump=2150-0005&amp;c.ChartCode=&amp;hAccount=&amp;hAccount2=&amp;DbCrd=Either&amp;AcTyp=Any&amp;RpTyp=Either" TargetMode="External" Id="rId376"/><Relationship Type="http://schemas.openxmlformats.org/officeDocument/2006/relationships/hyperlink" Target="file:///\\192.168.11.15\Elmdale-Root\Accounting\pages\CommonAccount.aspx%3fsJump=2150-0006&amp;c.ChartCode=&amp;hAccount=&amp;hAccount2=&amp;DbCrd=Either&amp;AcTyp=Any&amp;RpTyp=Either" TargetMode="External" Id="rId377"/><Relationship Type="http://schemas.openxmlformats.org/officeDocument/2006/relationships/hyperlink" Target="file:///\\192.168.11.15\Elmdale-Root\Accounting\pages\CommonAccount.aspx%3fsJump=2150-0007&amp;c.ChartCode=&amp;hAccount=&amp;hAccount2=&amp;DbCrd=Either&amp;AcTyp=Any&amp;RpTyp=Either" TargetMode="External" Id="rId378"/><Relationship Type="http://schemas.openxmlformats.org/officeDocument/2006/relationships/hyperlink" Target="file:///\\192.168.11.15\Elmdale-Root\Accounting\pages\CommonAccount.aspx%3fsJump=2150-0008&amp;c.ChartCode=&amp;hAccount=&amp;hAccount2=&amp;DbCrd=Either&amp;AcTyp=Any&amp;RpTyp=Either" TargetMode="External" Id="rId379"/><Relationship Type="http://schemas.openxmlformats.org/officeDocument/2006/relationships/hyperlink" Target="file:///\\192.168.11.15\Elmdale-Root\Accounting\pages\CommonAccount.aspx%3fsJump=2150-0009&amp;c.ChartCode=&amp;hAccount=&amp;hAccount2=&amp;DbCrd=Either&amp;AcTyp=Any&amp;RpTyp=Either" TargetMode="External" Id="rId380"/><Relationship Type="http://schemas.openxmlformats.org/officeDocument/2006/relationships/hyperlink" Target="file:///\\192.168.11.15\Elmdale-Root\Accounting\pages\CommonAccount.aspx%3fsJump=2150-0010&amp;c.ChartCode=&amp;hAccount=&amp;hAccount2=&amp;DbCrd=Either&amp;AcTyp=Any&amp;RpTyp=Either" TargetMode="External" Id="rId381"/><Relationship Type="http://schemas.openxmlformats.org/officeDocument/2006/relationships/hyperlink" Target="file:///\\192.168.11.15\Elmdale-Root\Accounting\pages\CommonAccount.aspx%3fsJump=2150-0011&amp;c.ChartCode=&amp;hAccount=&amp;hAccount2=&amp;DbCrd=Either&amp;AcTyp=Any&amp;RpTyp=Either" TargetMode="External" Id="rId382"/><Relationship Type="http://schemas.openxmlformats.org/officeDocument/2006/relationships/hyperlink" Target="file:///\\192.168.11.15\Elmdale-Root\Accounting\pages\CommonAccount.aspx%3fsJump=2150-0012&amp;c.ChartCode=&amp;hAccount=&amp;hAccount2=&amp;DbCrd=Either&amp;AcTyp=Any&amp;RpTyp=Either" TargetMode="External" Id="rId383"/><Relationship Type="http://schemas.openxmlformats.org/officeDocument/2006/relationships/hyperlink" Target="file:///\\192.168.11.15\Elmdale-Root\Accounting\pages\CommonAccount.aspx%3fsJump=2150-0013&amp;c.ChartCode=&amp;hAccount=&amp;hAccount2=&amp;DbCrd=Either&amp;AcTyp=Any&amp;RpTyp=Either" TargetMode="External" Id="rId384"/><Relationship Type="http://schemas.openxmlformats.org/officeDocument/2006/relationships/hyperlink" Target="file:///\\192.168.11.15\Elmdale-Root\Accounting\pages\CommonAccount.aspx%3fsJump=2150-0014&amp;c.ChartCode=&amp;hAccount=&amp;hAccount2=&amp;DbCrd=Either&amp;AcTyp=Any&amp;RpTyp=Either" TargetMode="External" Id="rId385"/><Relationship Type="http://schemas.openxmlformats.org/officeDocument/2006/relationships/hyperlink" Target="file:///\\192.168.11.15\Elmdale-Root\Accounting\pages\CommonAccount.aspx%3fsJump=2150-0015&amp;c.ChartCode=&amp;hAccount=&amp;hAccount2=&amp;DbCrd=Either&amp;AcTyp=Any&amp;RpTyp=Either" TargetMode="External" Id="rId386"/><Relationship Type="http://schemas.openxmlformats.org/officeDocument/2006/relationships/hyperlink" Target="file:///\\192.168.11.15\Elmdale-Root\Accounting\pages\CommonAccount.aspx%3fsJump=2150-0016&amp;c.ChartCode=&amp;hAccount=&amp;hAccount2=&amp;DbCrd=Either&amp;AcTyp=Any&amp;RpTyp=Either" TargetMode="External" Id="rId387"/><Relationship Type="http://schemas.openxmlformats.org/officeDocument/2006/relationships/hyperlink" Target="file:///\\192.168.11.15\Elmdale-Root\Accounting\pages\CommonAccount.aspx%3fsJump=2150-0017&amp;c.ChartCode=&amp;hAccount=&amp;hAccount2=&amp;DbCrd=Either&amp;AcTyp=Any&amp;RpTyp=Either" TargetMode="External" Id="rId388"/><Relationship Type="http://schemas.openxmlformats.org/officeDocument/2006/relationships/hyperlink" Target="file:///\\192.168.11.15\Elmdale-Root\Accounting\pages\CommonAccount.aspx%3fsJump=2150-0018&amp;c.ChartCode=&amp;hAccount=&amp;hAccount2=&amp;DbCrd=Either&amp;AcTyp=Any&amp;RpTyp=Either" TargetMode="External" Id="rId389"/><Relationship Type="http://schemas.openxmlformats.org/officeDocument/2006/relationships/hyperlink" Target="file:///\\192.168.11.15\Elmdale-Root\Accounting\pages\CommonAccount.aspx%3fsJump=2150-0019&amp;c.ChartCode=&amp;hAccount=&amp;hAccount2=&amp;DbCrd=Either&amp;AcTyp=Any&amp;RpTyp=Either" TargetMode="External" Id="rId390"/><Relationship Type="http://schemas.openxmlformats.org/officeDocument/2006/relationships/hyperlink" Target="file:///\\192.168.11.15\Elmdale-Root\Accounting\pages\CommonAccount.aspx%3fsJump=2150-0020&amp;c.ChartCode=&amp;hAccount=&amp;hAccount2=&amp;DbCrd=Either&amp;AcTyp=Any&amp;RpTyp=Either" TargetMode="External" Id="rId391"/><Relationship Type="http://schemas.openxmlformats.org/officeDocument/2006/relationships/hyperlink" Target="file:///\\192.168.11.15\Elmdale-Root\Accounting\pages\CommonAccount.aspx%3fsJump=2150-0021&amp;c.ChartCode=&amp;hAccount=&amp;hAccount2=&amp;DbCrd=Either&amp;AcTyp=Any&amp;RpTyp=Either" TargetMode="External" Id="rId392"/><Relationship Type="http://schemas.openxmlformats.org/officeDocument/2006/relationships/hyperlink" Target="file:///\\192.168.11.15\Elmdale-Root\Accounting\pages\CommonAccount.aspx%3fsJump=2150-0022&amp;c.ChartCode=&amp;hAccount=&amp;hAccount2=&amp;DbCrd=Either&amp;AcTyp=Any&amp;RpTyp=Either" TargetMode="External" Id="rId393"/><Relationship Type="http://schemas.openxmlformats.org/officeDocument/2006/relationships/hyperlink" Target="file:///\\192.168.11.15\Elmdale-Root\Accounting\pages\CommonAccount.aspx%3fsJump=2150-0023&amp;c.ChartCode=&amp;hAccount=&amp;hAccount2=&amp;DbCrd=Either&amp;AcTyp=Any&amp;RpTyp=Either" TargetMode="External" Id="rId394"/><Relationship Type="http://schemas.openxmlformats.org/officeDocument/2006/relationships/hyperlink" Target="file:///\\192.168.11.15\Elmdale-Root\Accounting\pages\CommonAccount.aspx%3fsJump=2200-0000&amp;c.ChartCode=&amp;hAccount=&amp;hAccount2=&amp;DbCrd=Either&amp;AcTyp=Any&amp;RpTyp=Either" TargetMode="External" Id="rId395"/><Relationship Type="http://schemas.openxmlformats.org/officeDocument/2006/relationships/hyperlink" Target="file:///\\192.168.11.15\Elmdale-Root\Accounting\pages\CommonAccount.aspx%3fsJump=2200-1000&amp;c.ChartCode=&amp;hAccount=&amp;hAccount2=&amp;DbCrd=Either&amp;AcTyp=Any&amp;RpTyp=Either" TargetMode="External" Id="rId396"/><Relationship Type="http://schemas.openxmlformats.org/officeDocument/2006/relationships/hyperlink" Target="file:///\\192.168.11.15\Elmdale-Root\Accounting\pages\CommonAccount.aspx%3fsJump=2201-0000&amp;c.ChartCode=&amp;hAccount=&amp;hAccount2=&amp;DbCrd=Either&amp;AcTyp=Any&amp;RpTyp=Either" TargetMode="External" Id="rId397"/><Relationship Type="http://schemas.openxmlformats.org/officeDocument/2006/relationships/hyperlink" Target="file:///\\192.168.11.15\Elmdale-Root\Accounting\pages\CommonAccount.aspx%3fsJump=2209-0000&amp;c.ChartCode=&amp;hAccount=&amp;hAccount2=&amp;DbCrd=Either&amp;AcTyp=Any&amp;RpTyp=Either" TargetMode="External" Id="rId398"/><Relationship Type="http://schemas.openxmlformats.org/officeDocument/2006/relationships/hyperlink" Target="file:///\\192.168.11.15\Elmdale-Root\Accounting\pages\CommonAccount.aspx%3fsJump=2210-0000&amp;c.ChartCode=&amp;hAccount=&amp;hAccount2=&amp;DbCrd=Either&amp;AcTyp=Any&amp;RpTyp=Either" TargetMode="External" Id="rId399"/><Relationship Type="http://schemas.openxmlformats.org/officeDocument/2006/relationships/hyperlink" Target="file:///\\192.168.11.15\Elmdale-Root\Accounting\pages\CommonAccount.aspx%3fsJump=2220-0000&amp;c.ChartCode=&amp;hAccount=&amp;hAccount2=&amp;DbCrd=Either&amp;AcTyp=Any&amp;RpTyp=Either" TargetMode="External" Id="rId400"/><Relationship Type="http://schemas.openxmlformats.org/officeDocument/2006/relationships/hyperlink" Target="file:///\\192.168.11.15\Elmdale-Root\Accounting\pages\CommonAccount.aspx%3fsJump=2230-0000&amp;c.ChartCode=&amp;hAccount=&amp;hAccount2=&amp;DbCrd=Either&amp;AcTyp=Any&amp;RpTyp=Either" TargetMode="External" Id="rId401"/><Relationship Type="http://schemas.openxmlformats.org/officeDocument/2006/relationships/hyperlink" Target="file:///\\192.168.11.15\Elmdale-Root\Accounting\pages\CommonAccount.aspx%3fsJump=2235-0000&amp;c.ChartCode=&amp;hAccount=&amp;hAccount2=&amp;DbCrd=Either&amp;AcTyp=Any&amp;RpTyp=Either" TargetMode="External" Id="rId402"/><Relationship Type="http://schemas.openxmlformats.org/officeDocument/2006/relationships/hyperlink" Target="file:///\\192.168.11.15\Elmdale-Root\Accounting\pages\CommonAccount.aspx%3fsJump=2240-0000&amp;c.ChartCode=&amp;hAccount=&amp;hAccount2=&amp;DbCrd=Either&amp;AcTyp=Any&amp;RpTyp=Either" TargetMode="External" Id="rId403"/><Relationship Type="http://schemas.openxmlformats.org/officeDocument/2006/relationships/hyperlink" Target="file:///\\192.168.11.15\Elmdale-Root\Accounting\pages\CommonAccount.aspx%3fsJump=2245-0000&amp;c.ChartCode=&amp;hAccount=&amp;hAccount2=&amp;DbCrd=Either&amp;AcTyp=Any&amp;RpTyp=Either" TargetMode="External" Id="rId404"/><Relationship Type="http://schemas.openxmlformats.org/officeDocument/2006/relationships/hyperlink" Target="file:///\\192.168.11.15\Elmdale-Root\Accounting\pages\CommonAccount.aspx%3fsJump=2250-0000&amp;c.ChartCode=&amp;hAccount=&amp;hAccount2=&amp;DbCrd=Either&amp;AcTyp=Any&amp;RpTyp=Either" TargetMode="External" Id="rId405"/><Relationship Type="http://schemas.openxmlformats.org/officeDocument/2006/relationships/hyperlink" Target="file:///\\192.168.11.15\Elmdale-Root\Accounting\pages\CommonAccount.aspx%3fsJump=2250-0010&amp;c.ChartCode=&amp;hAccount=&amp;hAccount2=&amp;DbCrd=Either&amp;AcTyp=Any&amp;RpTyp=Either" TargetMode="External" Id="rId406"/><Relationship Type="http://schemas.openxmlformats.org/officeDocument/2006/relationships/hyperlink" Target="file:///\\192.168.11.15\Elmdale-Root\Accounting\pages\CommonAccount.aspx%3fsJump=2255-0000&amp;c.ChartCode=&amp;hAccount=&amp;hAccount2=&amp;DbCrd=Either&amp;AcTyp=Any&amp;RpTyp=Either" TargetMode="External" Id="rId407"/><Relationship Type="http://schemas.openxmlformats.org/officeDocument/2006/relationships/hyperlink" Target="file:///\\192.168.11.15\Elmdale-Root\Accounting\pages\CommonAccount.aspx%3fsJump=2256-0000&amp;c.ChartCode=&amp;hAccount=&amp;hAccount2=&amp;DbCrd=Either&amp;AcTyp=Any&amp;RpTyp=Either" TargetMode="External" Id="rId408"/><Relationship Type="http://schemas.openxmlformats.org/officeDocument/2006/relationships/hyperlink" Target="file:///\\192.168.11.15\Elmdale-Root\Accounting\pages\CommonAccount.aspx%3fsJump=2257-0000&amp;c.ChartCode=&amp;hAccount=&amp;hAccount2=&amp;DbCrd=Either&amp;AcTyp=Any&amp;RpTyp=Either" TargetMode="External" Id="rId409"/><Relationship Type="http://schemas.openxmlformats.org/officeDocument/2006/relationships/hyperlink" Target="file:///\\192.168.11.15\Elmdale-Root\Accounting\pages\CommonAccount.aspx%3fsJump=2260-0000&amp;c.ChartCode=&amp;hAccount=&amp;hAccount2=&amp;DbCrd=Either&amp;AcTyp=Any&amp;RpTyp=Either" TargetMode="External" Id="rId410"/><Relationship Type="http://schemas.openxmlformats.org/officeDocument/2006/relationships/hyperlink" Target="file:///\\192.168.11.15\Elmdale-Root\Accounting\pages\CommonAccount.aspx%3fsJump=2270-0000&amp;c.ChartCode=&amp;hAccount=&amp;hAccount2=&amp;DbCrd=Either&amp;AcTyp=Any&amp;RpTyp=Either" TargetMode="External" Id="rId411"/><Relationship Type="http://schemas.openxmlformats.org/officeDocument/2006/relationships/hyperlink" Target="file:///\\192.168.11.15\Elmdale-Root\Accounting\pages\CommonAccount.aspx%3fsJump=2270-0010&amp;c.ChartCode=&amp;hAccount=&amp;hAccount2=&amp;DbCrd=Either&amp;AcTyp=Any&amp;RpTyp=Either" TargetMode="External" Id="rId412"/><Relationship Type="http://schemas.openxmlformats.org/officeDocument/2006/relationships/hyperlink" Target="file:///\\192.168.11.15\Elmdale-Root\Accounting\pages\CommonAccount.aspx%3fsJump=2280-0000&amp;c.ChartCode=&amp;hAccount=&amp;hAccount2=&amp;DbCrd=Either&amp;AcTyp=Any&amp;RpTyp=Either" TargetMode="External" Id="rId413"/><Relationship Type="http://schemas.openxmlformats.org/officeDocument/2006/relationships/hyperlink" Target="file:///\\192.168.11.15\Elmdale-Root\Accounting\pages\CommonAccount.aspx%3fsJump=2290-0000&amp;c.ChartCode=&amp;hAccount=&amp;hAccount2=&amp;DbCrd=Either&amp;AcTyp=Any&amp;RpTyp=Either" TargetMode="External" Id="rId414"/><Relationship Type="http://schemas.openxmlformats.org/officeDocument/2006/relationships/hyperlink" Target="file:///\\192.168.11.15\Elmdale-Root\Accounting\pages\CommonAccount.aspx%3fsJump=2300-0000&amp;c.ChartCode=&amp;hAccount=&amp;hAccount2=&amp;DbCrd=Either&amp;AcTyp=Any&amp;RpTyp=Either" TargetMode="External" Id="rId415"/><Relationship Type="http://schemas.openxmlformats.org/officeDocument/2006/relationships/hyperlink" Target="file:///\\192.168.11.15\Elmdale-Root\Accounting\pages\CommonAccount.aspx%3fsJump=2305-0000&amp;c.ChartCode=&amp;hAccount=&amp;hAccount2=&amp;DbCrd=Either&amp;AcTyp=Any&amp;RpTyp=Either" TargetMode="External" Id="rId416"/><Relationship Type="http://schemas.openxmlformats.org/officeDocument/2006/relationships/hyperlink" Target="file:///\\192.168.11.15\Elmdale-Root\Accounting\pages\CommonAccount.aspx%3fsJump=2305-0403&amp;c.ChartCode=&amp;hAccount=&amp;hAccount2=&amp;DbCrd=Either&amp;AcTyp=Any&amp;RpTyp=Either" TargetMode="External" Id="rId417"/><Relationship Type="http://schemas.openxmlformats.org/officeDocument/2006/relationships/hyperlink" Target="file:///\\192.168.11.15\Elmdale-Root\Accounting\pages\CommonAccount.aspx%3fsJump=2305-0435&amp;c.ChartCode=&amp;hAccount=&amp;hAccount2=&amp;DbCrd=Either&amp;AcTyp=Any&amp;RpTyp=Either" TargetMode="External" Id="rId418"/><Relationship Type="http://schemas.openxmlformats.org/officeDocument/2006/relationships/hyperlink" Target="file:///\\192.168.11.15\Elmdale-Root\Accounting\pages\CommonAccount.aspx%3fsJump=2305-0451&amp;c.ChartCode=&amp;hAccount=&amp;hAccount2=&amp;DbCrd=Either&amp;AcTyp=Any&amp;RpTyp=Either" TargetMode="External" Id="rId419"/><Relationship Type="http://schemas.openxmlformats.org/officeDocument/2006/relationships/hyperlink" Target="file:///\\192.168.11.15\Elmdale-Root\Accounting\pages\CommonAccount.aspx%3fsJump=2305-0562&amp;c.ChartCode=&amp;hAccount=&amp;hAccount2=&amp;DbCrd=Either&amp;AcTyp=Any&amp;RpTyp=Either" TargetMode="External" Id="rId420"/><Relationship Type="http://schemas.openxmlformats.org/officeDocument/2006/relationships/hyperlink" Target="file:///\\192.168.11.15\Elmdale-Root\Accounting\pages\CommonAccount.aspx%3fsJump=2305-0930&amp;c.ChartCode=&amp;hAccount=&amp;hAccount2=&amp;DbCrd=Either&amp;AcTyp=Any&amp;RpTyp=Either" TargetMode="External" Id="rId421"/><Relationship Type="http://schemas.openxmlformats.org/officeDocument/2006/relationships/hyperlink" Target="file:///\\192.168.11.15\Elmdale-Root\Accounting\pages\CommonAccount.aspx%3fsJump=2305-1001&amp;c.ChartCode=&amp;hAccount=&amp;hAccount2=&amp;DbCrd=Either&amp;AcTyp=Any&amp;RpTyp=Either" TargetMode="External" Id="rId422"/><Relationship Type="http://schemas.openxmlformats.org/officeDocument/2006/relationships/hyperlink" Target="file:///\\192.168.11.15\Elmdale-Root\Accounting\pages\CommonAccount.aspx%3fsJump=2305-1307&amp;c.ChartCode=&amp;hAccount=&amp;hAccount2=&amp;DbCrd=Either&amp;AcTyp=Any&amp;RpTyp=Either" TargetMode="External" Id="rId423"/><Relationship Type="http://schemas.openxmlformats.org/officeDocument/2006/relationships/hyperlink" Target="file:///\\192.168.11.15\Elmdale-Root\Accounting\pages\CommonAccount.aspx%3fsJump=2305-1401&amp;c.ChartCode=&amp;hAccount=&amp;hAccount2=&amp;DbCrd=Either&amp;AcTyp=Any&amp;RpTyp=Either" TargetMode="External" Id="rId424"/><Relationship Type="http://schemas.openxmlformats.org/officeDocument/2006/relationships/hyperlink" Target="file:///\\192.168.11.15\Elmdale-Root\Accounting\pages\CommonAccount.aspx%3fsJump=2305-1602&amp;c.ChartCode=&amp;hAccount=&amp;hAccount2=&amp;DbCrd=Either&amp;AcTyp=Any&amp;RpTyp=Either" TargetMode="External" Id="rId425"/><Relationship Type="http://schemas.openxmlformats.org/officeDocument/2006/relationships/hyperlink" Target="file:///\\192.168.11.15\Elmdale-Root\Accounting\pages\CommonAccount.aspx%3fsJump=2305-1747&amp;c.ChartCode=&amp;hAccount=&amp;hAccount2=&amp;DbCrd=Either&amp;AcTyp=Any&amp;RpTyp=Either" TargetMode="External" Id="rId426"/><Relationship Type="http://schemas.openxmlformats.org/officeDocument/2006/relationships/hyperlink" Target="file:///\\192.168.11.15\Elmdale-Root\Accounting\pages\CommonAccount.aspx%3fsJump=2305-4121&amp;c.ChartCode=&amp;hAccount=&amp;hAccount2=&amp;DbCrd=Either&amp;AcTyp=Any&amp;RpTyp=Either" TargetMode="External" Id="rId427"/><Relationship Type="http://schemas.openxmlformats.org/officeDocument/2006/relationships/hyperlink" Target="file:///\\192.168.11.15\Elmdale-Root\Accounting\pages\CommonAccount.aspx%3fsJump=2305-4335&amp;c.ChartCode=&amp;hAccount=&amp;hAccount2=&amp;DbCrd=Either&amp;AcTyp=Any&amp;RpTyp=Either" TargetMode="External" Id="rId428"/><Relationship Type="http://schemas.openxmlformats.org/officeDocument/2006/relationships/hyperlink" Target="file:///\\192.168.11.15\Elmdale-Root\Accounting\pages\CommonAccount.aspx%3fsJump=2305-5025&amp;c.ChartCode=&amp;hAccount=&amp;hAccount2=&amp;DbCrd=Either&amp;AcTyp=Any&amp;RpTyp=Either" TargetMode="External" Id="rId429"/><Relationship Type="http://schemas.openxmlformats.org/officeDocument/2006/relationships/hyperlink" Target="file:///\\192.168.11.15\Elmdale-Root\Accounting\pages\CommonAccount.aspx%3fsJump=2305-5100&amp;c.ChartCode=&amp;hAccount=&amp;hAccount2=&amp;DbCrd=Either&amp;AcTyp=Any&amp;RpTyp=Either" TargetMode="External" Id="rId430"/><Relationship Type="http://schemas.openxmlformats.org/officeDocument/2006/relationships/hyperlink" Target="file:///\\192.168.11.15\Elmdale-Root\Accounting\pages\CommonAccount.aspx%3fsJump=2305-5301&amp;c.ChartCode=&amp;hAccount=&amp;hAccount2=&amp;DbCrd=Either&amp;AcTyp=Any&amp;RpTyp=Either" TargetMode="External" Id="rId431"/><Relationship Type="http://schemas.openxmlformats.org/officeDocument/2006/relationships/hyperlink" Target="file:///\\192.168.11.15\Elmdale-Root\Accounting\pages\CommonAccount.aspx%3fsJump=2305-5408&amp;c.ChartCode=&amp;hAccount=&amp;hAccount2=&amp;DbCrd=Either&amp;AcTyp=Any&amp;RpTyp=Either" TargetMode="External" Id="rId432"/><Relationship Type="http://schemas.openxmlformats.org/officeDocument/2006/relationships/hyperlink" Target="file:///\\192.168.11.15\Elmdale-Root\Accounting\pages\CommonAccount.aspx%3fsJump=2305-5601&amp;c.ChartCode=&amp;hAccount=&amp;hAccount2=&amp;DbCrd=Either&amp;AcTyp=Any&amp;RpTyp=Either" TargetMode="External" Id="rId433"/><Relationship Type="http://schemas.openxmlformats.org/officeDocument/2006/relationships/hyperlink" Target="file:///\\192.168.11.15\Elmdale-Root\Accounting\pages\CommonAccount.aspx%3fsJump=2305-5620&amp;c.ChartCode=&amp;hAccount=&amp;hAccount2=&amp;DbCrd=Either&amp;AcTyp=Any&amp;RpTyp=Either" TargetMode="External" Id="rId434"/><Relationship Type="http://schemas.openxmlformats.org/officeDocument/2006/relationships/hyperlink" Target="file:///\\192.168.11.15\Elmdale-Root\Accounting\pages\CommonAccount.aspx%3fsJump=2305-6250&amp;c.ChartCode=&amp;hAccount=&amp;hAccount2=&amp;DbCrd=Either&amp;AcTyp=Any&amp;RpTyp=Either" TargetMode="External" Id="rId435"/><Relationship Type="http://schemas.openxmlformats.org/officeDocument/2006/relationships/hyperlink" Target="file:///\\192.168.11.15\Elmdale-Root\Accounting\pages\CommonAccount.aspx%3fsJump=2305-6333&amp;c.ChartCode=&amp;hAccount=&amp;hAccount2=&amp;DbCrd=Either&amp;AcTyp=Any&amp;RpTyp=Either" TargetMode="External" Id="rId436"/><Relationship Type="http://schemas.openxmlformats.org/officeDocument/2006/relationships/hyperlink" Target="file:///\\192.168.11.15\Elmdale-Root\Accounting\pages\CommonAccount.aspx%3fsJump=2305-6401&amp;c.ChartCode=&amp;hAccount=&amp;hAccount2=&amp;DbCrd=Either&amp;AcTyp=Any&amp;RpTyp=Either" TargetMode="External" Id="rId437"/><Relationship Type="http://schemas.openxmlformats.org/officeDocument/2006/relationships/hyperlink" Target="file:///\\192.168.11.15\Elmdale-Root\Accounting\pages\CommonAccount.aspx%3fsJump=2305-6818&amp;c.ChartCode=&amp;hAccount=&amp;hAccount2=&amp;DbCrd=Either&amp;AcTyp=Any&amp;RpTyp=Either" TargetMode="External" Id="rId438"/><Relationship Type="http://schemas.openxmlformats.org/officeDocument/2006/relationships/hyperlink" Target="file:///\\192.168.11.15\Elmdale-Root\Accounting\pages\CommonAccount.aspx%3fsJump=2305-7440&amp;c.ChartCode=&amp;hAccount=&amp;hAccount2=&amp;DbCrd=Either&amp;AcTyp=Any&amp;RpTyp=Either" TargetMode="External" Id="rId439"/><Relationship Type="http://schemas.openxmlformats.org/officeDocument/2006/relationships/hyperlink" Target="file:///\\192.168.11.15\Elmdale-Root\Accounting\pages\CommonAccount.aspx%3fsJump=2305-9446&amp;c.ChartCode=&amp;hAccount=&amp;hAccount2=&amp;DbCrd=Either&amp;AcTyp=Any&amp;RpTyp=Either" TargetMode="External" Id="rId440"/><Relationship Type="http://schemas.openxmlformats.org/officeDocument/2006/relationships/hyperlink" Target="file:///\\192.168.11.15\Elmdale-Root\Accounting\pages\CommonAccount.aspx%3fsJump=2305-9523&amp;c.ChartCode=&amp;hAccount=&amp;hAccount2=&amp;DbCrd=Either&amp;AcTyp=Any&amp;RpTyp=Either" TargetMode="External" Id="rId441"/><Relationship Type="http://schemas.openxmlformats.org/officeDocument/2006/relationships/hyperlink" Target="file:///\\192.168.11.15\Elmdale-Root\Accounting\pages\CommonAccount.aspx%3fsJump=2305-9530&amp;c.ChartCode=&amp;hAccount=&amp;hAccount2=&amp;DbCrd=Either&amp;AcTyp=Any&amp;RpTyp=Either" TargetMode="External" Id="rId442"/><Relationship Type="http://schemas.openxmlformats.org/officeDocument/2006/relationships/hyperlink" Target="file:///\\192.168.11.15\Elmdale-Root\Accounting\pages\CommonAccount.aspx%3fsJump=2305-9621&amp;c.ChartCode=&amp;hAccount=&amp;hAccount2=&amp;DbCrd=Either&amp;AcTyp=Any&amp;RpTyp=Either" TargetMode="External" Id="rId443"/><Relationship Type="http://schemas.openxmlformats.org/officeDocument/2006/relationships/hyperlink" Target="file:///\\192.168.11.15\Elmdale-Root\Accounting\pages\CommonAccount.aspx%3fsJump=2309-0000&amp;c.ChartCode=&amp;hAccount=&amp;hAccount2=&amp;DbCrd=Either&amp;AcTyp=Any&amp;RpTyp=Either" TargetMode="External" Id="rId444"/><Relationship Type="http://schemas.openxmlformats.org/officeDocument/2006/relationships/hyperlink" Target="file:///\\192.168.11.15\Elmdale-Root\Accounting\pages\CommonAccount.aspx%3fsJump=2310-0000&amp;c.ChartCode=&amp;hAccount=&amp;hAccount2=&amp;DbCrd=Either&amp;AcTyp=Any&amp;RpTyp=Either" TargetMode="External" Id="rId445"/><Relationship Type="http://schemas.openxmlformats.org/officeDocument/2006/relationships/hyperlink" Target="file:///\\192.168.11.15\Elmdale-Root\Accounting\pages\CommonAccount.aspx%3fsJump=2310-0001&amp;c.ChartCode=&amp;hAccount=&amp;hAccount2=&amp;DbCrd=Either&amp;AcTyp=Any&amp;RpTyp=Either" TargetMode="External" Id="rId446"/><Relationship Type="http://schemas.openxmlformats.org/officeDocument/2006/relationships/hyperlink" Target="file:///\\192.168.11.15\Elmdale-Root\Accounting\pages\CommonAccount.aspx%3fsJump=2410-0000&amp;c.ChartCode=&amp;hAccount=&amp;hAccount2=&amp;DbCrd=Either&amp;AcTyp=Any&amp;RpTyp=Either" TargetMode="External" Id="rId447"/><Relationship Type="http://schemas.openxmlformats.org/officeDocument/2006/relationships/hyperlink" Target="file:///\\192.168.11.15\Elmdale-Root\Accounting\pages\CommonAccount.aspx%3fsJump=2420-0000&amp;c.ChartCode=&amp;hAccount=&amp;hAccount2=&amp;DbCrd=Either&amp;AcTyp=Any&amp;RpTyp=Either" TargetMode="External" Id="rId448"/><Relationship Type="http://schemas.openxmlformats.org/officeDocument/2006/relationships/hyperlink" Target="file:///\\192.168.11.15\Elmdale-Root\Accounting\pages\CommonAccount.aspx%3fsJump=2430-0000&amp;c.ChartCode=&amp;hAccount=&amp;hAccount2=&amp;DbCrd=Either&amp;AcTyp=Any&amp;RpTyp=Either" TargetMode="External" Id="rId449"/><Relationship Type="http://schemas.openxmlformats.org/officeDocument/2006/relationships/hyperlink" Target="file:///\\192.168.11.15\Elmdale-Root\Accounting\pages\CommonAccount.aspx%3fsJump=2431-0000&amp;c.ChartCode=&amp;hAccount=&amp;hAccount2=&amp;DbCrd=Either&amp;AcTyp=Any&amp;RpTyp=Either" TargetMode="External" Id="rId450"/><Relationship Type="http://schemas.openxmlformats.org/officeDocument/2006/relationships/hyperlink" Target="file:///\\192.168.11.15\Elmdale-Root\Accounting\pages\CommonAccount.aspx%3fsJump=2440-0000&amp;c.ChartCode=&amp;hAccount=&amp;hAccount2=&amp;DbCrd=Either&amp;AcTyp=Any&amp;RpTyp=Either" TargetMode="External" Id="rId451"/><Relationship Type="http://schemas.openxmlformats.org/officeDocument/2006/relationships/hyperlink" Target="file:///\\192.168.11.15\Elmdale-Root\Accounting\pages\CommonAccount.aspx%3fsJump=2450-0000&amp;c.ChartCode=&amp;hAccount=&amp;hAccount2=&amp;DbCrd=Either&amp;AcTyp=Any&amp;RpTyp=Either" TargetMode="External" Id="rId452"/><Relationship Type="http://schemas.openxmlformats.org/officeDocument/2006/relationships/hyperlink" Target="file:///\\192.168.11.15\Elmdale-Root\Accounting\pages\CommonAccount.aspx%3fsJump=2460-0000&amp;c.ChartCode=&amp;hAccount=&amp;hAccount2=&amp;DbCrd=Either&amp;AcTyp=Any&amp;RpTyp=Either" TargetMode="External" Id="rId453"/><Relationship Type="http://schemas.openxmlformats.org/officeDocument/2006/relationships/hyperlink" Target="file:///\\192.168.11.15\Elmdale-Root\Accounting\pages\CommonAccount.aspx%3fsJump=2470-0000&amp;c.ChartCode=&amp;hAccount=&amp;hAccount2=&amp;DbCrd=Either&amp;AcTyp=Any&amp;RpTyp=Either" TargetMode="External" Id="rId454"/><Relationship Type="http://schemas.openxmlformats.org/officeDocument/2006/relationships/hyperlink" Target="file:///\\192.168.11.15\Elmdale-Root\Accounting\pages\CommonAccount.aspx%3fsJump=2490-0000&amp;c.ChartCode=&amp;hAccount=&amp;hAccount2=&amp;DbCrd=Either&amp;AcTyp=Any&amp;RpTyp=Either" TargetMode="External" Id="rId455"/><Relationship Type="http://schemas.openxmlformats.org/officeDocument/2006/relationships/hyperlink" Target="file:///\\192.168.11.15\Elmdale-Root\Accounting\pages\CommonAccount.aspx%3fsJump=2609-0000&amp;c.ChartCode=&amp;hAccount=&amp;hAccount2=&amp;DbCrd=Either&amp;AcTyp=Any&amp;RpTyp=Either" TargetMode="External" Id="rId456"/><Relationship Type="http://schemas.openxmlformats.org/officeDocument/2006/relationships/hyperlink" Target="file:///\\192.168.11.15\Elmdale-Root\Accounting\pages\CommonAccount.aspx%3fsJump=2609-0001&amp;c.ChartCode=&amp;hAccount=&amp;hAccount2=&amp;DbCrd=Either&amp;AcTyp=Any&amp;RpTyp=Either" TargetMode="External" Id="rId457"/><Relationship Type="http://schemas.openxmlformats.org/officeDocument/2006/relationships/hyperlink" Target="file:///\\192.168.11.15\Elmdale-Root\Accounting\pages\CommonAccount.aspx%3fsJump=2609-0002&amp;c.ChartCode=&amp;hAccount=&amp;hAccount2=&amp;DbCrd=Either&amp;AcTyp=Any&amp;RpTyp=Either" TargetMode="External" Id="rId458"/><Relationship Type="http://schemas.openxmlformats.org/officeDocument/2006/relationships/hyperlink" Target="file:///\\192.168.11.15\Elmdale-Root\Accounting\pages\CommonAccount.aspx%3fsJump=2610-0000&amp;c.ChartCode=&amp;hAccount=&amp;hAccount2=&amp;DbCrd=Either&amp;AcTyp=Any&amp;RpTyp=Either" TargetMode="External" Id="rId459"/><Relationship Type="http://schemas.openxmlformats.org/officeDocument/2006/relationships/hyperlink" Target="file:///\\192.168.11.15\Elmdale-Root\Accounting\pages\CommonAccount.aspx%3fsJump=2620-0000&amp;c.ChartCode=&amp;hAccount=&amp;hAccount2=&amp;DbCrd=Either&amp;AcTyp=Any&amp;RpTyp=Either" TargetMode="External" Id="rId460"/><Relationship Type="http://schemas.openxmlformats.org/officeDocument/2006/relationships/hyperlink" Target="file:///\\192.168.11.15\Elmdale-Root\Accounting\pages\CommonAccount.aspx%3fsJump=2630-0000&amp;c.ChartCode=&amp;hAccount=&amp;hAccount2=&amp;DbCrd=Either&amp;AcTyp=Any&amp;RpTyp=Either" TargetMode="External" Id="rId461"/><Relationship Type="http://schemas.openxmlformats.org/officeDocument/2006/relationships/hyperlink" Target="file:///\\192.168.11.15\Elmdale-Root\Accounting\pages\CommonAccount.aspx%3fsJump=2640-0000&amp;c.ChartCode=&amp;hAccount=&amp;hAccount2=&amp;DbCrd=Either&amp;AcTyp=Any&amp;RpTyp=Either" TargetMode="External" Id="rId462"/><Relationship Type="http://schemas.openxmlformats.org/officeDocument/2006/relationships/hyperlink" Target="file:///\\192.168.11.15\Elmdale-Root\Accounting\pages\CommonAccount.aspx%3fsJump=2640-0998&amp;c.ChartCode=&amp;hAccount=&amp;hAccount2=&amp;DbCrd=Either&amp;AcTyp=Any&amp;RpTyp=Either" TargetMode="External" Id="rId463"/><Relationship Type="http://schemas.openxmlformats.org/officeDocument/2006/relationships/hyperlink" Target="file:///\\192.168.11.15\Elmdale-Root\Accounting\pages\CommonAccount.aspx%3fsJump=2640-0999&amp;c.ChartCode=&amp;hAccount=&amp;hAccount2=&amp;DbCrd=Either&amp;AcTyp=Any&amp;RpTyp=Either" TargetMode="External" Id="rId464"/><Relationship Type="http://schemas.openxmlformats.org/officeDocument/2006/relationships/hyperlink" Target="file:///\\192.168.11.15\Elmdale-Root\Accounting\pages\CommonAccount.aspx%3fsJump=2641-0000&amp;c.ChartCode=&amp;hAccount=&amp;hAccount2=&amp;DbCrd=Either&amp;AcTyp=Any&amp;RpTyp=Either" TargetMode="External" Id="rId465"/><Relationship Type="http://schemas.openxmlformats.org/officeDocument/2006/relationships/hyperlink" Target="file:///\\192.168.11.15\Elmdale-Root\Accounting\pages\CommonAccount.aspx%3fsJump=2641-1000&amp;c.ChartCode=&amp;hAccount=&amp;hAccount2=&amp;DbCrd=Either&amp;AcTyp=Any&amp;RpTyp=Either" TargetMode="External" Id="rId466"/><Relationship Type="http://schemas.openxmlformats.org/officeDocument/2006/relationships/hyperlink" Target="file:///\\192.168.11.15\Elmdale-Root\Accounting\pages\CommonAccount.aspx%3fsJump=2990-0000&amp;c.ChartCode=&amp;hAccount=&amp;hAccount2=&amp;DbCrd=Either&amp;AcTyp=Any&amp;RpTyp=Either" TargetMode="External" Id="rId467"/><Relationship Type="http://schemas.openxmlformats.org/officeDocument/2006/relationships/hyperlink" Target="file:///\\192.168.11.15\Elmdale-Root\Accounting\pages\CommonAccount.aspx%3fsJump=3000-0000&amp;c.ChartCode=&amp;hAccount=&amp;hAccount2=&amp;DbCrd=Either&amp;AcTyp=Any&amp;RpTyp=Either" TargetMode="External" Id="rId468"/><Relationship Type="http://schemas.openxmlformats.org/officeDocument/2006/relationships/hyperlink" Target="file:///\\192.168.11.15\Elmdale-Root\Accounting\pages\CommonAccount.aspx%3fsJump=3000-1000&amp;c.ChartCode=&amp;hAccount=&amp;hAccount2=&amp;DbCrd=Either&amp;AcTyp=Any&amp;RpTyp=Either" TargetMode="External" Id="rId469"/><Relationship Type="http://schemas.openxmlformats.org/officeDocument/2006/relationships/hyperlink" Target="file:///\\192.168.11.15\Elmdale-Root\Accounting\pages\CommonAccount.aspx%3fsJump=3001-0000&amp;c.ChartCode=&amp;hAccount=&amp;hAccount2=&amp;DbCrd=Either&amp;AcTyp=Any&amp;RpTyp=Either" TargetMode="External" Id="rId470"/><Relationship Type="http://schemas.openxmlformats.org/officeDocument/2006/relationships/hyperlink" Target="file:///\\192.168.11.15\Elmdale-Root\Accounting\pages\CommonAccount.aspx%3fsJump=3002-0000&amp;c.ChartCode=&amp;hAccount=&amp;hAccount2=&amp;DbCrd=Either&amp;AcTyp=Any&amp;RpTyp=Either" TargetMode="External" Id="rId471"/><Relationship Type="http://schemas.openxmlformats.org/officeDocument/2006/relationships/hyperlink" Target="file:///\\192.168.11.15\Elmdale-Root\Accounting\pages\CommonAccount.aspx%3fsJump=3003-0000&amp;c.ChartCode=&amp;hAccount=&amp;hAccount2=&amp;DbCrd=Either&amp;AcTyp=Any&amp;RpTyp=Either" TargetMode="External" Id="rId472"/><Relationship Type="http://schemas.openxmlformats.org/officeDocument/2006/relationships/hyperlink" Target="file:///\\192.168.11.15\Elmdale-Root\Accounting\pages\CommonAccount.aspx%3fsJump=3003-0100&amp;c.ChartCode=&amp;hAccount=&amp;hAccount2=&amp;DbCrd=Either&amp;AcTyp=Any&amp;RpTyp=Either" TargetMode="External" Id="rId473"/><Relationship Type="http://schemas.openxmlformats.org/officeDocument/2006/relationships/hyperlink" Target="file:///\\192.168.11.15\Elmdale-Root\Accounting\pages\CommonAccount.aspx%3fsJump=3003-0111&amp;c.ChartCode=&amp;hAccount=&amp;hAccount2=&amp;DbCrd=Either&amp;AcTyp=Any&amp;RpTyp=Either" TargetMode="External" Id="rId474"/><Relationship Type="http://schemas.openxmlformats.org/officeDocument/2006/relationships/hyperlink" Target="file:///\\192.168.11.15\Elmdale-Root\Accounting\pages\CommonAccount.aspx%3fsJump=3003-0112&amp;c.ChartCode=&amp;hAccount=&amp;hAccount2=&amp;DbCrd=Either&amp;AcTyp=Any&amp;RpTyp=Either" TargetMode="External" Id="rId475"/><Relationship Type="http://schemas.openxmlformats.org/officeDocument/2006/relationships/hyperlink" Target="file:///\\192.168.11.15\Elmdale-Root\Accounting\pages\CommonAccount.aspx%3fsJump=3003-0113&amp;c.ChartCode=&amp;hAccount=&amp;hAccount2=&amp;DbCrd=Either&amp;AcTyp=Any&amp;RpTyp=Either" TargetMode="External" Id="rId476"/><Relationship Type="http://schemas.openxmlformats.org/officeDocument/2006/relationships/hyperlink" Target="file:///\\192.168.11.15\Elmdale-Root\Accounting\pages\CommonAccount.aspx%3fsJump=3003-0114&amp;c.ChartCode=&amp;hAccount=&amp;hAccount2=&amp;DbCrd=Either&amp;AcTyp=Any&amp;RpTyp=Either" TargetMode="External" Id="rId477"/><Relationship Type="http://schemas.openxmlformats.org/officeDocument/2006/relationships/hyperlink" Target="file:///\\192.168.11.15\Elmdale-Root\Accounting\pages\CommonAccount.aspx%3fsJump=3003-0115&amp;c.ChartCode=&amp;hAccount=&amp;hAccount2=&amp;DbCrd=Either&amp;AcTyp=Any&amp;RpTyp=Either" TargetMode="External" Id="rId478"/><Relationship Type="http://schemas.openxmlformats.org/officeDocument/2006/relationships/hyperlink" Target="file:///\\192.168.11.15\Elmdale-Root\Accounting\pages\CommonAccount.aspx%3fsJump=3003-0116&amp;c.ChartCode=&amp;hAccount=&amp;hAccount2=&amp;DbCrd=Either&amp;AcTyp=Any&amp;RpTyp=Either" TargetMode="External" Id="rId479"/><Relationship Type="http://schemas.openxmlformats.org/officeDocument/2006/relationships/hyperlink" Target="file:///\\192.168.11.15\Elmdale-Root\Accounting\pages\CommonAccount.aspx%3fsJump=3003-0117&amp;c.ChartCode=&amp;hAccount=&amp;hAccount2=&amp;DbCrd=Either&amp;AcTyp=Any&amp;RpTyp=Either" TargetMode="External" Id="rId480"/><Relationship Type="http://schemas.openxmlformats.org/officeDocument/2006/relationships/hyperlink" Target="file:///\\192.168.11.15\Elmdale-Root\Accounting\pages\CommonAccount.aspx%3fsJump=3003-1000&amp;c.ChartCode=&amp;hAccount=&amp;hAccount2=&amp;DbCrd=Either&amp;AcTyp=Any&amp;RpTyp=Either" TargetMode="External" Id="rId481"/><Relationship Type="http://schemas.openxmlformats.org/officeDocument/2006/relationships/hyperlink" Target="file:///\\192.168.11.15\Elmdale-Root\Accounting\pages\CommonAccount.aspx%3fsJump=3003-1001&amp;c.ChartCode=&amp;hAccount=&amp;hAccount2=&amp;DbCrd=Either&amp;AcTyp=Any&amp;RpTyp=Either" TargetMode="External" Id="rId482"/><Relationship Type="http://schemas.openxmlformats.org/officeDocument/2006/relationships/hyperlink" Target="file:///\\192.168.11.15\Elmdale-Root\Accounting\pages\CommonAccount.aspx%3fsJump=3003-1002&amp;c.ChartCode=&amp;hAccount=&amp;hAccount2=&amp;DbCrd=Either&amp;AcTyp=Any&amp;RpTyp=Either" TargetMode="External" Id="rId483"/><Relationship Type="http://schemas.openxmlformats.org/officeDocument/2006/relationships/hyperlink" Target="file:///\\192.168.11.15\Elmdale-Root\Accounting\pages\CommonAccount.aspx%3fsJump=3003-1003&amp;c.ChartCode=&amp;hAccount=&amp;hAccount2=&amp;DbCrd=Either&amp;AcTyp=Any&amp;RpTyp=Either" TargetMode="External" Id="rId484"/><Relationship Type="http://schemas.openxmlformats.org/officeDocument/2006/relationships/hyperlink" Target="file:///\\192.168.11.15\Elmdale-Root\Accounting\pages\CommonAccount.aspx%3fsJump=3003-1100&amp;c.ChartCode=&amp;hAccount=&amp;hAccount2=&amp;DbCrd=Either&amp;AcTyp=Any&amp;RpTyp=Either" TargetMode="External" Id="rId485"/><Relationship Type="http://schemas.openxmlformats.org/officeDocument/2006/relationships/hyperlink" Target="file:///\\192.168.11.15\Elmdale-Root\Accounting\pages\CommonAccount.aspx%3fsJump=3003-1101&amp;c.ChartCode=&amp;hAccount=&amp;hAccount2=&amp;DbCrd=Either&amp;AcTyp=Any&amp;RpTyp=Either" TargetMode="External" Id="rId486"/><Relationship Type="http://schemas.openxmlformats.org/officeDocument/2006/relationships/hyperlink" Target="file:///\\192.168.11.15\Elmdale-Root\Accounting\pages\CommonAccount.aspx%3fsJump=3003-1102&amp;c.ChartCode=&amp;hAccount=&amp;hAccount2=&amp;DbCrd=Either&amp;AcTyp=Any&amp;RpTyp=Either" TargetMode="External" Id="rId487"/><Relationship Type="http://schemas.openxmlformats.org/officeDocument/2006/relationships/hyperlink" Target="file:///\\192.168.11.15\Elmdale-Root\Accounting\pages\CommonAccount.aspx%3fsJump=3003-1103&amp;c.ChartCode=&amp;hAccount=&amp;hAccount2=&amp;DbCrd=Either&amp;AcTyp=Any&amp;RpTyp=Either" TargetMode="External" Id="rId488"/><Relationship Type="http://schemas.openxmlformats.org/officeDocument/2006/relationships/hyperlink" Target="file:///\\192.168.11.15\Elmdale-Root\Accounting\pages\CommonAccount.aspx%3fsJump=3003-1200&amp;c.ChartCode=&amp;hAccount=&amp;hAccount2=&amp;DbCrd=Either&amp;AcTyp=Any&amp;RpTyp=Either" TargetMode="External" Id="rId489"/><Relationship Type="http://schemas.openxmlformats.org/officeDocument/2006/relationships/hyperlink" Target="file:///\\192.168.11.15\Elmdale-Root\Accounting\pages\CommonAccount.aspx%3fsJump=3003-1201&amp;c.ChartCode=&amp;hAccount=&amp;hAccount2=&amp;DbCrd=Either&amp;AcTyp=Any&amp;RpTyp=Either" TargetMode="External" Id="rId490"/><Relationship Type="http://schemas.openxmlformats.org/officeDocument/2006/relationships/hyperlink" Target="file:///\\192.168.11.15\Elmdale-Root\Accounting\pages\CommonAccount.aspx%3fsJump=3003-1202&amp;c.ChartCode=&amp;hAccount=&amp;hAccount2=&amp;DbCrd=Either&amp;AcTyp=Any&amp;RpTyp=Either" TargetMode="External" Id="rId491"/><Relationship Type="http://schemas.openxmlformats.org/officeDocument/2006/relationships/hyperlink" Target="file:///\\192.168.11.15\Elmdale-Root\Accounting\pages\CommonAccount.aspx%3fsJump=3003-1203&amp;c.ChartCode=&amp;hAccount=&amp;hAccount2=&amp;DbCrd=Either&amp;AcTyp=Any&amp;RpTyp=Either" TargetMode="External" Id="rId492"/><Relationship Type="http://schemas.openxmlformats.org/officeDocument/2006/relationships/hyperlink" Target="file:///\\192.168.11.15\Elmdale-Root\Accounting\pages\CommonAccount.aspx%3fsJump=3003-1300&amp;c.ChartCode=&amp;hAccount=&amp;hAccount2=&amp;DbCrd=Either&amp;AcTyp=Any&amp;RpTyp=Either" TargetMode="External" Id="rId493"/><Relationship Type="http://schemas.openxmlformats.org/officeDocument/2006/relationships/hyperlink" Target="file:///\\192.168.11.15\Elmdale-Root\Accounting\pages\CommonAccount.aspx%3fsJump=3003-1301&amp;c.ChartCode=&amp;hAccount=&amp;hAccount2=&amp;DbCrd=Either&amp;AcTyp=Any&amp;RpTyp=Either" TargetMode="External" Id="rId494"/><Relationship Type="http://schemas.openxmlformats.org/officeDocument/2006/relationships/hyperlink" Target="file:///\\192.168.11.15\Elmdale-Root\Accounting\pages\CommonAccount.aspx%3fsJump=3003-1302&amp;c.ChartCode=&amp;hAccount=&amp;hAccount2=&amp;DbCrd=Either&amp;AcTyp=Any&amp;RpTyp=Either" TargetMode="External" Id="rId495"/><Relationship Type="http://schemas.openxmlformats.org/officeDocument/2006/relationships/hyperlink" Target="file:///\\192.168.11.15\Elmdale-Root\Accounting\pages\CommonAccount.aspx%3fsJump=3003-1303&amp;c.ChartCode=&amp;hAccount=&amp;hAccount2=&amp;DbCrd=Either&amp;AcTyp=Any&amp;RpTyp=Either" TargetMode="External" Id="rId496"/><Relationship Type="http://schemas.openxmlformats.org/officeDocument/2006/relationships/hyperlink" Target="file:///\\192.168.11.15\Elmdale-Root\Accounting\pages\CommonAccount.aspx%3fsJump=3003-1400&amp;c.ChartCode=&amp;hAccount=&amp;hAccount2=&amp;DbCrd=Either&amp;AcTyp=Any&amp;RpTyp=Either" TargetMode="External" Id="rId497"/><Relationship Type="http://schemas.openxmlformats.org/officeDocument/2006/relationships/hyperlink" Target="file:///\\192.168.11.15\Elmdale-Root\Accounting\pages\CommonAccount.aspx%3fsJump=3003-1401&amp;c.ChartCode=&amp;hAccount=&amp;hAccount2=&amp;DbCrd=Either&amp;AcTyp=Any&amp;RpTyp=Either" TargetMode="External" Id="rId498"/><Relationship Type="http://schemas.openxmlformats.org/officeDocument/2006/relationships/hyperlink" Target="file:///\\192.168.11.15\Elmdale-Root\Accounting\pages\CommonAccount.aspx%3fsJump=3003-1402&amp;c.ChartCode=&amp;hAccount=&amp;hAccount2=&amp;DbCrd=Either&amp;AcTyp=Any&amp;RpTyp=Either" TargetMode="External" Id="rId499"/><Relationship Type="http://schemas.openxmlformats.org/officeDocument/2006/relationships/hyperlink" Target="file:///\\192.168.11.15\Elmdale-Root\Accounting\pages\CommonAccount.aspx%3fsJump=3003-1403&amp;c.ChartCode=&amp;hAccount=&amp;hAccount2=&amp;DbCrd=Either&amp;AcTyp=Any&amp;RpTyp=Either" TargetMode="External" Id="rId500"/><Relationship Type="http://schemas.openxmlformats.org/officeDocument/2006/relationships/hyperlink" Target="file:///\\192.168.11.15\Elmdale-Root\Accounting\pages\CommonAccount.aspx%3fsJump=3003-1500&amp;c.ChartCode=&amp;hAccount=&amp;hAccount2=&amp;DbCrd=Either&amp;AcTyp=Any&amp;RpTyp=Either" TargetMode="External" Id="rId501"/><Relationship Type="http://schemas.openxmlformats.org/officeDocument/2006/relationships/hyperlink" Target="file:///\\192.168.11.15\Elmdale-Root\Accounting\pages\CommonAccount.aspx%3fsJump=3003-1501&amp;c.ChartCode=&amp;hAccount=&amp;hAccount2=&amp;DbCrd=Either&amp;AcTyp=Any&amp;RpTyp=Either" TargetMode="External" Id="rId502"/><Relationship Type="http://schemas.openxmlformats.org/officeDocument/2006/relationships/hyperlink" Target="file:///\\192.168.11.15\Elmdale-Root\Accounting\pages\CommonAccount.aspx%3fsJump=3003-1502&amp;c.ChartCode=&amp;hAccount=&amp;hAccount2=&amp;DbCrd=Either&amp;AcTyp=Any&amp;RpTyp=Either" TargetMode="External" Id="rId503"/><Relationship Type="http://schemas.openxmlformats.org/officeDocument/2006/relationships/hyperlink" Target="file:///\\192.168.11.15\Elmdale-Root\Accounting\pages\CommonAccount.aspx%3fsJump=3003-1503&amp;c.ChartCode=&amp;hAccount=&amp;hAccount2=&amp;DbCrd=Either&amp;AcTyp=Any&amp;RpTyp=Either" TargetMode="External" Id="rId504"/><Relationship Type="http://schemas.openxmlformats.org/officeDocument/2006/relationships/hyperlink" Target="file:///\\192.168.11.15\Elmdale-Root\Accounting\pages\CommonAccount.aspx%3fsJump=3003-1600&amp;c.ChartCode=&amp;hAccount=&amp;hAccount2=&amp;DbCrd=Either&amp;AcTyp=Any&amp;RpTyp=Either" TargetMode="External" Id="rId505"/><Relationship Type="http://schemas.openxmlformats.org/officeDocument/2006/relationships/hyperlink" Target="file:///\\192.168.11.15\Elmdale-Root\Accounting\pages\CommonAccount.aspx%3fsJump=3003-1601&amp;c.ChartCode=&amp;hAccount=&amp;hAccount2=&amp;DbCrd=Either&amp;AcTyp=Any&amp;RpTyp=Either" TargetMode="External" Id="rId506"/><Relationship Type="http://schemas.openxmlformats.org/officeDocument/2006/relationships/hyperlink" Target="file:///\\192.168.11.15\Elmdale-Root\Accounting\pages\CommonAccount.aspx%3fsJump=3003-1602&amp;c.ChartCode=&amp;hAccount=&amp;hAccount2=&amp;DbCrd=Either&amp;AcTyp=Any&amp;RpTyp=Either" TargetMode="External" Id="rId507"/><Relationship Type="http://schemas.openxmlformats.org/officeDocument/2006/relationships/hyperlink" Target="file:///\\192.168.11.15\Elmdale-Root\Accounting\pages\CommonAccount.aspx%3fsJump=3003-1603&amp;c.ChartCode=&amp;hAccount=&amp;hAccount2=&amp;DbCrd=Either&amp;AcTyp=Any&amp;RpTyp=Either" TargetMode="External" Id="rId508"/><Relationship Type="http://schemas.openxmlformats.org/officeDocument/2006/relationships/hyperlink" Target="file:///\\192.168.11.15\Elmdale-Root\Accounting\pages\CommonAccount.aspx%3fsJump=3003-1700&amp;c.ChartCode=&amp;hAccount=&amp;hAccount2=&amp;DbCrd=Either&amp;AcTyp=Any&amp;RpTyp=Either" TargetMode="External" Id="rId509"/><Relationship Type="http://schemas.openxmlformats.org/officeDocument/2006/relationships/hyperlink" Target="file:///\\192.168.11.15\Elmdale-Root\Accounting\pages\CommonAccount.aspx%3fsJump=3003-1701&amp;c.ChartCode=&amp;hAccount=&amp;hAccount2=&amp;DbCrd=Either&amp;AcTyp=Any&amp;RpTyp=Either" TargetMode="External" Id="rId510"/><Relationship Type="http://schemas.openxmlformats.org/officeDocument/2006/relationships/hyperlink" Target="file:///\\192.168.11.15\Elmdale-Root\Accounting\pages\CommonAccount.aspx%3fsJump=3003-1702&amp;c.ChartCode=&amp;hAccount=&amp;hAccount2=&amp;DbCrd=Either&amp;AcTyp=Any&amp;RpTyp=Either" TargetMode="External" Id="rId511"/><Relationship Type="http://schemas.openxmlformats.org/officeDocument/2006/relationships/hyperlink" Target="file:///\\192.168.11.15\Elmdale-Root\Accounting\pages\CommonAccount.aspx%3fsJump=3003-1703&amp;c.ChartCode=&amp;hAccount=&amp;hAccount2=&amp;DbCrd=Either&amp;AcTyp=Any&amp;RpTyp=Either" TargetMode="External" Id="rId512"/><Relationship Type="http://schemas.openxmlformats.org/officeDocument/2006/relationships/hyperlink" Target="file:///\\192.168.11.15\Elmdale-Root\Accounting\pages\CommonAccount.aspx%3fsJump=3003-1800&amp;c.ChartCode=&amp;hAccount=&amp;hAccount2=&amp;DbCrd=Either&amp;AcTyp=Any&amp;RpTyp=Either" TargetMode="External" Id="rId513"/><Relationship Type="http://schemas.openxmlformats.org/officeDocument/2006/relationships/hyperlink" Target="file:///\\192.168.11.15\Elmdale-Root\Accounting\pages\CommonAccount.aspx%3fsJump=3003-1801&amp;c.ChartCode=&amp;hAccount=&amp;hAccount2=&amp;DbCrd=Either&amp;AcTyp=Any&amp;RpTyp=Either" TargetMode="External" Id="rId514"/><Relationship Type="http://schemas.openxmlformats.org/officeDocument/2006/relationships/hyperlink" Target="file:///\\192.168.11.15\Elmdale-Root\Accounting\pages\CommonAccount.aspx%3fsJump=3003-1802&amp;c.ChartCode=&amp;hAccount=&amp;hAccount2=&amp;DbCrd=Either&amp;AcTyp=Any&amp;RpTyp=Either" TargetMode="External" Id="rId515"/><Relationship Type="http://schemas.openxmlformats.org/officeDocument/2006/relationships/hyperlink" Target="file:///\\192.168.11.15\Elmdale-Root\Accounting\pages\CommonAccount.aspx%3fsJump=3003-1803&amp;c.ChartCode=&amp;hAccount=&amp;hAccount2=&amp;DbCrd=Either&amp;AcTyp=Any&amp;RpTyp=Either" TargetMode="External" Id="rId516"/><Relationship Type="http://schemas.openxmlformats.org/officeDocument/2006/relationships/hyperlink" Target="file:///\\192.168.11.15\Elmdale-Root\Accounting\pages\CommonAccount.aspx%3fsJump=3003-2000&amp;c.ChartCode=&amp;hAccount=&amp;hAccount2=&amp;DbCrd=Either&amp;AcTyp=Any&amp;RpTyp=Either" TargetMode="External" Id="rId517"/><Relationship Type="http://schemas.openxmlformats.org/officeDocument/2006/relationships/hyperlink" Target="file:///\\192.168.11.15\Elmdale-Root\Accounting\pages\CommonAccount.aspx%3fsJump=3003-2001&amp;c.ChartCode=&amp;hAccount=&amp;hAccount2=&amp;DbCrd=Either&amp;AcTyp=Any&amp;RpTyp=Either" TargetMode="External" Id="rId518"/><Relationship Type="http://schemas.openxmlformats.org/officeDocument/2006/relationships/hyperlink" Target="file:///\\192.168.11.15\Elmdale-Root\Accounting\pages\CommonAccount.aspx%3fsJump=3003-2002&amp;c.ChartCode=&amp;hAccount=&amp;hAccount2=&amp;DbCrd=Either&amp;AcTyp=Any&amp;RpTyp=Either" TargetMode="External" Id="rId519"/><Relationship Type="http://schemas.openxmlformats.org/officeDocument/2006/relationships/hyperlink" Target="file:///\\192.168.11.15\Elmdale-Root\Accounting\pages\CommonAccount.aspx%3fsJump=3003-2003&amp;c.ChartCode=&amp;hAccount=&amp;hAccount2=&amp;DbCrd=Either&amp;AcTyp=Any&amp;RpTyp=Either" TargetMode="External" Id="rId520"/><Relationship Type="http://schemas.openxmlformats.org/officeDocument/2006/relationships/hyperlink" Target="file:///\\192.168.11.15\Elmdale-Root\Accounting\pages\CommonAccount.aspx%3fsJump=3003-2010&amp;c.ChartCode=&amp;hAccount=&amp;hAccount2=&amp;DbCrd=Either&amp;AcTyp=Any&amp;RpTyp=Either" TargetMode="External" Id="rId521"/><Relationship Type="http://schemas.openxmlformats.org/officeDocument/2006/relationships/hyperlink" Target="file:///\\192.168.11.15\Elmdale-Root\Accounting\pages\CommonAccount.aspx%3fsJump=3003-2012&amp;c.ChartCode=&amp;hAccount=&amp;hAccount2=&amp;DbCrd=Either&amp;AcTyp=Any&amp;RpTyp=Either" TargetMode="External" Id="rId522"/><Relationship Type="http://schemas.openxmlformats.org/officeDocument/2006/relationships/hyperlink" Target="file:///\\192.168.11.15\Elmdale-Root\Accounting\pages\CommonAccount.aspx%3fsJump=3003-3000&amp;c.ChartCode=&amp;hAccount=&amp;hAccount2=&amp;DbCrd=Either&amp;AcTyp=Any&amp;RpTyp=Either" TargetMode="External" Id="rId523"/><Relationship Type="http://schemas.openxmlformats.org/officeDocument/2006/relationships/hyperlink" Target="file:///\\192.168.11.15\Elmdale-Root\Accounting\pages\CommonAccount.aspx%3fsJump=3003-3001&amp;c.ChartCode=&amp;hAccount=&amp;hAccount2=&amp;DbCrd=Either&amp;AcTyp=Any&amp;RpTyp=Either" TargetMode="External" Id="rId524"/><Relationship Type="http://schemas.openxmlformats.org/officeDocument/2006/relationships/hyperlink" Target="file:///\\192.168.11.15\Elmdale-Root\Accounting\pages\CommonAccount.aspx%3fsJump=3003-3002&amp;c.ChartCode=&amp;hAccount=&amp;hAccount2=&amp;DbCrd=Either&amp;AcTyp=Any&amp;RpTyp=Either" TargetMode="External" Id="rId525"/><Relationship Type="http://schemas.openxmlformats.org/officeDocument/2006/relationships/hyperlink" Target="file:///\\192.168.11.15\Elmdale-Root\Accounting\pages\CommonAccount.aspx%3fsJump=3003-3003&amp;c.ChartCode=&amp;hAccount=&amp;hAccount2=&amp;DbCrd=Either&amp;AcTyp=Any&amp;RpTyp=Either" TargetMode="External" Id="rId526"/><Relationship Type="http://schemas.openxmlformats.org/officeDocument/2006/relationships/hyperlink" Target="file:///\\192.168.11.15\Elmdale-Root\Accounting\pages\CommonAccount.aspx%3fsJump=3003-4000&amp;c.ChartCode=&amp;hAccount=&amp;hAccount2=&amp;DbCrd=Either&amp;AcTyp=Any&amp;RpTyp=Either" TargetMode="External" Id="rId527"/><Relationship Type="http://schemas.openxmlformats.org/officeDocument/2006/relationships/hyperlink" Target="file:///\\192.168.11.15\Elmdale-Root\Accounting\pages\CommonAccount.aspx%3fsJump=3003-4001&amp;c.ChartCode=&amp;hAccount=&amp;hAccount2=&amp;DbCrd=Either&amp;AcTyp=Any&amp;RpTyp=Either" TargetMode="External" Id="rId528"/><Relationship Type="http://schemas.openxmlformats.org/officeDocument/2006/relationships/hyperlink" Target="file:///\\192.168.11.15\Elmdale-Root\Accounting\pages\CommonAccount.aspx%3fsJump=3003-4002&amp;c.ChartCode=&amp;hAccount=&amp;hAccount2=&amp;DbCrd=Either&amp;AcTyp=Any&amp;RpTyp=Either" TargetMode="External" Id="rId529"/><Relationship Type="http://schemas.openxmlformats.org/officeDocument/2006/relationships/hyperlink" Target="file:///\\192.168.11.15\Elmdale-Root\Accounting\pages\CommonAccount.aspx%3fsJump=3003-4003&amp;c.ChartCode=&amp;hAccount=&amp;hAccount2=&amp;DbCrd=Either&amp;AcTyp=Any&amp;RpTyp=Either" TargetMode="External" Id="rId530"/><Relationship Type="http://schemas.openxmlformats.org/officeDocument/2006/relationships/hyperlink" Target="file:///\\192.168.11.15\Elmdale-Root\Accounting\pages\CommonAccount.aspx%3fsJump=3003-5000&amp;c.ChartCode=&amp;hAccount=&amp;hAccount2=&amp;DbCrd=Either&amp;AcTyp=Any&amp;RpTyp=Either" TargetMode="External" Id="rId531"/><Relationship Type="http://schemas.openxmlformats.org/officeDocument/2006/relationships/hyperlink" Target="file:///\\192.168.11.15\Elmdale-Root\Accounting\pages\CommonAccount.aspx%3fsJump=3003-5001&amp;c.ChartCode=&amp;hAccount=&amp;hAccount2=&amp;DbCrd=Either&amp;AcTyp=Any&amp;RpTyp=Either" TargetMode="External" Id="rId532"/><Relationship Type="http://schemas.openxmlformats.org/officeDocument/2006/relationships/hyperlink" Target="file:///\\192.168.11.15\Elmdale-Root\Accounting\pages\CommonAccount.aspx%3fsJump=3003-5002&amp;c.ChartCode=&amp;hAccount=&amp;hAccount2=&amp;DbCrd=Either&amp;AcTyp=Any&amp;RpTyp=Either" TargetMode="External" Id="rId533"/><Relationship Type="http://schemas.openxmlformats.org/officeDocument/2006/relationships/hyperlink" Target="file:///\\192.168.11.15\Elmdale-Root\Accounting\pages\CommonAccount.aspx%3fsJump=3003-5003&amp;c.ChartCode=&amp;hAccount=&amp;hAccount2=&amp;DbCrd=Either&amp;AcTyp=Any&amp;RpTyp=Either" TargetMode="External" Id="rId534"/><Relationship Type="http://schemas.openxmlformats.org/officeDocument/2006/relationships/hyperlink" Target="file:///\\192.168.11.15\Elmdale-Root\Accounting\pages\CommonAccount.aspx%3fsJump=3003-6000&amp;c.ChartCode=&amp;hAccount=&amp;hAccount2=&amp;DbCrd=Either&amp;AcTyp=Any&amp;RpTyp=Either" TargetMode="External" Id="rId535"/><Relationship Type="http://schemas.openxmlformats.org/officeDocument/2006/relationships/hyperlink" Target="file:///\\192.168.11.15\Elmdale-Root\Accounting\pages\CommonAccount.aspx%3fsJump=3003-6001&amp;c.ChartCode=&amp;hAccount=&amp;hAccount2=&amp;DbCrd=Either&amp;AcTyp=Any&amp;RpTyp=Either" TargetMode="External" Id="rId536"/><Relationship Type="http://schemas.openxmlformats.org/officeDocument/2006/relationships/hyperlink" Target="file:///\\192.168.11.15\Elmdale-Root\Accounting\pages\CommonAccount.aspx%3fsJump=3003-6002&amp;c.ChartCode=&amp;hAccount=&amp;hAccount2=&amp;DbCrd=Either&amp;AcTyp=Any&amp;RpTyp=Either" TargetMode="External" Id="rId537"/><Relationship Type="http://schemas.openxmlformats.org/officeDocument/2006/relationships/hyperlink" Target="file:///\\192.168.11.15\Elmdale-Root\Accounting\pages\CommonAccount.aspx%3fsJump=3003-6003&amp;c.ChartCode=&amp;hAccount=&amp;hAccount2=&amp;DbCrd=Either&amp;AcTyp=Any&amp;RpTyp=Either" TargetMode="External" Id="rId538"/><Relationship Type="http://schemas.openxmlformats.org/officeDocument/2006/relationships/hyperlink" Target="file:///\\192.168.11.15\Elmdale-Root\Accounting\pages\CommonAccount.aspx%3fsJump=3003-7000&amp;c.ChartCode=&amp;hAccount=&amp;hAccount2=&amp;DbCrd=Either&amp;AcTyp=Any&amp;RpTyp=Either" TargetMode="External" Id="rId539"/><Relationship Type="http://schemas.openxmlformats.org/officeDocument/2006/relationships/hyperlink" Target="file:///\\192.168.11.15\Elmdale-Root\Accounting\pages\CommonAccount.aspx%3fsJump=3003-7001&amp;c.ChartCode=&amp;hAccount=&amp;hAccount2=&amp;DbCrd=Either&amp;AcTyp=Any&amp;RpTyp=Either" TargetMode="External" Id="rId540"/><Relationship Type="http://schemas.openxmlformats.org/officeDocument/2006/relationships/hyperlink" Target="file:///\\192.168.11.15\Elmdale-Root\Accounting\pages\CommonAccount.aspx%3fsJump=3003-7002&amp;c.ChartCode=&amp;hAccount=&amp;hAccount2=&amp;DbCrd=Either&amp;AcTyp=Any&amp;RpTyp=Either" TargetMode="External" Id="rId541"/><Relationship Type="http://schemas.openxmlformats.org/officeDocument/2006/relationships/hyperlink" Target="file:///\\192.168.11.15\Elmdale-Root\Accounting\pages\CommonAccount.aspx%3fsJump=3003-7003&amp;c.ChartCode=&amp;hAccount=&amp;hAccount2=&amp;DbCrd=Either&amp;AcTyp=Any&amp;RpTyp=Either" TargetMode="External" Id="rId542"/><Relationship Type="http://schemas.openxmlformats.org/officeDocument/2006/relationships/hyperlink" Target="file:///\\192.168.11.15\Elmdale-Root\Accounting\pages\CommonAccount.aspx%3fsJump=3003-8000&amp;c.ChartCode=&amp;hAccount=&amp;hAccount2=&amp;DbCrd=Either&amp;AcTyp=Any&amp;RpTyp=Either" TargetMode="External" Id="rId543"/><Relationship Type="http://schemas.openxmlformats.org/officeDocument/2006/relationships/hyperlink" Target="file:///\\192.168.11.15\Elmdale-Root\Accounting\pages\CommonAccount.aspx%3fsJump=3003-8001&amp;c.ChartCode=&amp;hAccount=&amp;hAccount2=&amp;DbCrd=Either&amp;AcTyp=Any&amp;RpTyp=Either" TargetMode="External" Id="rId544"/><Relationship Type="http://schemas.openxmlformats.org/officeDocument/2006/relationships/hyperlink" Target="file:///\\192.168.11.15\Elmdale-Root\Accounting\pages\CommonAccount.aspx%3fsJump=3003-8002&amp;c.ChartCode=&amp;hAccount=&amp;hAccount2=&amp;DbCrd=Either&amp;AcTyp=Any&amp;RpTyp=Either" TargetMode="External" Id="rId545"/><Relationship Type="http://schemas.openxmlformats.org/officeDocument/2006/relationships/hyperlink" Target="file:///\\192.168.11.15\Elmdale-Root\Accounting\pages\CommonAccount.aspx%3fsJump=3003-8003&amp;c.ChartCode=&amp;hAccount=&amp;hAccount2=&amp;DbCrd=Either&amp;AcTyp=Any&amp;RpTyp=Either" TargetMode="External" Id="rId546"/><Relationship Type="http://schemas.openxmlformats.org/officeDocument/2006/relationships/hyperlink" Target="file:///\\192.168.11.15\Elmdale-Root\Accounting\pages\CommonAccount.aspx%3fsJump=3003-9000&amp;c.ChartCode=&amp;hAccount=&amp;hAccount2=&amp;DbCrd=Either&amp;AcTyp=Any&amp;RpTyp=Either" TargetMode="External" Id="rId547"/><Relationship Type="http://schemas.openxmlformats.org/officeDocument/2006/relationships/hyperlink" Target="file:///\\192.168.11.15\Elmdale-Root\Accounting\pages\CommonAccount.aspx%3fsJump=3003-9001&amp;c.ChartCode=&amp;hAccount=&amp;hAccount2=&amp;DbCrd=Either&amp;AcTyp=Any&amp;RpTyp=Either" TargetMode="External" Id="rId548"/><Relationship Type="http://schemas.openxmlformats.org/officeDocument/2006/relationships/hyperlink" Target="file:///\\192.168.11.15\Elmdale-Root\Accounting\pages\CommonAccount.aspx%3fsJump=3003-9002&amp;c.ChartCode=&amp;hAccount=&amp;hAccount2=&amp;DbCrd=Either&amp;AcTyp=Any&amp;RpTyp=Either" TargetMode="External" Id="rId549"/><Relationship Type="http://schemas.openxmlformats.org/officeDocument/2006/relationships/hyperlink" Target="file:///\\192.168.11.15\Elmdale-Root\Accounting\pages\CommonAccount.aspx%3fsJump=3003-9003&amp;c.ChartCode=&amp;hAccount=&amp;hAccount2=&amp;DbCrd=Either&amp;AcTyp=Any&amp;RpTyp=Either" TargetMode="External" Id="rId550"/><Relationship Type="http://schemas.openxmlformats.org/officeDocument/2006/relationships/hyperlink" Target="file:///\\192.168.11.15\Elmdale-Root\Accounting\pages\CommonAccount.aspx%3fsJump=3004-0000&amp;c.ChartCode=&amp;hAccount=&amp;hAccount2=&amp;DbCrd=Either&amp;AcTyp=Any&amp;RpTyp=Either" TargetMode="External" Id="rId551"/><Relationship Type="http://schemas.openxmlformats.org/officeDocument/2006/relationships/hyperlink" Target="file:///\\192.168.11.15\Elmdale-Root\Accounting\pages\CommonAccount.aspx%3fsJump=3005-1000&amp;c.ChartCode=&amp;hAccount=&amp;hAccount2=&amp;DbCrd=Either&amp;AcTyp=Any&amp;RpTyp=Either" TargetMode="External" Id="rId552"/><Relationship Type="http://schemas.openxmlformats.org/officeDocument/2006/relationships/hyperlink" Target="file:///\\192.168.11.15\Elmdale-Root\Accounting\pages\CommonAccount.aspx%3fsJump=3005-1001&amp;c.ChartCode=&amp;hAccount=&amp;hAccount2=&amp;DbCrd=Either&amp;AcTyp=Any&amp;RpTyp=Either" TargetMode="External" Id="rId553"/><Relationship Type="http://schemas.openxmlformats.org/officeDocument/2006/relationships/hyperlink" Target="file:///\\192.168.11.15\Elmdale-Root\Accounting\pages\CommonAccount.aspx%3fsJump=3005-1002&amp;c.ChartCode=&amp;hAccount=&amp;hAccount2=&amp;DbCrd=Either&amp;AcTyp=Any&amp;RpTyp=Either" TargetMode="External" Id="rId554"/><Relationship Type="http://schemas.openxmlformats.org/officeDocument/2006/relationships/hyperlink" Target="file:///\\192.168.11.15\Elmdale-Root\Accounting\pages\CommonAccount.aspx%3fsJump=3005-1003&amp;c.ChartCode=&amp;hAccount=&amp;hAccount2=&amp;DbCrd=Either&amp;AcTyp=Any&amp;RpTyp=Either" TargetMode="External" Id="rId555"/><Relationship Type="http://schemas.openxmlformats.org/officeDocument/2006/relationships/hyperlink" Target="file:///\\192.168.11.15\Elmdale-Root\Accounting\pages\CommonAccount.aspx%3fsJump=3006-0000&amp;c.ChartCode=&amp;hAccount=&amp;hAccount2=&amp;DbCrd=Either&amp;AcTyp=Any&amp;RpTyp=Either" TargetMode="External" Id="rId556"/><Relationship Type="http://schemas.openxmlformats.org/officeDocument/2006/relationships/hyperlink" Target="file:///\\192.168.11.15\Elmdale-Root\Accounting\pages\CommonAccount.aspx%3fsJump=3006-1001&amp;c.ChartCode=&amp;hAccount=&amp;hAccount2=&amp;DbCrd=Either&amp;AcTyp=Any&amp;RpTyp=Either" TargetMode="External" Id="rId557"/><Relationship Type="http://schemas.openxmlformats.org/officeDocument/2006/relationships/hyperlink" Target="file:///\\192.168.11.15\Elmdale-Root\Accounting\pages\CommonAccount.aspx%3fsJump=3006-1002&amp;c.ChartCode=&amp;hAccount=&amp;hAccount2=&amp;DbCrd=Either&amp;AcTyp=Any&amp;RpTyp=Either" TargetMode="External" Id="rId558"/><Relationship Type="http://schemas.openxmlformats.org/officeDocument/2006/relationships/hyperlink" Target="file:///\\192.168.11.15\Elmdale-Root\Accounting\pages\CommonAccount.aspx%3fsJump=3006-1003&amp;c.ChartCode=&amp;hAccount=&amp;hAccount2=&amp;DbCrd=Either&amp;AcTyp=Any&amp;RpTyp=Either" TargetMode="External" Id="rId559"/><Relationship Type="http://schemas.openxmlformats.org/officeDocument/2006/relationships/hyperlink" Target="file:///\\192.168.11.15\Elmdale-Root\Accounting\pages\CommonAccount.aspx%3fsJump=3006-1004&amp;c.ChartCode=&amp;hAccount=&amp;hAccount2=&amp;DbCrd=Either&amp;AcTyp=Any&amp;RpTyp=Either" TargetMode="External" Id="rId560"/><Relationship Type="http://schemas.openxmlformats.org/officeDocument/2006/relationships/hyperlink" Target="file:///\\192.168.11.15\Elmdale-Root\Accounting\pages\CommonAccount.aspx%3fsJump=3006-1005&amp;c.ChartCode=&amp;hAccount=&amp;hAccount2=&amp;DbCrd=Either&amp;AcTyp=Any&amp;RpTyp=Either" TargetMode="External" Id="rId561"/><Relationship Type="http://schemas.openxmlformats.org/officeDocument/2006/relationships/hyperlink" Target="file:///\\192.168.11.15\Elmdale-Root\Accounting\pages\CommonAccount.aspx%3fsJump=3006-1006&amp;c.ChartCode=&amp;hAccount=&amp;hAccount2=&amp;DbCrd=Either&amp;AcTyp=Any&amp;RpTyp=Either" TargetMode="External" Id="rId562"/><Relationship Type="http://schemas.openxmlformats.org/officeDocument/2006/relationships/hyperlink" Target="file:///\\192.168.11.15\Elmdale-Root\Accounting\pages\CommonAccount.aspx%3fsJump=3006-1007&amp;c.ChartCode=&amp;hAccount=&amp;hAccount2=&amp;DbCrd=Either&amp;AcTyp=Any&amp;RpTyp=Either" TargetMode="External" Id="rId563"/><Relationship Type="http://schemas.openxmlformats.org/officeDocument/2006/relationships/hyperlink" Target="file:///\\192.168.11.15\Elmdale-Root\Accounting\pages\CommonAccount.aspx%3fsJump=3006-1008&amp;c.ChartCode=&amp;hAccount=&amp;hAccount2=&amp;DbCrd=Either&amp;AcTyp=Any&amp;RpTyp=Either" TargetMode="External" Id="rId564"/><Relationship Type="http://schemas.openxmlformats.org/officeDocument/2006/relationships/hyperlink" Target="file:///\\192.168.11.15\Elmdale-Root\Accounting\pages\CommonAccount.aspx%3fsJump=3006-1009&amp;c.ChartCode=&amp;hAccount=&amp;hAccount2=&amp;DbCrd=Either&amp;AcTyp=Any&amp;RpTyp=Either" TargetMode="External" Id="rId565"/><Relationship Type="http://schemas.openxmlformats.org/officeDocument/2006/relationships/hyperlink" Target="file:///\\192.168.11.15\Elmdale-Root\Accounting\pages\CommonAccount.aspx%3fsJump=3006-1010&amp;c.ChartCode=&amp;hAccount=&amp;hAccount2=&amp;DbCrd=Either&amp;AcTyp=Any&amp;RpTyp=Either" TargetMode="External" Id="rId566"/><Relationship Type="http://schemas.openxmlformats.org/officeDocument/2006/relationships/hyperlink" Target="file:///\\192.168.11.15\Elmdale-Root\Accounting\pages\CommonAccount.aspx%3fsJump=3006-1011&amp;c.ChartCode=&amp;hAccount=&amp;hAccount2=&amp;DbCrd=Either&amp;AcTyp=Any&amp;RpTyp=Either" TargetMode="External" Id="rId567"/><Relationship Type="http://schemas.openxmlformats.org/officeDocument/2006/relationships/hyperlink" Target="file:///\\192.168.11.15\Elmdale-Root\Accounting\pages\CommonAccount.aspx%3fsJump=3006-1012&amp;c.ChartCode=&amp;hAccount=&amp;hAccount2=&amp;DbCrd=Either&amp;AcTyp=Any&amp;RpTyp=Either" TargetMode="External" Id="rId568"/><Relationship Type="http://schemas.openxmlformats.org/officeDocument/2006/relationships/hyperlink" Target="file:///\\192.168.11.15\Elmdale-Root\Accounting\pages\CommonAccount.aspx%3fsJump=3006-1013&amp;c.ChartCode=&amp;hAccount=&amp;hAccount2=&amp;DbCrd=Either&amp;AcTyp=Any&amp;RpTyp=Either" TargetMode="External" Id="rId569"/><Relationship Type="http://schemas.openxmlformats.org/officeDocument/2006/relationships/hyperlink" Target="file:///\\192.168.11.15\Elmdale-Root\Accounting\pages\CommonAccount.aspx%3fsJump=3006-1014&amp;c.ChartCode=&amp;hAccount=&amp;hAccount2=&amp;DbCrd=Either&amp;AcTyp=Any&amp;RpTyp=Either" TargetMode="External" Id="rId570"/><Relationship Type="http://schemas.openxmlformats.org/officeDocument/2006/relationships/hyperlink" Target="file:///\\192.168.11.15\Elmdale-Root\Accounting\pages\CommonAccount.aspx%3fsJump=3006-1015&amp;c.ChartCode=&amp;hAccount=&amp;hAccount2=&amp;DbCrd=Either&amp;AcTyp=Any&amp;RpTyp=Either" TargetMode="External" Id="rId571"/><Relationship Type="http://schemas.openxmlformats.org/officeDocument/2006/relationships/hyperlink" Target="file:///\\192.168.11.15\Elmdale-Root\Accounting\pages\CommonAccount.aspx%3fsJump=3006-1016&amp;c.ChartCode=&amp;hAccount=&amp;hAccount2=&amp;DbCrd=Either&amp;AcTyp=Any&amp;RpTyp=Either" TargetMode="External" Id="rId572"/><Relationship Type="http://schemas.openxmlformats.org/officeDocument/2006/relationships/hyperlink" Target="file:///\\192.168.11.15\Elmdale-Root\Accounting\pages\CommonAccount.aspx%3fsJump=3006-1017&amp;c.ChartCode=&amp;hAccount=&amp;hAccount2=&amp;DbCrd=Either&amp;AcTyp=Any&amp;RpTyp=Either" TargetMode="External" Id="rId573"/><Relationship Type="http://schemas.openxmlformats.org/officeDocument/2006/relationships/hyperlink" Target="file:///\\192.168.11.15\Elmdale-Root\Accounting\pages\CommonAccount.aspx%3fsJump=3006-1018&amp;c.ChartCode=&amp;hAccount=&amp;hAccount2=&amp;DbCrd=Either&amp;AcTyp=Any&amp;RpTyp=Either" TargetMode="External" Id="rId574"/><Relationship Type="http://schemas.openxmlformats.org/officeDocument/2006/relationships/hyperlink" Target="file:///\\192.168.11.15\Elmdale-Root\Accounting\pages\CommonAccount.aspx%3fsJump=3006-1019&amp;c.ChartCode=&amp;hAccount=&amp;hAccount2=&amp;DbCrd=Either&amp;AcTyp=Any&amp;RpTyp=Either" TargetMode="External" Id="rId575"/><Relationship Type="http://schemas.openxmlformats.org/officeDocument/2006/relationships/hyperlink" Target="file:///\\192.168.11.15\Elmdale-Root\Accounting\pages\CommonAccount.aspx%3fsJump=3006-1020&amp;c.ChartCode=&amp;hAccount=&amp;hAccount2=&amp;DbCrd=Either&amp;AcTyp=Any&amp;RpTyp=Either" TargetMode="External" Id="rId576"/><Relationship Type="http://schemas.openxmlformats.org/officeDocument/2006/relationships/hyperlink" Target="file:///\\192.168.11.15\Elmdale-Root\Accounting\pages\CommonAccount.aspx%3fsJump=3006-1021&amp;c.ChartCode=&amp;hAccount=&amp;hAccount2=&amp;DbCrd=Either&amp;AcTyp=Any&amp;RpTyp=Either" TargetMode="External" Id="rId577"/><Relationship Type="http://schemas.openxmlformats.org/officeDocument/2006/relationships/hyperlink" Target="file:///\\192.168.11.15\Elmdale-Root\Accounting\pages\CommonAccount.aspx%3fsJump=3006-1022&amp;c.ChartCode=&amp;hAccount=&amp;hAccount2=&amp;DbCrd=Either&amp;AcTyp=Any&amp;RpTyp=Either" TargetMode="External" Id="rId578"/><Relationship Type="http://schemas.openxmlformats.org/officeDocument/2006/relationships/hyperlink" Target="file:///\\192.168.11.15\Elmdale-Root\Accounting\pages\CommonAccount.aspx%3fsJump=3006-1023&amp;c.ChartCode=&amp;hAccount=&amp;hAccount2=&amp;DbCrd=Either&amp;AcTyp=Any&amp;RpTyp=Either" TargetMode="External" Id="rId579"/><Relationship Type="http://schemas.openxmlformats.org/officeDocument/2006/relationships/hyperlink" Target="file:///\\192.168.11.15\Elmdale-Root\Accounting\pages\CommonAccount.aspx%3fsJump=3006-1024&amp;c.ChartCode=&amp;hAccount=&amp;hAccount2=&amp;DbCrd=Either&amp;AcTyp=Any&amp;RpTyp=Either" TargetMode="External" Id="rId580"/><Relationship Type="http://schemas.openxmlformats.org/officeDocument/2006/relationships/hyperlink" Target="file:///\\192.168.11.15\Elmdale-Root\Accounting\pages\CommonAccount.aspx%3fsJump=3006-1025&amp;c.ChartCode=&amp;hAccount=&amp;hAccount2=&amp;DbCrd=Either&amp;AcTyp=Any&amp;RpTyp=Either" TargetMode="External" Id="rId581"/><Relationship Type="http://schemas.openxmlformats.org/officeDocument/2006/relationships/hyperlink" Target="file:///\\192.168.11.15\Elmdale-Root\Accounting\pages\CommonAccount.aspx%3fsJump=3006-1026&amp;c.ChartCode=&amp;hAccount=&amp;hAccount2=&amp;DbCrd=Either&amp;AcTyp=Any&amp;RpTyp=Either" TargetMode="External" Id="rId582"/><Relationship Type="http://schemas.openxmlformats.org/officeDocument/2006/relationships/hyperlink" Target="file:///\\192.168.11.15\Elmdale-Root\Accounting\pages\CommonAccount.aspx%3fsJump=3006-1027&amp;c.ChartCode=&amp;hAccount=&amp;hAccount2=&amp;DbCrd=Either&amp;AcTyp=Any&amp;RpTyp=Either" TargetMode="External" Id="rId583"/><Relationship Type="http://schemas.openxmlformats.org/officeDocument/2006/relationships/hyperlink" Target="file:///\\192.168.11.15\Elmdale-Root\Accounting\pages\CommonAccount.aspx%3fsJump=3006-1028&amp;c.ChartCode=&amp;hAccount=&amp;hAccount2=&amp;DbCrd=Either&amp;AcTyp=Any&amp;RpTyp=Either" TargetMode="External" Id="rId584"/><Relationship Type="http://schemas.openxmlformats.org/officeDocument/2006/relationships/hyperlink" Target="file:///\\192.168.11.15\Elmdale-Root\Accounting\pages\CommonAccount.aspx%3fsJump=3006-1029&amp;c.ChartCode=&amp;hAccount=&amp;hAccount2=&amp;DbCrd=Either&amp;AcTyp=Any&amp;RpTyp=Either" TargetMode="External" Id="rId585"/><Relationship Type="http://schemas.openxmlformats.org/officeDocument/2006/relationships/hyperlink" Target="file:///\\192.168.11.15\Elmdale-Root\Accounting\pages\CommonAccount.aspx%3fsJump=3006-1030&amp;c.ChartCode=&amp;hAccount=&amp;hAccount2=&amp;DbCrd=Either&amp;AcTyp=Any&amp;RpTyp=Either" TargetMode="External" Id="rId586"/><Relationship Type="http://schemas.openxmlformats.org/officeDocument/2006/relationships/hyperlink" Target="file:///\\192.168.11.15\Elmdale-Root\Accounting\pages\CommonAccount.aspx%3fsJump=3006-1031&amp;c.ChartCode=&amp;hAccount=&amp;hAccount2=&amp;DbCrd=Either&amp;AcTyp=Any&amp;RpTyp=Either" TargetMode="External" Id="rId587"/><Relationship Type="http://schemas.openxmlformats.org/officeDocument/2006/relationships/hyperlink" Target="file:///\\192.168.11.15\Elmdale-Root\Accounting\pages\CommonAccount.aspx%3fsJump=3006-1032&amp;c.ChartCode=&amp;hAccount=&amp;hAccount2=&amp;DbCrd=Either&amp;AcTyp=Any&amp;RpTyp=Either" TargetMode="External" Id="rId588"/><Relationship Type="http://schemas.openxmlformats.org/officeDocument/2006/relationships/hyperlink" Target="file:///\\192.168.11.15\Elmdale-Root\Accounting\pages\CommonAccount.aspx%3fsJump=3006-1033&amp;c.ChartCode=&amp;hAccount=&amp;hAccount2=&amp;DbCrd=Either&amp;AcTyp=Any&amp;RpTyp=Either" TargetMode="External" Id="rId589"/><Relationship Type="http://schemas.openxmlformats.org/officeDocument/2006/relationships/hyperlink" Target="file:///\\192.168.11.15\Elmdale-Root\Accounting\pages\CommonAccount.aspx%3fsJump=3006-1034&amp;c.ChartCode=&amp;hAccount=&amp;hAccount2=&amp;DbCrd=Either&amp;AcTyp=Any&amp;RpTyp=Either" TargetMode="External" Id="rId590"/><Relationship Type="http://schemas.openxmlformats.org/officeDocument/2006/relationships/hyperlink" Target="file:///\\192.168.11.15\Elmdale-Root\Accounting\pages\CommonAccount.aspx%3fsJump=3006-1035&amp;c.ChartCode=&amp;hAccount=&amp;hAccount2=&amp;DbCrd=Either&amp;AcTyp=Any&amp;RpTyp=Either" TargetMode="External" Id="rId591"/><Relationship Type="http://schemas.openxmlformats.org/officeDocument/2006/relationships/hyperlink" Target="file:///\\192.168.11.15\Elmdale-Root\Accounting\pages\CommonAccount.aspx%3fsJump=3006-1036&amp;c.ChartCode=&amp;hAccount=&amp;hAccount2=&amp;DbCrd=Either&amp;AcTyp=Any&amp;RpTyp=Either" TargetMode="External" Id="rId592"/><Relationship Type="http://schemas.openxmlformats.org/officeDocument/2006/relationships/hyperlink" Target="file:///\\192.168.11.15\Elmdale-Root\Accounting\pages\CommonAccount.aspx%3fsJump=3006-1037&amp;c.ChartCode=&amp;hAccount=&amp;hAccount2=&amp;DbCrd=Either&amp;AcTyp=Any&amp;RpTyp=Either" TargetMode="External" Id="rId593"/><Relationship Type="http://schemas.openxmlformats.org/officeDocument/2006/relationships/hyperlink" Target="file:///\\192.168.11.15\Elmdale-Root\Accounting\pages\CommonAccount.aspx%3fsJump=3006-1038&amp;c.ChartCode=&amp;hAccount=&amp;hAccount2=&amp;DbCrd=Either&amp;AcTyp=Any&amp;RpTyp=Either" TargetMode="External" Id="rId594"/><Relationship Type="http://schemas.openxmlformats.org/officeDocument/2006/relationships/hyperlink" Target="file:///\\192.168.11.15\Elmdale-Root\Accounting\pages\CommonAccount.aspx%3fsJump=3006-1039&amp;c.ChartCode=&amp;hAccount=&amp;hAccount2=&amp;DbCrd=Either&amp;AcTyp=Any&amp;RpTyp=Either" TargetMode="External" Id="rId595"/><Relationship Type="http://schemas.openxmlformats.org/officeDocument/2006/relationships/hyperlink" Target="file:///\\192.168.11.15\Elmdale-Root\Accounting\pages\CommonAccount.aspx%3fsJump=3006-1040&amp;c.ChartCode=&amp;hAccount=&amp;hAccount2=&amp;DbCrd=Either&amp;AcTyp=Any&amp;RpTyp=Either" TargetMode="External" Id="rId596"/><Relationship Type="http://schemas.openxmlformats.org/officeDocument/2006/relationships/hyperlink" Target="file:///\\192.168.11.15\Elmdale-Root\Accounting\pages\CommonAccount.aspx%3fsJump=3006-1041&amp;c.ChartCode=&amp;hAccount=&amp;hAccount2=&amp;DbCrd=Either&amp;AcTyp=Any&amp;RpTyp=Either" TargetMode="External" Id="rId597"/><Relationship Type="http://schemas.openxmlformats.org/officeDocument/2006/relationships/hyperlink" Target="file:///\\192.168.11.15\Elmdale-Root\Accounting\pages\CommonAccount.aspx%3fsJump=3006-1042&amp;c.ChartCode=&amp;hAccount=&amp;hAccount2=&amp;DbCrd=Either&amp;AcTyp=Any&amp;RpTyp=Either" TargetMode="External" Id="rId598"/><Relationship Type="http://schemas.openxmlformats.org/officeDocument/2006/relationships/hyperlink" Target="file:///\\192.168.11.15\Elmdale-Root\Accounting\pages\CommonAccount.aspx%3fsJump=3006-1043&amp;c.ChartCode=&amp;hAccount=&amp;hAccount2=&amp;DbCrd=Either&amp;AcTyp=Any&amp;RpTyp=Either" TargetMode="External" Id="rId599"/><Relationship Type="http://schemas.openxmlformats.org/officeDocument/2006/relationships/hyperlink" Target="file:///\\192.168.11.15\Elmdale-Root\Accounting\pages\CommonAccount.aspx%3fsJump=3006-1044&amp;c.ChartCode=&amp;hAccount=&amp;hAccount2=&amp;DbCrd=Either&amp;AcTyp=Any&amp;RpTyp=Either" TargetMode="External" Id="rId600"/><Relationship Type="http://schemas.openxmlformats.org/officeDocument/2006/relationships/hyperlink" Target="file:///\\192.168.11.15\Elmdale-Root\Accounting\pages\CommonAccount.aspx%3fsJump=3006-1045&amp;c.ChartCode=&amp;hAccount=&amp;hAccount2=&amp;DbCrd=Either&amp;AcTyp=Any&amp;RpTyp=Either" TargetMode="External" Id="rId601"/><Relationship Type="http://schemas.openxmlformats.org/officeDocument/2006/relationships/hyperlink" Target="file:///\\192.168.11.15\Elmdale-Root\Accounting\pages\CommonAccount.aspx%3fsJump=3006-1046&amp;c.ChartCode=&amp;hAccount=&amp;hAccount2=&amp;DbCrd=Either&amp;AcTyp=Any&amp;RpTyp=Either" TargetMode="External" Id="rId602"/><Relationship Type="http://schemas.openxmlformats.org/officeDocument/2006/relationships/hyperlink" Target="file:///\\192.168.11.15\Elmdale-Root\Accounting\pages\CommonAccount.aspx%3fsJump=3006-1047&amp;c.ChartCode=&amp;hAccount=&amp;hAccount2=&amp;DbCrd=Either&amp;AcTyp=Any&amp;RpTyp=Either" TargetMode="External" Id="rId603"/><Relationship Type="http://schemas.openxmlformats.org/officeDocument/2006/relationships/hyperlink" Target="file:///\\192.168.11.15\Elmdale-Root\Accounting\pages\CommonAccount.aspx%3fsJump=3006-1048&amp;c.ChartCode=&amp;hAccount=&amp;hAccount2=&amp;DbCrd=Either&amp;AcTyp=Any&amp;RpTyp=Either" TargetMode="External" Id="rId604"/><Relationship Type="http://schemas.openxmlformats.org/officeDocument/2006/relationships/hyperlink" Target="file:///\\192.168.11.15\Elmdale-Root\Accounting\pages\CommonAccount.aspx%3fsJump=3006-1049&amp;c.ChartCode=&amp;hAccount=&amp;hAccount2=&amp;DbCrd=Either&amp;AcTyp=Any&amp;RpTyp=Either" TargetMode="External" Id="rId605"/><Relationship Type="http://schemas.openxmlformats.org/officeDocument/2006/relationships/hyperlink" Target="file:///\\192.168.11.15\Elmdale-Root\Accounting\pages\CommonAccount.aspx%3fsJump=3006-1050&amp;c.ChartCode=&amp;hAccount=&amp;hAccount2=&amp;DbCrd=Either&amp;AcTyp=Any&amp;RpTyp=Either" TargetMode="External" Id="rId606"/><Relationship Type="http://schemas.openxmlformats.org/officeDocument/2006/relationships/hyperlink" Target="file:///\\192.168.11.15\Elmdale-Root\Accounting\pages\CommonAccount.aspx%3fsJump=3006-1051&amp;c.ChartCode=&amp;hAccount=&amp;hAccount2=&amp;DbCrd=Either&amp;AcTyp=Any&amp;RpTyp=Either" TargetMode="External" Id="rId607"/><Relationship Type="http://schemas.openxmlformats.org/officeDocument/2006/relationships/hyperlink" Target="file:///\\192.168.11.15\Elmdale-Root\Accounting\pages\CommonAccount.aspx%3fsJump=3006-1052&amp;c.ChartCode=&amp;hAccount=&amp;hAccount2=&amp;DbCrd=Either&amp;AcTyp=Any&amp;RpTyp=Either" TargetMode="External" Id="rId608"/><Relationship Type="http://schemas.openxmlformats.org/officeDocument/2006/relationships/hyperlink" Target="file:///\\192.168.11.15\Elmdale-Root\Accounting\pages\CommonAccount.aspx%3fsJump=3006-1053&amp;c.ChartCode=&amp;hAccount=&amp;hAccount2=&amp;DbCrd=Either&amp;AcTyp=Any&amp;RpTyp=Either" TargetMode="External" Id="rId609"/><Relationship Type="http://schemas.openxmlformats.org/officeDocument/2006/relationships/hyperlink" Target="file:///\\192.168.11.15\Elmdale-Root\Accounting\pages\CommonAccount.aspx%3fsJump=3006-1054&amp;c.ChartCode=&amp;hAccount=&amp;hAccount2=&amp;DbCrd=Either&amp;AcTyp=Any&amp;RpTyp=Either" TargetMode="External" Id="rId610"/><Relationship Type="http://schemas.openxmlformats.org/officeDocument/2006/relationships/hyperlink" Target="file:///\\192.168.11.15\Elmdale-Root\Accounting\pages\CommonAccount.aspx%3fsJump=3006-1055&amp;c.ChartCode=&amp;hAccount=&amp;hAccount2=&amp;DbCrd=Either&amp;AcTyp=Any&amp;RpTyp=Either" TargetMode="External" Id="rId611"/><Relationship Type="http://schemas.openxmlformats.org/officeDocument/2006/relationships/hyperlink" Target="file:///\\192.168.11.15\Elmdale-Root\Accounting\pages\CommonAccount.aspx%3fsJump=3006-1056&amp;c.ChartCode=&amp;hAccount=&amp;hAccount2=&amp;DbCrd=Either&amp;AcTyp=Any&amp;RpTyp=Either" TargetMode="External" Id="rId612"/><Relationship Type="http://schemas.openxmlformats.org/officeDocument/2006/relationships/hyperlink" Target="file:///\\192.168.11.15\Elmdale-Root\Accounting\pages\CommonAccount.aspx%3fsJump=3006-1057&amp;c.ChartCode=&amp;hAccount=&amp;hAccount2=&amp;DbCrd=Either&amp;AcTyp=Any&amp;RpTyp=Either" TargetMode="External" Id="rId613"/><Relationship Type="http://schemas.openxmlformats.org/officeDocument/2006/relationships/hyperlink" Target="file:///\\192.168.11.15\Elmdale-Root\Accounting\pages\CommonAccount.aspx%3fsJump=3006-1058&amp;c.ChartCode=&amp;hAccount=&amp;hAccount2=&amp;DbCrd=Either&amp;AcTyp=Any&amp;RpTyp=Either" TargetMode="External" Id="rId614"/><Relationship Type="http://schemas.openxmlformats.org/officeDocument/2006/relationships/hyperlink" Target="file:///\\192.168.11.15\Elmdale-Root\Accounting\pages\CommonAccount.aspx%3fsJump=3006-1059&amp;c.ChartCode=&amp;hAccount=&amp;hAccount2=&amp;DbCrd=Either&amp;AcTyp=Any&amp;RpTyp=Either" TargetMode="External" Id="rId615"/><Relationship Type="http://schemas.openxmlformats.org/officeDocument/2006/relationships/hyperlink" Target="file:///\\192.168.11.15\Elmdale-Root\Accounting\pages\CommonAccount.aspx%3fsJump=3006-1060&amp;c.ChartCode=&amp;hAccount=&amp;hAccount2=&amp;DbCrd=Either&amp;AcTyp=Any&amp;RpTyp=Either" TargetMode="External" Id="rId616"/><Relationship Type="http://schemas.openxmlformats.org/officeDocument/2006/relationships/hyperlink" Target="file:///\\192.168.11.15\Elmdale-Root\Accounting\pages\CommonAccount.aspx%3fsJump=3006-1061&amp;c.ChartCode=&amp;hAccount=&amp;hAccount2=&amp;DbCrd=Either&amp;AcTyp=Any&amp;RpTyp=Either" TargetMode="External" Id="rId617"/><Relationship Type="http://schemas.openxmlformats.org/officeDocument/2006/relationships/hyperlink" Target="file:///\\192.168.11.15\Elmdale-Root\Accounting\pages\CommonAccount.aspx%3fsJump=3006-1062&amp;c.ChartCode=&amp;hAccount=&amp;hAccount2=&amp;DbCrd=Either&amp;AcTyp=Any&amp;RpTyp=Either" TargetMode="External" Id="rId618"/><Relationship Type="http://schemas.openxmlformats.org/officeDocument/2006/relationships/hyperlink" Target="file:///\\192.168.11.15\Elmdale-Root\Accounting\pages\CommonAccount.aspx%3fsJump=3006-1063&amp;c.ChartCode=&amp;hAccount=&amp;hAccount2=&amp;DbCrd=Either&amp;AcTyp=Any&amp;RpTyp=Either" TargetMode="External" Id="rId619"/><Relationship Type="http://schemas.openxmlformats.org/officeDocument/2006/relationships/hyperlink" Target="file:///\\192.168.11.15\Elmdale-Root\Accounting\pages\CommonAccount.aspx%3fsJump=3006-1064&amp;c.ChartCode=&amp;hAccount=&amp;hAccount2=&amp;DbCrd=Either&amp;AcTyp=Any&amp;RpTyp=Either" TargetMode="External" Id="rId620"/><Relationship Type="http://schemas.openxmlformats.org/officeDocument/2006/relationships/hyperlink" Target="file:///\\192.168.11.15\Elmdale-Root\Accounting\pages\CommonAccount.aspx%3fsJump=3006-1065&amp;c.ChartCode=&amp;hAccount=&amp;hAccount2=&amp;DbCrd=Either&amp;AcTyp=Any&amp;RpTyp=Either" TargetMode="External" Id="rId621"/><Relationship Type="http://schemas.openxmlformats.org/officeDocument/2006/relationships/hyperlink" Target="file:///\\192.168.11.15\Elmdale-Root\Accounting\pages\CommonAccount.aspx%3fsJump=3006-1066&amp;c.ChartCode=&amp;hAccount=&amp;hAccount2=&amp;DbCrd=Either&amp;AcTyp=Any&amp;RpTyp=Either" TargetMode="External" Id="rId622"/><Relationship Type="http://schemas.openxmlformats.org/officeDocument/2006/relationships/hyperlink" Target="file:///\\192.168.11.15\Elmdale-Root\Accounting\pages\CommonAccount.aspx%3fsJump=3006-1067&amp;c.ChartCode=&amp;hAccount=&amp;hAccount2=&amp;DbCrd=Either&amp;AcTyp=Any&amp;RpTyp=Either" TargetMode="External" Id="rId623"/><Relationship Type="http://schemas.openxmlformats.org/officeDocument/2006/relationships/hyperlink" Target="file:///\\192.168.11.15\Elmdale-Root\Accounting\pages\CommonAccount.aspx%3fsJump=3006-1068&amp;c.ChartCode=&amp;hAccount=&amp;hAccount2=&amp;DbCrd=Either&amp;AcTyp=Any&amp;RpTyp=Either" TargetMode="External" Id="rId624"/><Relationship Type="http://schemas.openxmlformats.org/officeDocument/2006/relationships/hyperlink" Target="file:///\\192.168.11.15\Elmdale-Root\Accounting\pages\CommonAccount.aspx%3fsJump=3006-1069&amp;c.ChartCode=&amp;hAccount=&amp;hAccount2=&amp;DbCrd=Either&amp;AcTyp=Any&amp;RpTyp=Either" TargetMode="External" Id="rId625"/><Relationship Type="http://schemas.openxmlformats.org/officeDocument/2006/relationships/hyperlink" Target="file:///\\192.168.11.15\Elmdale-Root\Accounting\pages\CommonAccount.aspx%3fsJump=3006-1070&amp;c.ChartCode=&amp;hAccount=&amp;hAccount2=&amp;DbCrd=Either&amp;AcTyp=Any&amp;RpTyp=Either" TargetMode="External" Id="rId626"/><Relationship Type="http://schemas.openxmlformats.org/officeDocument/2006/relationships/hyperlink" Target="file:///\\192.168.11.15\Elmdale-Root\Accounting\pages\CommonAccount.aspx%3fsJump=3006-1071&amp;c.ChartCode=&amp;hAccount=&amp;hAccount2=&amp;DbCrd=Either&amp;AcTyp=Any&amp;RpTyp=Either" TargetMode="External" Id="rId627"/><Relationship Type="http://schemas.openxmlformats.org/officeDocument/2006/relationships/hyperlink" Target="file:///\\192.168.11.15\Elmdale-Root\Accounting\pages\CommonAccount.aspx%3fsJump=3006-1072&amp;c.ChartCode=&amp;hAccount=&amp;hAccount2=&amp;DbCrd=Either&amp;AcTyp=Any&amp;RpTyp=Either" TargetMode="External" Id="rId628"/><Relationship Type="http://schemas.openxmlformats.org/officeDocument/2006/relationships/hyperlink" Target="file:///\\192.168.11.15\Elmdale-Root\Accounting\pages\CommonAccount.aspx%3fsJump=3006-1073&amp;c.ChartCode=&amp;hAccount=&amp;hAccount2=&amp;DbCrd=Either&amp;AcTyp=Any&amp;RpTyp=Either" TargetMode="External" Id="rId629"/><Relationship Type="http://schemas.openxmlformats.org/officeDocument/2006/relationships/hyperlink" Target="file:///\\192.168.11.15\Elmdale-Root\Accounting\pages\CommonAccount.aspx%3fsJump=3006-1074&amp;c.ChartCode=&amp;hAccount=&amp;hAccount2=&amp;DbCrd=Either&amp;AcTyp=Any&amp;RpTyp=Either" TargetMode="External" Id="rId630"/><Relationship Type="http://schemas.openxmlformats.org/officeDocument/2006/relationships/hyperlink" Target="file:///\\192.168.11.15\Elmdale-Root\Accounting\pages\CommonAccount.aspx%3fsJump=3006-1075&amp;c.ChartCode=&amp;hAccount=&amp;hAccount2=&amp;DbCrd=Either&amp;AcTyp=Any&amp;RpTyp=Either" TargetMode="External" Id="rId631"/><Relationship Type="http://schemas.openxmlformats.org/officeDocument/2006/relationships/hyperlink" Target="file:///\\192.168.11.15\Elmdale-Root\Accounting\pages\CommonAccount.aspx%3fsJump=3006-1076&amp;c.ChartCode=&amp;hAccount=&amp;hAccount2=&amp;DbCrd=Either&amp;AcTyp=Any&amp;RpTyp=Either" TargetMode="External" Id="rId632"/><Relationship Type="http://schemas.openxmlformats.org/officeDocument/2006/relationships/hyperlink" Target="file:///\\192.168.11.15\Elmdale-Root\Accounting\pages\CommonAccount.aspx%3fsJump=3006-1077&amp;c.ChartCode=&amp;hAccount=&amp;hAccount2=&amp;DbCrd=Either&amp;AcTyp=Any&amp;RpTyp=Either" TargetMode="External" Id="rId633"/><Relationship Type="http://schemas.openxmlformats.org/officeDocument/2006/relationships/hyperlink" Target="file:///\\192.168.11.15\Elmdale-Root\Accounting\pages\CommonAccount.aspx%3fsJump=3006-1078&amp;c.ChartCode=&amp;hAccount=&amp;hAccount2=&amp;DbCrd=Either&amp;AcTyp=Any&amp;RpTyp=Either" TargetMode="External" Id="rId634"/><Relationship Type="http://schemas.openxmlformats.org/officeDocument/2006/relationships/hyperlink" Target="file:///\\192.168.11.15\Elmdale-Root\Accounting\pages\CommonAccount.aspx%3fsJump=3006-1079&amp;c.ChartCode=&amp;hAccount=&amp;hAccount2=&amp;DbCrd=Either&amp;AcTyp=Any&amp;RpTyp=Either" TargetMode="External" Id="rId635"/><Relationship Type="http://schemas.openxmlformats.org/officeDocument/2006/relationships/hyperlink" Target="file:///\\192.168.11.15\Elmdale-Root\Accounting\pages\CommonAccount.aspx%3fsJump=3010-1000&amp;c.ChartCode=&amp;hAccount=&amp;hAccount2=&amp;DbCrd=Either&amp;AcTyp=Any&amp;RpTyp=Either" TargetMode="External" Id="rId636"/><Relationship Type="http://schemas.openxmlformats.org/officeDocument/2006/relationships/hyperlink" Target="file:///\\192.168.11.15\Elmdale-Root\Accounting\pages\CommonAccount.aspx%3fsJump=3010-1001&amp;c.ChartCode=&amp;hAccount=&amp;hAccount2=&amp;DbCrd=Either&amp;AcTyp=Any&amp;RpTyp=Either" TargetMode="External" Id="rId637"/><Relationship Type="http://schemas.openxmlformats.org/officeDocument/2006/relationships/hyperlink" Target="file:///\\192.168.11.15\Elmdale-Root\Accounting\pages\CommonAccount.aspx%3fsJump=3011-0000&amp;c.ChartCode=&amp;hAccount=&amp;hAccount2=&amp;DbCrd=Either&amp;AcTyp=Any&amp;RpTyp=Either" TargetMode="External" Id="rId638"/><Relationship Type="http://schemas.openxmlformats.org/officeDocument/2006/relationships/hyperlink" Target="file:///\\192.168.11.15\Elmdale-Root\Accounting\pages\CommonAccount.aspx%3fsJump=3012-0000&amp;c.ChartCode=&amp;hAccount=&amp;hAccount2=&amp;DbCrd=Either&amp;AcTyp=Any&amp;RpTyp=Either" TargetMode="External" Id="rId639"/><Relationship Type="http://schemas.openxmlformats.org/officeDocument/2006/relationships/hyperlink" Target="file:///\\192.168.11.15\Elmdale-Root\Accounting\pages\CommonAccount.aspx%3fsJump=3013-1000&amp;c.ChartCode=&amp;hAccount=&amp;hAccount2=&amp;DbCrd=Either&amp;AcTyp=Any&amp;RpTyp=Either" TargetMode="External" Id="rId640"/><Relationship Type="http://schemas.openxmlformats.org/officeDocument/2006/relationships/hyperlink" Target="file:///\\192.168.11.15\Elmdale-Root\Accounting\pages\CommonAccount.aspx%3fsJump=3013-1001&amp;c.ChartCode=&amp;hAccount=&amp;hAccount2=&amp;DbCrd=Either&amp;AcTyp=Any&amp;RpTyp=Either" TargetMode="External" Id="rId641"/><Relationship Type="http://schemas.openxmlformats.org/officeDocument/2006/relationships/hyperlink" Target="file:///\\192.168.11.15\Elmdale-Root\Accounting\pages\CommonAccount.aspx%3fsJump=3013-1002&amp;c.ChartCode=&amp;hAccount=&amp;hAccount2=&amp;DbCrd=Either&amp;AcTyp=Any&amp;RpTyp=Either" TargetMode="External" Id="rId642"/><Relationship Type="http://schemas.openxmlformats.org/officeDocument/2006/relationships/hyperlink" Target="file:///\\192.168.11.15\Elmdale-Root\Accounting\pages\CommonAccount.aspx%3fsJump=3013-1003&amp;c.ChartCode=&amp;hAccount=&amp;hAccount2=&amp;DbCrd=Either&amp;AcTyp=Any&amp;RpTyp=Either" TargetMode="External" Id="rId643"/><Relationship Type="http://schemas.openxmlformats.org/officeDocument/2006/relationships/hyperlink" Target="file:///\\192.168.11.15\Elmdale-Root\Accounting\pages\CommonAccount.aspx%3fsJump=3013-1004&amp;c.ChartCode=&amp;hAccount=&amp;hAccount2=&amp;DbCrd=Either&amp;AcTyp=Any&amp;RpTyp=Either" TargetMode="External" Id="rId644"/><Relationship Type="http://schemas.openxmlformats.org/officeDocument/2006/relationships/hyperlink" Target="file:///\\192.168.11.15\Elmdale-Root\Accounting\pages\CommonAccount.aspx%3fsJump=3013-1005&amp;c.ChartCode=&amp;hAccount=&amp;hAccount2=&amp;DbCrd=Either&amp;AcTyp=Any&amp;RpTyp=Either" TargetMode="External" Id="rId645"/><Relationship Type="http://schemas.openxmlformats.org/officeDocument/2006/relationships/hyperlink" Target="file:///\\192.168.11.15\Elmdale-Root\Accounting\pages\CommonAccount.aspx%3fsJump=3013-1006&amp;c.ChartCode=&amp;hAccount=&amp;hAccount2=&amp;DbCrd=Either&amp;AcTyp=Any&amp;RpTyp=Either" TargetMode="External" Id="rId646"/><Relationship Type="http://schemas.openxmlformats.org/officeDocument/2006/relationships/hyperlink" Target="file:///\\192.168.11.15\Elmdale-Root\Accounting\pages\CommonAccount.aspx%3fsJump=3013-1007&amp;c.ChartCode=&amp;hAccount=&amp;hAccount2=&amp;DbCrd=Either&amp;AcTyp=Any&amp;RpTyp=Either" TargetMode="External" Id="rId647"/><Relationship Type="http://schemas.openxmlformats.org/officeDocument/2006/relationships/hyperlink" Target="file:///\\192.168.11.15\Elmdale-Root\Accounting\pages\CommonAccount.aspx%3fsJump=3019-0000&amp;c.ChartCode=&amp;hAccount=&amp;hAccount2=&amp;DbCrd=Either&amp;AcTyp=Any&amp;RpTyp=Either" TargetMode="External" Id="rId648"/><Relationship Type="http://schemas.openxmlformats.org/officeDocument/2006/relationships/hyperlink" Target="file:///\\192.168.11.15\Elmdale-Root\Accounting\pages\CommonAccount.aspx%3fsJump=3020-0000&amp;c.ChartCode=&amp;hAccount=&amp;hAccount2=&amp;DbCrd=Either&amp;AcTyp=Any&amp;RpTyp=Either" TargetMode="External" Id="rId649"/><Relationship Type="http://schemas.openxmlformats.org/officeDocument/2006/relationships/hyperlink" Target="file:///\\192.168.11.15\Elmdale-Root\Accounting\pages\CommonAccount.aspx%3fsJump=3021-0000&amp;c.ChartCode=&amp;hAccount=&amp;hAccount2=&amp;DbCrd=Either&amp;AcTyp=Any&amp;RpTyp=Either" TargetMode="External" Id="rId650"/><Relationship Type="http://schemas.openxmlformats.org/officeDocument/2006/relationships/hyperlink" Target="file:///\\192.168.11.15\Elmdale-Root\Accounting\pages\CommonAccount.aspx%3fsJump=3022-0000&amp;c.ChartCode=&amp;hAccount=&amp;hAccount2=&amp;DbCrd=Either&amp;AcTyp=Any&amp;RpTyp=Either" TargetMode="External" Id="rId651"/><Relationship Type="http://schemas.openxmlformats.org/officeDocument/2006/relationships/hyperlink" Target="file:///\\192.168.11.15\Elmdale-Root\Accounting\pages\CommonAccount.aspx%3fsJump=3022-1000&amp;c.ChartCode=&amp;hAccount=&amp;hAccount2=&amp;DbCrd=Either&amp;AcTyp=Any&amp;RpTyp=Either" TargetMode="External" Id="rId652"/><Relationship Type="http://schemas.openxmlformats.org/officeDocument/2006/relationships/hyperlink" Target="file:///\\192.168.11.15\Elmdale-Root\Accounting\pages\CommonAccount.aspx%3fsJump=3030-1000&amp;c.ChartCode=&amp;hAccount=&amp;hAccount2=&amp;DbCrd=Either&amp;AcTyp=Any&amp;RpTyp=Either" TargetMode="External" Id="rId653"/><Relationship Type="http://schemas.openxmlformats.org/officeDocument/2006/relationships/hyperlink" Target="file:///\\192.168.11.15\Elmdale-Root\Accounting\pages\CommonAccount.aspx%3fsJump=3030-1001&amp;c.ChartCode=&amp;hAccount=&amp;hAccount2=&amp;DbCrd=Either&amp;AcTyp=Any&amp;RpTyp=Either" TargetMode="External" Id="rId654"/><Relationship Type="http://schemas.openxmlformats.org/officeDocument/2006/relationships/hyperlink" Target="file:///\\192.168.11.15\Elmdale-Root\Accounting\pages\CommonAccount.aspx%3fsJump=3031-0000&amp;c.ChartCode=&amp;hAccount=&amp;hAccount2=&amp;DbCrd=Either&amp;AcTyp=Any&amp;RpTyp=Either" TargetMode="External" Id="rId655"/><Relationship Type="http://schemas.openxmlformats.org/officeDocument/2006/relationships/hyperlink" Target="file:///\\192.168.11.15\Elmdale-Root\Accounting\pages\CommonAccount.aspx%3fsJump=3032-0000&amp;c.ChartCode=&amp;hAccount=&amp;hAccount2=&amp;DbCrd=Either&amp;AcTyp=Any&amp;RpTyp=Either" TargetMode="External" Id="rId656"/><Relationship Type="http://schemas.openxmlformats.org/officeDocument/2006/relationships/hyperlink" Target="file:///\\192.168.11.15\Elmdale-Root\Accounting\pages\CommonAccount.aspx%3fsJump=3032-1000&amp;c.ChartCode=&amp;hAccount=&amp;hAccount2=&amp;DbCrd=Either&amp;AcTyp=Any&amp;RpTyp=Either" TargetMode="External" Id="rId657"/><Relationship Type="http://schemas.openxmlformats.org/officeDocument/2006/relationships/hyperlink" Target="file:///\\192.168.11.15\Elmdale-Root\Accounting\pages\CommonAccount.aspx%3fsJump=3035-0000&amp;c.ChartCode=&amp;hAccount=&amp;hAccount2=&amp;DbCrd=Either&amp;AcTyp=Any&amp;RpTyp=Either" TargetMode="External" Id="rId658"/><Relationship Type="http://schemas.openxmlformats.org/officeDocument/2006/relationships/hyperlink" Target="file:///\\192.168.11.15\Elmdale-Root\Accounting\pages\CommonAccount.aspx%3fsJump=3036-0000&amp;c.ChartCode=&amp;hAccount=&amp;hAccount2=&amp;DbCrd=Either&amp;AcTyp=Any&amp;RpTyp=Either" TargetMode="External" Id="rId659"/><Relationship Type="http://schemas.openxmlformats.org/officeDocument/2006/relationships/hyperlink" Target="file:///\\192.168.11.15\Elmdale-Root\Accounting\pages\CommonAccount.aspx%3fsJump=3037-0000&amp;c.ChartCode=&amp;hAccount=&amp;hAccount2=&amp;DbCrd=Either&amp;AcTyp=Any&amp;RpTyp=Either" TargetMode="External" Id="rId660"/><Relationship Type="http://schemas.openxmlformats.org/officeDocument/2006/relationships/hyperlink" Target="file:///\\192.168.11.15\Elmdale-Root\Accounting\pages\CommonAccount.aspx%3fsJump=3038-0000&amp;c.ChartCode=&amp;hAccount=&amp;hAccount2=&amp;DbCrd=Either&amp;AcTyp=Any&amp;RpTyp=Either" TargetMode="External" Id="rId661"/><Relationship Type="http://schemas.openxmlformats.org/officeDocument/2006/relationships/hyperlink" Target="file:///\\192.168.11.15\Elmdale-Root\Accounting\pages\CommonAccount.aspx%3fsJump=3039-0000&amp;c.ChartCode=&amp;hAccount=&amp;hAccount2=&amp;DbCrd=Either&amp;AcTyp=Any&amp;RpTyp=Either" TargetMode="External" Id="rId662"/><Relationship Type="http://schemas.openxmlformats.org/officeDocument/2006/relationships/hyperlink" Target="file:///\\192.168.11.15\Elmdale-Root\Accounting\pages\CommonAccount.aspx%3fsJump=3040-0000&amp;c.ChartCode=&amp;hAccount=&amp;hAccount2=&amp;DbCrd=Either&amp;AcTyp=Any&amp;RpTyp=Either" TargetMode="External" Id="rId663"/><Relationship Type="http://schemas.openxmlformats.org/officeDocument/2006/relationships/hyperlink" Target="file:///\\192.168.11.15\Elmdale-Root\Accounting\pages\CommonAccount.aspx%3fsJump=3041-0000&amp;c.ChartCode=&amp;hAccount=&amp;hAccount2=&amp;DbCrd=Either&amp;AcTyp=Any&amp;RpTyp=Either" TargetMode="External" Id="rId664"/><Relationship Type="http://schemas.openxmlformats.org/officeDocument/2006/relationships/hyperlink" Target="file:///\\192.168.11.15\Elmdale-Root\Accounting\pages\CommonAccount.aspx%3fsJump=3042-0000&amp;c.ChartCode=&amp;hAccount=&amp;hAccount2=&amp;DbCrd=Either&amp;AcTyp=Any&amp;RpTyp=Either" TargetMode="External" Id="rId665"/><Relationship Type="http://schemas.openxmlformats.org/officeDocument/2006/relationships/hyperlink" Target="file:///\\192.168.11.15\Elmdale-Root\Accounting\pages\CommonAccount.aspx%3fsJump=3046-0000&amp;c.ChartCode=&amp;hAccount=&amp;hAccount2=&amp;DbCrd=Either&amp;AcTyp=Any&amp;RpTyp=Either" TargetMode="External" Id="rId666"/><Relationship Type="http://schemas.openxmlformats.org/officeDocument/2006/relationships/hyperlink" Target="file:///\\192.168.11.15\Elmdale-Root\Accounting\pages\CommonAccount.aspx%3fsJump=3047-0000&amp;c.ChartCode=&amp;hAccount=&amp;hAccount2=&amp;DbCrd=Either&amp;AcTyp=Any&amp;RpTyp=Either" TargetMode="External" Id="rId667"/><Relationship Type="http://schemas.openxmlformats.org/officeDocument/2006/relationships/hyperlink" Target="file:///\\192.168.11.15\Elmdale-Root\Accounting\pages\CommonAccount.aspx%3fsJump=3048-0000&amp;c.ChartCode=&amp;hAccount=&amp;hAccount2=&amp;DbCrd=Either&amp;AcTyp=Any&amp;RpTyp=Either" TargetMode="External" Id="rId668"/><Relationship Type="http://schemas.openxmlformats.org/officeDocument/2006/relationships/hyperlink" Target="file:///\\192.168.11.15\Elmdale-Root\Accounting\pages\CommonAccount.aspx%3fsJump=3049-0000&amp;c.ChartCode=&amp;hAccount=&amp;hAccount2=&amp;DbCrd=Either&amp;AcTyp=Any&amp;RpTyp=Either" TargetMode="External" Id="rId669"/><Relationship Type="http://schemas.openxmlformats.org/officeDocument/2006/relationships/hyperlink" Target="file:///\\192.168.11.15\Elmdale-Root\Accounting\pages\CommonAccount.aspx%3fsJump=3050-0000&amp;c.ChartCode=&amp;hAccount=&amp;hAccount2=&amp;DbCrd=Either&amp;AcTyp=Any&amp;RpTyp=Either" TargetMode="External" Id="rId670"/><Relationship Type="http://schemas.openxmlformats.org/officeDocument/2006/relationships/hyperlink" Target="file:///\\192.168.11.15\Elmdale-Root\Accounting\pages\CommonAccount.aspx%3fsJump=3051-0000&amp;c.ChartCode=&amp;hAccount=&amp;hAccount2=&amp;DbCrd=Either&amp;AcTyp=Any&amp;RpTyp=Either" TargetMode="External" Id="rId671"/><Relationship Type="http://schemas.openxmlformats.org/officeDocument/2006/relationships/hyperlink" Target="file:///\\192.168.11.15\Elmdale-Root\Accounting\pages\CommonAccount.aspx%3fsJump=3052-0000&amp;c.ChartCode=&amp;hAccount=&amp;hAccount2=&amp;DbCrd=Either&amp;AcTyp=Any&amp;RpTyp=Either" TargetMode="External" Id="rId672"/><Relationship Type="http://schemas.openxmlformats.org/officeDocument/2006/relationships/hyperlink" Target="file:///\\192.168.11.15\Elmdale-Root\Accounting\pages\CommonAccount.aspx%3fsJump=3053-0000&amp;c.ChartCode=&amp;hAccount=&amp;hAccount2=&amp;DbCrd=Either&amp;AcTyp=Any&amp;RpTyp=Either" TargetMode="External" Id="rId673"/><Relationship Type="http://schemas.openxmlformats.org/officeDocument/2006/relationships/hyperlink" Target="file:///\\192.168.11.15\Elmdale-Root\Accounting\pages\CommonAccount.aspx%3fsJump=3055-0000&amp;c.ChartCode=&amp;hAccount=&amp;hAccount2=&amp;DbCrd=Either&amp;AcTyp=Any&amp;RpTyp=Either" TargetMode="External" Id="rId674"/><Relationship Type="http://schemas.openxmlformats.org/officeDocument/2006/relationships/hyperlink" Target="file:///\\192.168.11.15\Elmdale-Root\Accounting\pages\CommonAccount.aspx%3fsJump=3056-0000&amp;c.ChartCode=&amp;hAccount=&amp;hAccount2=&amp;DbCrd=Either&amp;AcTyp=Any&amp;RpTyp=Either" TargetMode="External" Id="rId675"/><Relationship Type="http://schemas.openxmlformats.org/officeDocument/2006/relationships/hyperlink" Target="file:///\\192.168.11.15\Elmdale-Root\Accounting\pages\CommonAccount.aspx%3fsJump=3057-0000&amp;c.ChartCode=&amp;hAccount=&amp;hAccount2=&amp;DbCrd=Either&amp;AcTyp=Any&amp;RpTyp=Either" TargetMode="External" Id="rId676"/><Relationship Type="http://schemas.openxmlformats.org/officeDocument/2006/relationships/hyperlink" Target="file:///\\192.168.11.15\Elmdale-Root\Accounting\pages\CommonAccount.aspx%3fsJump=3060-0000&amp;c.ChartCode=&amp;hAccount=&amp;hAccount2=&amp;DbCrd=Either&amp;AcTyp=Any&amp;RpTyp=Either" TargetMode="External" Id="rId677"/><Relationship Type="http://schemas.openxmlformats.org/officeDocument/2006/relationships/hyperlink" Target="file:///\\192.168.11.15\Elmdale-Root\Accounting\pages\CommonAccount.aspx%3fsJump=3064-0000&amp;c.ChartCode=&amp;hAccount=&amp;hAccount2=&amp;DbCrd=Either&amp;AcTyp=Any&amp;RpTyp=Either" TargetMode="External" Id="rId678"/><Relationship Type="http://schemas.openxmlformats.org/officeDocument/2006/relationships/hyperlink" Target="file:///\\192.168.11.15\Elmdale-Root\Accounting\pages\CommonAccount.aspx%3fsJump=3065-0000&amp;c.ChartCode=&amp;hAccount=&amp;hAccount2=&amp;DbCrd=Either&amp;AcTyp=Any&amp;RpTyp=Either" TargetMode="External" Id="rId679"/><Relationship Type="http://schemas.openxmlformats.org/officeDocument/2006/relationships/hyperlink" Target="file:///\\192.168.11.15\Elmdale-Root\Accounting\pages\CommonAccount.aspx%3fsJump=3066-0000&amp;c.ChartCode=&amp;hAccount=&amp;hAccount2=&amp;DbCrd=Either&amp;AcTyp=Any&amp;RpTyp=Either" TargetMode="External" Id="rId680"/><Relationship Type="http://schemas.openxmlformats.org/officeDocument/2006/relationships/hyperlink" Target="file:///\\192.168.11.15\Elmdale-Root\Accounting\pages\CommonAccount.aspx%3fsJump=3067-0000&amp;c.ChartCode=&amp;hAccount=&amp;hAccount2=&amp;DbCrd=Either&amp;AcTyp=Any&amp;RpTyp=Either" TargetMode="External" Id="rId681"/><Relationship Type="http://schemas.openxmlformats.org/officeDocument/2006/relationships/hyperlink" Target="file:///\\192.168.11.15\Elmdale-Root\Accounting\pages\CommonAccount.aspx%3fsJump=3068-0000&amp;c.ChartCode=&amp;hAccount=&amp;hAccount2=&amp;DbCrd=Either&amp;AcTyp=Any&amp;RpTyp=Either" TargetMode="External" Id="rId682"/><Relationship Type="http://schemas.openxmlformats.org/officeDocument/2006/relationships/hyperlink" Target="file:///\\192.168.11.15\Elmdale-Root\Accounting\pages\CommonAccount.aspx%3fsJump=3069-0000&amp;c.ChartCode=&amp;hAccount=&amp;hAccount2=&amp;DbCrd=Either&amp;AcTyp=Any&amp;RpTyp=Either" TargetMode="External" Id="rId683"/><Relationship Type="http://schemas.openxmlformats.org/officeDocument/2006/relationships/hyperlink" Target="file:///\\192.168.11.15\Elmdale-Root\Accounting\pages\CommonAccount.aspx%3fsJump=3070-0000&amp;c.ChartCode=&amp;hAccount=&amp;hAccount2=&amp;DbCrd=Either&amp;AcTyp=Any&amp;RpTyp=Either" TargetMode="External" Id="rId684"/><Relationship Type="http://schemas.openxmlformats.org/officeDocument/2006/relationships/hyperlink" Target="file:///\\192.168.11.15\Elmdale-Root\Accounting\pages\CommonAccount.aspx%3fsJump=3071-0000&amp;c.ChartCode=&amp;hAccount=&amp;hAccount2=&amp;DbCrd=Either&amp;AcTyp=Any&amp;RpTyp=Either" TargetMode="External" Id="rId685"/><Relationship Type="http://schemas.openxmlformats.org/officeDocument/2006/relationships/hyperlink" Target="file:///\\192.168.11.15\Elmdale-Root\Accounting\pages\CommonAccount.aspx%3fsJump=3076-0000&amp;c.ChartCode=&amp;hAccount=&amp;hAccount2=&amp;DbCrd=Either&amp;AcTyp=Any&amp;RpTyp=Either" TargetMode="External" Id="rId686"/><Relationship Type="http://schemas.openxmlformats.org/officeDocument/2006/relationships/hyperlink" Target="file:///\\192.168.11.15\Elmdale-Root\Accounting\pages\CommonAccount.aspx%3fsJump=3077-0000&amp;c.ChartCode=&amp;hAccount=&amp;hAccount2=&amp;DbCrd=Either&amp;AcTyp=Any&amp;RpTyp=Either" TargetMode="External" Id="rId687"/><Relationship Type="http://schemas.openxmlformats.org/officeDocument/2006/relationships/hyperlink" Target="file:///\\192.168.11.15\Elmdale-Root\Accounting\pages\CommonAccount.aspx%3fsJump=3080-0000&amp;c.ChartCode=&amp;hAccount=&amp;hAccount2=&amp;DbCrd=Either&amp;AcTyp=Any&amp;RpTyp=Either" TargetMode="External" Id="rId688"/><Relationship Type="http://schemas.openxmlformats.org/officeDocument/2006/relationships/hyperlink" Target="file:///\\192.168.11.15\Elmdale-Root\Accounting\pages\CommonAccount.aspx%3fsJump=3085-0000&amp;c.ChartCode=&amp;hAccount=&amp;hAccount2=&amp;DbCrd=Either&amp;AcTyp=Any&amp;RpTyp=Either" TargetMode="External" Id="rId689"/><Relationship Type="http://schemas.openxmlformats.org/officeDocument/2006/relationships/hyperlink" Target="file:///\\192.168.11.15\Elmdale-Root\Accounting\pages\CommonAccount.aspx%3fsJump=3086-0000&amp;c.ChartCode=&amp;hAccount=&amp;hAccount2=&amp;DbCrd=Either&amp;AcTyp=Any&amp;RpTyp=Either" TargetMode="External" Id="rId690"/><Relationship Type="http://schemas.openxmlformats.org/officeDocument/2006/relationships/hyperlink" Target="file:///\\192.168.11.15\Elmdale-Root\Accounting\pages\CommonAccount.aspx%3fsJump=3090-0000&amp;c.ChartCode=&amp;hAccount=&amp;hAccount2=&amp;DbCrd=Either&amp;AcTyp=Any&amp;RpTyp=Either" TargetMode="External" Id="rId691"/><Relationship Type="http://schemas.openxmlformats.org/officeDocument/2006/relationships/hyperlink" Target="file:///\\192.168.11.15\Elmdale-Root\Accounting\pages\CommonAccount.aspx%3fsJump=3090-1000&amp;c.ChartCode=&amp;hAccount=&amp;hAccount2=&amp;DbCrd=Either&amp;AcTyp=Any&amp;RpTyp=Either" TargetMode="External" Id="rId692"/><Relationship Type="http://schemas.openxmlformats.org/officeDocument/2006/relationships/hyperlink" Target="file:///\\192.168.11.15\Elmdale-Root\Accounting\pages\CommonAccount.aspx%3fsJump=3091-1000&amp;c.ChartCode=&amp;hAccount=&amp;hAccount2=&amp;DbCrd=Either&amp;AcTyp=Any&amp;RpTyp=Either" TargetMode="External" Id="rId693"/><Relationship Type="http://schemas.openxmlformats.org/officeDocument/2006/relationships/hyperlink" Target="file:///\\192.168.11.15\Elmdale-Root\Accounting\pages\CommonAccount.aspx%3fsJump=3100-0000&amp;c.ChartCode=&amp;hAccount=&amp;hAccount2=&amp;DbCrd=Either&amp;AcTyp=Any&amp;RpTyp=Either" TargetMode="External" Id="rId694"/><Relationship Type="http://schemas.openxmlformats.org/officeDocument/2006/relationships/hyperlink" Target="file:///\\192.168.11.15\Elmdale-Root\Accounting\pages\CommonAccount.aspx%3fsJump=3206-0000&amp;c.ChartCode=&amp;hAccount=&amp;hAccount2=&amp;DbCrd=Either&amp;AcTyp=Any&amp;RpTyp=Either" TargetMode="External" Id="rId695"/><Relationship Type="http://schemas.openxmlformats.org/officeDocument/2006/relationships/hyperlink" Target="file:///\\192.168.11.15\Elmdale-Root\Accounting\pages\CommonAccount.aspx%3fsJump=3206-0500&amp;c.ChartCode=&amp;hAccount=&amp;hAccount2=&amp;DbCrd=Either&amp;AcTyp=Any&amp;RpTyp=Either" TargetMode="External" Id="rId696"/><Relationship Type="http://schemas.openxmlformats.org/officeDocument/2006/relationships/hyperlink" Target="file:///\\192.168.11.15\Elmdale-Root\Accounting\pages\CommonAccount.aspx%3fsJump=3206-1000&amp;c.ChartCode=&amp;hAccount=&amp;hAccount2=&amp;DbCrd=Either&amp;AcTyp=Any&amp;RpTyp=Either" TargetMode="External" Id="rId697"/><Relationship Type="http://schemas.openxmlformats.org/officeDocument/2006/relationships/hyperlink" Target="file:///\\192.168.11.15\Elmdale-Root\Accounting\pages\CommonAccount.aspx%3fsJump=3207-0000&amp;c.ChartCode=&amp;hAccount=&amp;hAccount2=&amp;DbCrd=Either&amp;AcTyp=Any&amp;RpTyp=Either" TargetMode="External" Id="rId698"/><Relationship Type="http://schemas.openxmlformats.org/officeDocument/2006/relationships/hyperlink" Target="file:///\\192.168.11.15\Elmdale-Root\Accounting\pages\CommonAccount.aspx%3fsJump=3207-1000&amp;c.ChartCode=&amp;hAccount=&amp;hAccount2=&amp;DbCrd=Either&amp;AcTyp=Any&amp;RpTyp=Either" TargetMode="External" Id="rId699"/><Relationship Type="http://schemas.openxmlformats.org/officeDocument/2006/relationships/hyperlink" Target="file:///\\192.168.11.15\Elmdale-Root\Accounting\pages\CommonAccount.aspx%3fsJump=3207-2000&amp;c.ChartCode=&amp;hAccount=&amp;hAccount2=&amp;DbCrd=Either&amp;AcTyp=Any&amp;RpTyp=Either" TargetMode="External" Id="rId700"/><Relationship Type="http://schemas.openxmlformats.org/officeDocument/2006/relationships/hyperlink" Target="file:///\\192.168.11.15\Elmdale-Root\Accounting\pages\CommonAccount.aspx%3fsJump=3210-0000&amp;c.ChartCode=&amp;hAccount=&amp;hAccount2=&amp;DbCrd=Either&amp;AcTyp=Any&amp;RpTyp=Either" TargetMode="External" Id="rId701"/><Relationship Type="http://schemas.openxmlformats.org/officeDocument/2006/relationships/hyperlink" Target="file:///\\192.168.11.15\Elmdale-Root\Accounting\pages\CommonAccount.aspx%3fsJump=3300-0000&amp;c.ChartCode=&amp;hAccount=&amp;hAccount2=&amp;DbCrd=Either&amp;AcTyp=Any&amp;RpTyp=Either" TargetMode="External" Id="rId702"/><Relationship Type="http://schemas.openxmlformats.org/officeDocument/2006/relationships/hyperlink" Target="file:///\\192.168.11.15\Elmdale-Root\Accounting\pages\CommonAccount.aspx%3fsJump=3303-1410&amp;c.ChartCode=&amp;hAccount=&amp;hAccount2=&amp;DbCrd=Either&amp;AcTyp=Any&amp;RpTyp=Either" TargetMode="External" Id="rId703"/><Relationship Type="http://schemas.openxmlformats.org/officeDocument/2006/relationships/hyperlink" Target="file:///\\192.168.11.15\Elmdale-Root\Accounting\pages\CommonAccount.aspx%3fsJump=3303-1411&amp;c.ChartCode=&amp;hAccount=&amp;hAccount2=&amp;DbCrd=Either&amp;AcTyp=Any&amp;RpTyp=Either" TargetMode="External" Id="rId704"/><Relationship Type="http://schemas.openxmlformats.org/officeDocument/2006/relationships/hyperlink" Target="file:///\\192.168.11.15\Elmdale-Root\Accounting\pages\CommonAccount.aspx%3fsJump=3303-1412&amp;c.ChartCode=&amp;hAccount=&amp;hAccount2=&amp;DbCrd=Either&amp;AcTyp=Any&amp;RpTyp=Either" TargetMode="External" Id="rId705"/><Relationship Type="http://schemas.openxmlformats.org/officeDocument/2006/relationships/hyperlink" Target="file:///\\192.168.11.15\Elmdale-Root\Accounting\pages\CommonAccount.aspx%3fsJump=3303-1413&amp;c.ChartCode=&amp;hAccount=&amp;hAccount2=&amp;DbCrd=Either&amp;AcTyp=Any&amp;RpTyp=Either" TargetMode="External" Id="rId706"/><Relationship Type="http://schemas.openxmlformats.org/officeDocument/2006/relationships/hyperlink" Target="file:///\\192.168.11.15\Elmdale-Root\Accounting\pages\CommonAccount.aspx%3fsJump=3303-1420&amp;c.ChartCode=&amp;hAccount=&amp;hAccount2=&amp;DbCrd=Either&amp;AcTyp=Any&amp;RpTyp=Either" TargetMode="External" Id="rId707"/><Relationship Type="http://schemas.openxmlformats.org/officeDocument/2006/relationships/hyperlink" Target="file:///\\192.168.11.15\Elmdale-Root\Accounting\pages\CommonAccount.aspx%3fsJump=3303-1421&amp;c.ChartCode=&amp;hAccount=&amp;hAccount2=&amp;DbCrd=Either&amp;AcTyp=Any&amp;RpTyp=Either" TargetMode="External" Id="rId708"/><Relationship Type="http://schemas.openxmlformats.org/officeDocument/2006/relationships/hyperlink" Target="file:///\\192.168.11.15\Elmdale-Root\Accounting\pages\CommonAccount.aspx%3fsJump=3303-1422&amp;c.ChartCode=&amp;hAccount=&amp;hAccount2=&amp;DbCrd=Either&amp;AcTyp=Any&amp;RpTyp=Either" TargetMode="External" Id="rId709"/><Relationship Type="http://schemas.openxmlformats.org/officeDocument/2006/relationships/hyperlink" Target="file:///\\192.168.11.15\Elmdale-Root\Accounting\pages\CommonAccount.aspx%3fsJump=3303-1423&amp;c.ChartCode=&amp;hAccount=&amp;hAccount2=&amp;DbCrd=Either&amp;AcTyp=Any&amp;RpTyp=Either" TargetMode="External" Id="rId710"/><Relationship Type="http://schemas.openxmlformats.org/officeDocument/2006/relationships/hyperlink" Target="file:///\\192.168.11.15\Elmdale-Root\Accounting\pages\CommonAccount.aspx%3fsJump=3303-1430&amp;c.ChartCode=&amp;hAccount=&amp;hAccount2=&amp;DbCrd=Either&amp;AcTyp=Any&amp;RpTyp=Either" TargetMode="External" Id="rId711"/><Relationship Type="http://schemas.openxmlformats.org/officeDocument/2006/relationships/hyperlink" Target="file:///\\192.168.11.15\Elmdale-Root\Accounting\pages\CommonAccount.aspx%3fsJump=3303-1431&amp;c.ChartCode=&amp;hAccount=&amp;hAccount2=&amp;DbCrd=Either&amp;AcTyp=Any&amp;RpTyp=Either" TargetMode="External" Id="rId712"/><Relationship Type="http://schemas.openxmlformats.org/officeDocument/2006/relationships/hyperlink" Target="file:///\\192.168.11.15\Elmdale-Root\Accounting\pages\CommonAccount.aspx%3fsJump=3303-1432&amp;c.ChartCode=&amp;hAccount=&amp;hAccount2=&amp;DbCrd=Either&amp;AcTyp=Any&amp;RpTyp=Either" TargetMode="External" Id="rId713"/><Relationship Type="http://schemas.openxmlformats.org/officeDocument/2006/relationships/hyperlink" Target="file:///\\192.168.11.15\Elmdale-Root\Accounting\pages\CommonAccount.aspx%3fsJump=3303-1433&amp;c.ChartCode=&amp;hAccount=&amp;hAccount2=&amp;DbCrd=Either&amp;AcTyp=Any&amp;RpTyp=Either" TargetMode="External" Id="rId714"/><Relationship Type="http://schemas.openxmlformats.org/officeDocument/2006/relationships/hyperlink" Target="file:///\\192.168.11.15\Elmdale-Root\Accounting\pages\CommonAccount.aspx%3fsJump=3303-1440&amp;c.ChartCode=&amp;hAccount=&amp;hAccount2=&amp;DbCrd=Either&amp;AcTyp=Any&amp;RpTyp=Either" TargetMode="External" Id="rId715"/><Relationship Type="http://schemas.openxmlformats.org/officeDocument/2006/relationships/hyperlink" Target="file:///\\192.168.11.15\Elmdale-Root\Accounting\pages\CommonAccount.aspx%3fsJump=3303-1441&amp;c.ChartCode=&amp;hAccount=&amp;hAccount2=&amp;DbCrd=Either&amp;AcTyp=Any&amp;RpTyp=Either" TargetMode="External" Id="rId716"/><Relationship Type="http://schemas.openxmlformats.org/officeDocument/2006/relationships/hyperlink" Target="file:///\\192.168.11.15\Elmdale-Root\Accounting\pages\CommonAccount.aspx%3fsJump=3303-1442&amp;c.ChartCode=&amp;hAccount=&amp;hAccount2=&amp;DbCrd=Either&amp;AcTyp=Any&amp;RpTyp=Either" TargetMode="External" Id="rId717"/><Relationship Type="http://schemas.openxmlformats.org/officeDocument/2006/relationships/hyperlink" Target="file:///\\192.168.11.15\Elmdale-Root\Accounting\pages\CommonAccount.aspx%3fsJump=3303-1443&amp;c.ChartCode=&amp;hAccount=&amp;hAccount2=&amp;DbCrd=Either&amp;AcTyp=Any&amp;RpTyp=Either" TargetMode="External" Id="rId718"/><Relationship Type="http://schemas.openxmlformats.org/officeDocument/2006/relationships/hyperlink" Target="file:///\\192.168.11.15\Elmdale-Root\Accounting\pages\CommonAccount.aspx%3fsJump=3303-1450&amp;c.ChartCode=&amp;hAccount=&amp;hAccount2=&amp;DbCrd=Either&amp;AcTyp=Any&amp;RpTyp=Either" TargetMode="External" Id="rId719"/><Relationship Type="http://schemas.openxmlformats.org/officeDocument/2006/relationships/hyperlink" Target="file:///\\192.168.11.15\Elmdale-Root\Accounting\pages\CommonAccount.aspx%3fsJump=3303-1451&amp;c.ChartCode=&amp;hAccount=&amp;hAccount2=&amp;DbCrd=Either&amp;AcTyp=Any&amp;RpTyp=Either" TargetMode="External" Id="rId720"/><Relationship Type="http://schemas.openxmlformats.org/officeDocument/2006/relationships/hyperlink" Target="file:///\\192.168.11.15\Elmdale-Root\Accounting\pages\CommonAccount.aspx%3fsJump=3303-1452&amp;c.ChartCode=&amp;hAccount=&amp;hAccount2=&amp;DbCrd=Either&amp;AcTyp=Any&amp;RpTyp=Either" TargetMode="External" Id="rId721"/><Relationship Type="http://schemas.openxmlformats.org/officeDocument/2006/relationships/hyperlink" Target="file:///\\192.168.11.15\Elmdale-Root\Accounting\pages\CommonAccount.aspx%3fsJump=3303-1453&amp;c.ChartCode=&amp;hAccount=&amp;hAccount2=&amp;DbCrd=Either&amp;AcTyp=Any&amp;RpTyp=Either" TargetMode="External" Id="rId722"/><Relationship Type="http://schemas.openxmlformats.org/officeDocument/2006/relationships/hyperlink" Target="file:///\\192.168.11.15\Elmdale-Root\Accounting\pages\CommonAccount.aspx%3fsJump=3303-1460&amp;c.ChartCode=&amp;hAccount=&amp;hAccount2=&amp;DbCrd=Either&amp;AcTyp=Any&amp;RpTyp=Either" TargetMode="External" Id="rId723"/><Relationship Type="http://schemas.openxmlformats.org/officeDocument/2006/relationships/hyperlink" Target="file:///\\192.168.11.15\Elmdale-Root\Accounting\pages\CommonAccount.aspx%3fsJump=3303-1461&amp;c.ChartCode=&amp;hAccount=&amp;hAccount2=&amp;DbCrd=Either&amp;AcTyp=Any&amp;RpTyp=Either" TargetMode="External" Id="rId724"/><Relationship Type="http://schemas.openxmlformats.org/officeDocument/2006/relationships/hyperlink" Target="file:///\\192.168.11.15\Elmdale-Root\Accounting\pages\CommonAccount.aspx%3fsJump=3303-1462&amp;c.ChartCode=&amp;hAccount=&amp;hAccount2=&amp;DbCrd=Either&amp;AcTyp=Any&amp;RpTyp=Either" TargetMode="External" Id="rId725"/><Relationship Type="http://schemas.openxmlformats.org/officeDocument/2006/relationships/hyperlink" Target="file:///\\192.168.11.15\Elmdale-Root\Accounting\pages\CommonAccount.aspx%3fsJump=3303-1463&amp;c.ChartCode=&amp;hAccount=&amp;hAccount2=&amp;DbCrd=Either&amp;AcTyp=Any&amp;RpTyp=Either" TargetMode="External" Id="rId726"/><Relationship Type="http://schemas.openxmlformats.org/officeDocument/2006/relationships/hyperlink" Target="file:///\\192.168.11.15\Elmdale-Root\Accounting\pages\CommonAccount.aspx%3fsJump=3303-1470&amp;c.ChartCode=&amp;hAccount=&amp;hAccount2=&amp;DbCrd=Either&amp;AcTyp=Any&amp;RpTyp=Either" TargetMode="External" Id="rId727"/><Relationship Type="http://schemas.openxmlformats.org/officeDocument/2006/relationships/hyperlink" Target="file:///\\192.168.11.15\Elmdale-Root\Accounting\pages\CommonAccount.aspx%3fsJump=3303-1471&amp;c.ChartCode=&amp;hAccount=&amp;hAccount2=&amp;DbCrd=Either&amp;AcTyp=Any&amp;RpTyp=Either" TargetMode="External" Id="rId728"/><Relationship Type="http://schemas.openxmlformats.org/officeDocument/2006/relationships/hyperlink" Target="file:///\\192.168.11.15\Elmdale-Root\Accounting\pages\CommonAccount.aspx%3fsJump=3303-1472&amp;c.ChartCode=&amp;hAccount=&amp;hAccount2=&amp;DbCrd=Either&amp;AcTyp=Any&amp;RpTyp=Either" TargetMode="External" Id="rId729"/><Relationship Type="http://schemas.openxmlformats.org/officeDocument/2006/relationships/hyperlink" Target="file:///\\192.168.11.15\Elmdale-Root\Accounting\pages\CommonAccount.aspx%3fsJump=3303-1473&amp;c.ChartCode=&amp;hAccount=&amp;hAccount2=&amp;DbCrd=Either&amp;AcTyp=Any&amp;RpTyp=Either" TargetMode="External" Id="rId730"/><Relationship Type="http://schemas.openxmlformats.org/officeDocument/2006/relationships/hyperlink" Target="file:///\\192.168.11.15\Elmdale-Root\Accounting\pages\CommonAccount.aspx%3fsJump=3303-1480&amp;c.ChartCode=&amp;hAccount=&amp;hAccount2=&amp;DbCrd=Either&amp;AcTyp=Any&amp;RpTyp=Either" TargetMode="External" Id="rId731"/><Relationship Type="http://schemas.openxmlformats.org/officeDocument/2006/relationships/hyperlink" Target="file:///\\192.168.11.15\Elmdale-Root\Accounting\pages\CommonAccount.aspx%3fsJump=3303-1481&amp;c.ChartCode=&amp;hAccount=&amp;hAccount2=&amp;DbCrd=Either&amp;AcTyp=Any&amp;RpTyp=Either" TargetMode="External" Id="rId732"/><Relationship Type="http://schemas.openxmlformats.org/officeDocument/2006/relationships/hyperlink" Target="file:///\\192.168.11.15\Elmdale-Root\Accounting\pages\CommonAccount.aspx%3fsJump=3303-1482&amp;c.ChartCode=&amp;hAccount=&amp;hAccount2=&amp;DbCrd=Either&amp;AcTyp=Any&amp;RpTyp=Either" TargetMode="External" Id="rId733"/><Relationship Type="http://schemas.openxmlformats.org/officeDocument/2006/relationships/hyperlink" Target="file:///\\192.168.11.15\Elmdale-Root\Accounting\pages\CommonAccount.aspx%3fsJump=3303-1483&amp;c.ChartCode=&amp;hAccount=&amp;hAccount2=&amp;DbCrd=Either&amp;AcTyp=Any&amp;RpTyp=Either" TargetMode="External" Id="rId734"/><Relationship Type="http://schemas.openxmlformats.org/officeDocument/2006/relationships/hyperlink" Target="file:///\\192.168.11.15\Elmdale-Root\Accounting\pages\CommonAccount.aspx%3fsJump=3303-1490&amp;c.ChartCode=&amp;hAccount=&amp;hAccount2=&amp;DbCrd=Either&amp;AcTyp=Any&amp;RpTyp=Either" TargetMode="External" Id="rId735"/><Relationship Type="http://schemas.openxmlformats.org/officeDocument/2006/relationships/hyperlink" Target="file:///\\192.168.11.15\Elmdale-Root\Accounting\pages\CommonAccount.aspx%3fsJump=3303-1491&amp;c.ChartCode=&amp;hAccount=&amp;hAccount2=&amp;DbCrd=Either&amp;AcTyp=Any&amp;RpTyp=Either" TargetMode="External" Id="rId736"/><Relationship Type="http://schemas.openxmlformats.org/officeDocument/2006/relationships/hyperlink" Target="file:///\\192.168.11.15\Elmdale-Root\Accounting\pages\CommonAccount.aspx%3fsJump=3303-1492&amp;c.ChartCode=&amp;hAccount=&amp;hAccount2=&amp;DbCrd=Either&amp;AcTyp=Any&amp;RpTyp=Either" TargetMode="External" Id="rId737"/><Relationship Type="http://schemas.openxmlformats.org/officeDocument/2006/relationships/hyperlink" Target="file:///\\192.168.11.15\Elmdale-Root\Accounting\pages\CommonAccount.aspx%3fsJump=3303-1493&amp;c.ChartCode=&amp;hAccount=&amp;hAccount2=&amp;DbCrd=Either&amp;AcTyp=Any&amp;RpTyp=Either" TargetMode="External" Id="rId738"/><Relationship Type="http://schemas.openxmlformats.org/officeDocument/2006/relationships/hyperlink" Target="file:///\\192.168.11.15\Elmdale-Root\Accounting\pages\CommonAccount.aspx%3fsJump=3303-1500&amp;c.ChartCode=&amp;hAccount=&amp;hAccount2=&amp;DbCrd=Either&amp;AcTyp=Any&amp;RpTyp=Either" TargetMode="External" Id="rId739"/><Relationship Type="http://schemas.openxmlformats.org/officeDocument/2006/relationships/hyperlink" Target="file:///\\192.168.11.15\Elmdale-Root\Accounting\pages\CommonAccount.aspx%3fsJump=3303-1501&amp;c.ChartCode=&amp;hAccount=&amp;hAccount2=&amp;DbCrd=Either&amp;AcTyp=Any&amp;RpTyp=Either" TargetMode="External" Id="rId740"/><Relationship Type="http://schemas.openxmlformats.org/officeDocument/2006/relationships/hyperlink" Target="file:///\\192.168.11.15\Elmdale-Root\Accounting\pages\CommonAccount.aspx%3fsJump=3303-1502&amp;c.ChartCode=&amp;hAccount=&amp;hAccount2=&amp;DbCrd=Either&amp;AcTyp=Any&amp;RpTyp=Either" TargetMode="External" Id="rId741"/><Relationship Type="http://schemas.openxmlformats.org/officeDocument/2006/relationships/hyperlink" Target="file:///\\192.168.11.15\Elmdale-Root\Accounting\pages\CommonAccount.aspx%3fsJump=3303-1503&amp;c.ChartCode=&amp;hAccount=&amp;hAccount2=&amp;DbCrd=Either&amp;AcTyp=Any&amp;RpTyp=Either" TargetMode="External" Id="rId742"/><Relationship Type="http://schemas.openxmlformats.org/officeDocument/2006/relationships/hyperlink" Target="file:///\\192.168.11.15\Elmdale-Root\Accounting\pages\CommonAccount.aspx%3fsJump=3303-1510&amp;c.ChartCode=&amp;hAccount=&amp;hAccount2=&amp;DbCrd=Either&amp;AcTyp=Any&amp;RpTyp=Either" TargetMode="External" Id="rId743"/><Relationship Type="http://schemas.openxmlformats.org/officeDocument/2006/relationships/hyperlink" Target="file:///\\192.168.11.15\Elmdale-Root\Accounting\pages\CommonAccount.aspx%3fsJump=3303-1511&amp;c.ChartCode=&amp;hAccount=&amp;hAccount2=&amp;DbCrd=Either&amp;AcTyp=Any&amp;RpTyp=Either" TargetMode="External" Id="rId744"/><Relationship Type="http://schemas.openxmlformats.org/officeDocument/2006/relationships/hyperlink" Target="file:///\\192.168.11.15\Elmdale-Root\Accounting\pages\CommonAccount.aspx%3fsJump=3303-1512&amp;c.ChartCode=&amp;hAccount=&amp;hAccount2=&amp;DbCrd=Either&amp;AcTyp=Any&amp;RpTyp=Either" TargetMode="External" Id="rId745"/><Relationship Type="http://schemas.openxmlformats.org/officeDocument/2006/relationships/hyperlink" Target="file:///\\192.168.11.15\Elmdale-Root\Accounting\pages\CommonAccount.aspx%3fsJump=3303-1513&amp;c.ChartCode=&amp;hAccount=&amp;hAccount2=&amp;DbCrd=Either&amp;AcTyp=Any&amp;RpTyp=Either" TargetMode="External" Id="rId746"/><Relationship Type="http://schemas.openxmlformats.org/officeDocument/2006/relationships/hyperlink" Target="file:///\\192.168.11.15\Elmdale-Root\Accounting\pages\CommonAccount.aspx%3fsJump=3303-1515&amp;c.ChartCode=&amp;hAccount=&amp;hAccount2=&amp;DbCrd=Either&amp;AcTyp=Any&amp;RpTyp=Either" TargetMode="External" Id="rId747"/><Relationship Type="http://schemas.openxmlformats.org/officeDocument/2006/relationships/hyperlink" Target="file:///\\192.168.11.15\Elmdale-Root\Accounting\pages\CommonAccount.aspx%3fsJump=3303-1516&amp;c.ChartCode=&amp;hAccount=&amp;hAccount2=&amp;DbCrd=Either&amp;AcTyp=Any&amp;RpTyp=Either" TargetMode="External" Id="rId748"/><Relationship Type="http://schemas.openxmlformats.org/officeDocument/2006/relationships/hyperlink" Target="file:///\\192.168.11.15\Elmdale-Root\Accounting\pages\CommonAccount.aspx%3fsJump=3303-1517&amp;c.ChartCode=&amp;hAccount=&amp;hAccount2=&amp;DbCrd=Either&amp;AcTyp=Any&amp;RpTyp=Either" TargetMode="External" Id="rId749"/><Relationship Type="http://schemas.openxmlformats.org/officeDocument/2006/relationships/hyperlink" Target="file:///\\192.168.11.15\Elmdale-Root\Accounting\pages\CommonAccount.aspx%3fsJump=3303-1518&amp;c.ChartCode=&amp;hAccount=&amp;hAccount2=&amp;DbCrd=Either&amp;AcTyp=Any&amp;RpTyp=Either" TargetMode="External" Id="rId750"/><Relationship Type="http://schemas.openxmlformats.org/officeDocument/2006/relationships/hyperlink" Target="file:///\\192.168.11.15\Elmdale-Root\Accounting\pages\CommonAccount.aspx%3fsJump=3303-1520&amp;c.ChartCode=&amp;hAccount=&amp;hAccount2=&amp;DbCrd=Either&amp;AcTyp=Any&amp;RpTyp=Either" TargetMode="External" Id="rId751"/><Relationship Type="http://schemas.openxmlformats.org/officeDocument/2006/relationships/hyperlink" Target="file:///\\192.168.11.15\Elmdale-Root\Accounting\pages\CommonAccount.aspx%3fsJump=3303-1521&amp;c.ChartCode=&amp;hAccount=&amp;hAccount2=&amp;DbCrd=Either&amp;AcTyp=Any&amp;RpTyp=Either" TargetMode="External" Id="rId752"/><Relationship Type="http://schemas.openxmlformats.org/officeDocument/2006/relationships/hyperlink" Target="file:///\\192.168.11.15\Elmdale-Root\Accounting\pages\CommonAccount.aspx%3fsJump=3303-1522&amp;c.ChartCode=&amp;hAccount=&amp;hAccount2=&amp;DbCrd=Either&amp;AcTyp=Any&amp;RpTyp=Either" TargetMode="External" Id="rId753"/><Relationship Type="http://schemas.openxmlformats.org/officeDocument/2006/relationships/hyperlink" Target="file:///\\192.168.11.15\Elmdale-Root\Accounting\pages\CommonAccount.aspx%3fsJump=3303-1523&amp;c.ChartCode=&amp;hAccount=&amp;hAccount2=&amp;DbCrd=Either&amp;AcTyp=Any&amp;RpTyp=Either" TargetMode="External" Id="rId754"/><Relationship Type="http://schemas.openxmlformats.org/officeDocument/2006/relationships/hyperlink" Target="file:///\\192.168.11.15\Elmdale-Root\Accounting\pages\CommonAccount.aspx%3fsJump=3303-1530&amp;c.ChartCode=&amp;hAccount=&amp;hAccount2=&amp;DbCrd=Either&amp;AcTyp=Any&amp;RpTyp=Either" TargetMode="External" Id="rId755"/><Relationship Type="http://schemas.openxmlformats.org/officeDocument/2006/relationships/hyperlink" Target="file:///\\192.168.11.15\Elmdale-Root\Accounting\pages\CommonAccount.aspx%3fsJump=3303-1531&amp;c.ChartCode=&amp;hAccount=&amp;hAccount2=&amp;DbCrd=Either&amp;AcTyp=Any&amp;RpTyp=Either" TargetMode="External" Id="rId756"/><Relationship Type="http://schemas.openxmlformats.org/officeDocument/2006/relationships/hyperlink" Target="file:///\\192.168.11.15\Elmdale-Root\Accounting\pages\CommonAccount.aspx%3fsJump=3303-1532&amp;c.ChartCode=&amp;hAccount=&amp;hAccount2=&amp;DbCrd=Either&amp;AcTyp=Any&amp;RpTyp=Either" TargetMode="External" Id="rId757"/><Relationship Type="http://schemas.openxmlformats.org/officeDocument/2006/relationships/hyperlink" Target="file:///\\192.168.11.15\Elmdale-Root\Accounting\pages\CommonAccount.aspx%3fsJump=3303-1533&amp;c.ChartCode=&amp;hAccount=&amp;hAccount2=&amp;DbCrd=Either&amp;AcTyp=Any&amp;RpTyp=Either" TargetMode="External" Id="rId758"/><Relationship Type="http://schemas.openxmlformats.org/officeDocument/2006/relationships/hyperlink" Target="file:///\\192.168.11.15\Elmdale-Root\Accounting\pages\CommonAccount.aspx%3fsJump=3303-1540&amp;c.ChartCode=&amp;hAccount=&amp;hAccount2=&amp;DbCrd=Either&amp;AcTyp=Any&amp;RpTyp=Either" TargetMode="External" Id="rId759"/><Relationship Type="http://schemas.openxmlformats.org/officeDocument/2006/relationships/hyperlink" Target="file:///\\192.168.11.15\Elmdale-Root\Accounting\pages\CommonAccount.aspx%3fsJump=3303-1541&amp;c.ChartCode=&amp;hAccount=&amp;hAccount2=&amp;DbCrd=Either&amp;AcTyp=Any&amp;RpTyp=Either" TargetMode="External" Id="rId760"/><Relationship Type="http://schemas.openxmlformats.org/officeDocument/2006/relationships/hyperlink" Target="file:///\\192.168.11.15\Elmdale-Root\Accounting\pages\CommonAccount.aspx%3fsJump=3303-1542&amp;c.ChartCode=&amp;hAccount=&amp;hAccount2=&amp;DbCrd=Either&amp;AcTyp=Any&amp;RpTyp=Either" TargetMode="External" Id="rId761"/><Relationship Type="http://schemas.openxmlformats.org/officeDocument/2006/relationships/hyperlink" Target="file:///\\192.168.11.15\Elmdale-Root\Accounting\pages\CommonAccount.aspx%3fsJump=3303-1543&amp;c.ChartCode=&amp;hAccount=&amp;hAccount2=&amp;DbCrd=Either&amp;AcTyp=Any&amp;RpTyp=Either" TargetMode="External" Id="rId762"/><Relationship Type="http://schemas.openxmlformats.org/officeDocument/2006/relationships/hyperlink" Target="file:///\\192.168.11.15\Elmdale-Root\Accounting\pages\CommonAccount.aspx%3fsJump=3303-1550&amp;c.ChartCode=&amp;hAccount=&amp;hAccount2=&amp;DbCrd=Either&amp;AcTyp=Any&amp;RpTyp=Either" TargetMode="External" Id="rId763"/><Relationship Type="http://schemas.openxmlformats.org/officeDocument/2006/relationships/hyperlink" Target="file:///\\192.168.11.15\Elmdale-Root\Accounting\pages\CommonAccount.aspx%3fsJump=3303-1551&amp;c.ChartCode=&amp;hAccount=&amp;hAccount2=&amp;DbCrd=Either&amp;AcTyp=Any&amp;RpTyp=Either" TargetMode="External" Id="rId764"/><Relationship Type="http://schemas.openxmlformats.org/officeDocument/2006/relationships/hyperlink" Target="file:///\\192.168.11.15\Elmdale-Root\Accounting\pages\CommonAccount.aspx%3fsJump=3303-1552&amp;c.ChartCode=&amp;hAccount=&amp;hAccount2=&amp;DbCrd=Either&amp;AcTyp=Any&amp;RpTyp=Either" TargetMode="External" Id="rId765"/><Relationship Type="http://schemas.openxmlformats.org/officeDocument/2006/relationships/hyperlink" Target="file:///\\192.168.11.15\Elmdale-Root\Accounting\pages\CommonAccount.aspx%3fsJump=3303-1553&amp;c.ChartCode=&amp;hAccount=&amp;hAccount2=&amp;DbCrd=Either&amp;AcTyp=Any&amp;RpTyp=Either" TargetMode="External" Id="rId766"/><Relationship Type="http://schemas.openxmlformats.org/officeDocument/2006/relationships/hyperlink" Target="file:///\\192.168.11.15\Elmdale-Root\Accounting\pages\CommonAccount.aspx%3fsJump=3303-1560&amp;c.ChartCode=&amp;hAccount=&amp;hAccount2=&amp;DbCrd=Either&amp;AcTyp=Any&amp;RpTyp=Either" TargetMode="External" Id="rId767"/><Relationship Type="http://schemas.openxmlformats.org/officeDocument/2006/relationships/hyperlink" Target="file:///\\192.168.11.15\Elmdale-Root\Accounting\pages\CommonAccount.aspx%3fsJump=3303-1561&amp;c.ChartCode=&amp;hAccount=&amp;hAccount2=&amp;DbCrd=Either&amp;AcTyp=Any&amp;RpTyp=Either" TargetMode="External" Id="rId768"/><Relationship Type="http://schemas.openxmlformats.org/officeDocument/2006/relationships/hyperlink" Target="file:///\\192.168.11.15\Elmdale-Root\Accounting\pages\CommonAccount.aspx%3fsJump=3303-1562&amp;c.ChartCode=&amp;hAccount=&amp;hAccount2=&amp;DbCrd=Either&amp;AcTyp=Any&amp;RpTyp=Either" TargetMode="External" Id="rId769"/><Relationship Type="http://schemas.openxmlformats.org/officeDocument/2006/relationships/hyperlink" Target="file:///\\192.168.11.15\Elmdale-Root\Accounting\pages\CommonAccount.aspx%3fsJump=3303-1563&amp;c.ChartCode=&amp;hAccount=&amp;hAccount2=&amp;DbCrd=Either&amp;AcTyp=Any&amp;RpTyp=Either" TargetMode="External" Id="rId770"/><Relationship Type="http://schemas.openxmlformats.org/officeDocument/2006/relationships/hyperlink" Target="file:///\\192.168.11.15\Elmdale-Root\Accounting\pages\CommonAccount.aspx%3fsJump=3303-2001&amp;c.ChartCode=&amp;hAccount=&amp;hAccount2=&amp;DbCrd=Either&amp;AcTyp=Any&amp;RpTyp=Either" TargetMode="External" Id="rId771"/><Relationship Type="http://schemas.openxmlformats.org/officeDocument/2006/relationships/hyperlink" Target="file:///\\192.168.11.15\Elmdale-Root\Accounting\pages\CommonAccount.aspx%3fsJump=3303-2002&amp;c.ChartCode=&amp;hAccount=&amp;hAccount2=&amp;DbCrd=Either&amp;AcTyp=Any&amp;RpTyp=Either" TargetMode="External" Id="rId772"/><Relationship Type="http://schemas.openxmlformats.org/officeDocument/2006/relationships/hyperlink" Target="file:///\\192.168.11.15\Elmdale-Root\Accounting\pages\CommonAccount.aspx%3fsJump=3303-2003&amp;c.ChartCode=&amp;hAccount=&amp;hAccount2=&amp;DbCrd=Either&amp;AcTyp=Any&amp;RpTyp=Either" TargetMode="External" Id="rId773"/><Relationship Type="http://schemas.openxmlformats.org/officeDocument/2006/relationships/hyperlink" Target="file:///\\192.168.11.15\Elmdale-Root\Accounting\pages\CommonAccount.aspx%3fsJump=3303-2004&amp;c.ChartCode=&amp;hAccount=&amp;hAccount2=&amp;DbCrd=Either&amp;AcTyp=Any&amp;RpTyp=Either" TargetMode="External" Id="rId774"/><Relationship Type="http://schemas.openxmlformats.org/officeDocument/2006/relationships/hyperlink" Target="file:///\\192.168.11.15\Elmdale-Root\Accounting\pages\CommonAccount.aspx%3fsJump=3303-2005&amp;c.ChartCode=&amp;hAccount=&amp;hAccount2=&amp;DbCrd=Either&amp;AcTyp=Any&amp;RpTyp=Either" TargetMode="External" Id="rId775"/><Relationship Type="http://schemas.openxmlformats.org/officeDocument/2006/relationships/hyperlink" Target="file:///\\192.168.11.15\Elmdale-Root\Accounting\pages\CommonAccount.aspx%3fsJump=3303-2006&amp;c.ChartCode=&amp;hAccount=&amp;hAccount2=&amp;DbCrd=Either&amp;AcTyp=Any&amp;RpTyp=Either" TargetMode="External" Id="rId776"/><Relationship Type="http://schemas.openxmlformats.org/officeDocument/2006/relationships/hyperlink" Target="file:///\\192.168.11.15\Elmdale-Root\Accounting\pages\CommonAccount.aspx%3fsJump=3303-2007&amp;c.ChartCode=&amp;hAccount=&amp;hAccount2=&amp;DbCrd=Either&amp;AcTyp=Any&amp;RpTyp=Either" TargetMode="External" Id="rId777"/><Relationship Type="http://schemas.openxmlformats.org/officeDocument/2006/relationships/hyperlink" Target="file:///\\192.168.11.15\Elmdale-Root\Accounting\pages\CommonAccount.aspx%3fsJump=3303-2008&amp;c.ChartCode=&amp;hAccount=&amp;hAccount2=&amp;DbCrd=Either&amp;AcTyp=Any&amp;RpTyp=Either" TargetMode="External" Id="rId778"/><Relationship Type="http://schemas.openxmlformats.org/officeDocument/2006/relationships/hyperlink" Target="file:///\\192.168.11.15\Elmdale-Root\Accounting\pages\CommonAccount.aspx%3fsJump=3303-2009&amp;c.ChartCode=&amp;hAccount=&amp;hAccount2=&amp;DbCrd=Either&amp;AcTyp=Any&amp;RpTyp=Either" TargetMode="External" Id="rId779"/><Relationship Type="http://schemas.openxmlformats.org/officeDocument/2006/relationships/hyperlink" Target="file:///\\192.168.11.15\Elmdale-Root\Accounting\pages\CommonAccount.aspx%3fsJump=3303-2010&amp;c.ChartCode=&amp;hAccount=&amp;hAccount2=&amp;DbCrd=Either&amp;AcTyp=Any&amp;RpTyp=Either" TargetMode="External" Id="rId780"/><Relationship Type="http://schemas.openxmlformats.org/officeDocument/2006/relationships/hyperlink" Target="file:///\\192.168.11.15\Elmdale-Root\Accounting\pages\CommonAccount.aspx%3fsJump=3303-2011&amp;c.ChartCode=&amp;hAccount=&amp;hAccount2=&amp;DbCrd=Either&amp;AcTyp=Any&amp;RpTyp=Either" TargetMode="External" Id="rId781"/><Relationship Type="http://schemas.openxmlformats.org/officeDocument/2006/relationships/hyperlink" Target="file:///\\192.168.11.15\Elmdale-Root\Accounting\pages\CommonAccount.aspx%3fsJump=3303-2012&amp;c.ChartCode=&amp;hAccount=&amp;hAccount2=&amp;DbCrd=Either&amp;AcTyp=Any&amp;RpTyp=Either" TargetMode="External" Id="rId782"/><Relationship Type="http://schemas.openxmlformats.org/officeDocument/2006/relationships/hyperlink" Target="file:///\\192.168.11.15\Elmdale-Root\Accounting\pages\CommonAccount.aspx%3fsJump=3303-2013&amp;c.ChartCode=&amp;hAccount=&amp;hAccount2=&amp;DbCrd=Either&amp;AcTyp=Any&amp;RpTyp=Either" TargetMode="External" Id="rId783"/><Relationship Type="http://schemas.openxmlformats.org/officeDocument/2006/relationships/hyperlink" Target="file:///\\192.168.11.15\Elmdale-Root\Accounting\pages\CommonAccount.aspx%3fsJump=3303-2014&amp;c.ChartCode=&amp;hAccount=&amp;hAccount2=&amp;DbCrd=Either&amp;AcTyp=Any&amp;RpTyp=Either" TargetMode="External" Id="rId784"/><Relationship Type="http://schemas.openxmlformats.org/officeDocument/2006/relationships/hyperlink" Target="file:///\\192.168.11.15\Elmdale-Root\Accounting\pages\CommonAccount.aspx%3fsJump=3303-2015&amp;c.ChartCode=&amp;hAccount=&amp;hAccount2=&amp;DbCrd=Either&amp;AcTyp=Any&amp;RpTyp=Either" TargetMode="External" Id="rId785"/><Relationship Type="http://schemas.openxmlformats.org/officeDocument/2006/relationships/hyperlink" Target="file:///\\192.168.11.15\Elmdale-Root\Accounting\pages\CommonAccount.aspx%3fsJump=3303-2016&amp;c.ChartCode=&amp;hAccount=&amp;hAccount2=&amp;DbCrd=Either&amp;AcTyp=Any&amp;RpTyp=Either" TargetMode="External" Id="rId786"/><Relationship Type="http://schemas.openxmlformats.org/officeDocument/2006/relationships/hyperlink" Target="file:///\\192.168.11.15\Elmdale-Root\Accounting\pages\CommonAccount.aspx%3fsJump=3303-2018&amp;c.ChartCode=&amp;hAccount=&amp;hAccount2=&amp;DbCrd=Either&amp;AcTyp=Any&amp;RpTyp=Either" TargetMode="External" Id="rId787"/><Relationship Type="http://schemas.openxmlformats.org/officeDocument/2006/relationships/hyperlink" Target="file:///\\192.168.11.15\Elmdale-Root\Accounting\pages\CommonAccount.aspx%3fsJump=3303-2019&amp;c.ChartCode=&amp;hAccount=&amp;hAccount2=&amp;DbCrd=Either&amp;AcTyp=Any&amp;RpTyp=Either" TargetMode="External" Id="rId788"/><Relationship Type="http://schemas.openxmlformats.org/officeDocument/2006/relationships/hyperlink" Target="file:///\\192.168.11.15\Elmdale-Root\Accounting\pages\CommonAccount.aspx%3fsJump=3303-2020&amp;c.ChartCode=&amp;hAccount=&amp;hAccount2=&amp;DbCrd=Either&amp;AcTyp=Any&amp;RpTyp=Either" TargetMode="External" Id="rId789"/><Relationship Type="http://schemas.openxmlformats.org/officeDocument/2006/relationships/hyperlink" Target="file:///\\192.168.11.15\Elmdale-Root\Accounting\pages\CommonAccount.aspx%3fsJump=3303-2021&amp;c.ChartCode=&amp;hAccount=&amp;hAccount2=&amp;DbCrd=Either&amp;AcTyp=Any&amp;RpTyp=Either" TargetMode="External" Id="rId790"/><Relationship Type="http://schemas.openxmlformats.org/officeDocument/2006/relationships/hyperlink" Target="file:///\\192.168.11.15\Elmdale-Root\Accounting\pages\CommonAccount.aspx%3fsJump=3303-2022&amp;c.ChartCode=&amp;hAccount=&amp;hAccount2=&amp;DbCrd=Either&amp;AcTyp=Any&amp;RpTyp=Either" TargetMode="External" Id="rId791"/><Relationship Type="http://schemas.openxmlformats.org/officeDocument/2006/relationships/hyperlink" Target="file:///\\192.168.11.15\Elmdale-Root\Accounting\pages\CommonAccount.aspx%3fsJump=3303-2023&amp;c.ChartCode=&amp;hAccount=&amp;hAccount2=&amp;DbCrd=Either&amp;AcTyp=Any&amp;RpTyp=Either" TargetMode="External" Id="rId792"/><Relationship Type="http://schemas.openxmlformats.org/officeDocument/2006/relationships/hyperlink" Target="file:///\\192.168.11.15\Elmdale-Root\Accounting\pages\CommonAccount.aspx%3fsJump=3303-2024&amp;c.ChartCode=&amp;hAccount=&amp;hAccount2=&amp;DbCrd=Either&amp;AcTyp=Any&amp;RpTyp=Either" TargetMode="External" Id="rId793"/><Relationship Type="http://schemas.openxmlformats.org/officeDocument/2006/relationships/hyperlink" Target="file:///\\192.168.11.15\Elmdale-Root\Accounting\pages\CommonAccount.aspx%3fsJump=3303-2025&amp;c.ChartCode=&amp;hAccount=&amp;hAccount2=&amp;DbCrd=Either&amp;AcTyp=Any&amp;RpTyp=Either" TargetMode="External" Id="rId794"/><Relationship Type="http://schemas.openxmlformats.org/officeDocument/2006/relationships/hyperlink" Target="file:///\\192.168.11.15\Elmdale-Root\Accounting\pages\CommonAccount.aspx%3fsJump=3303-2026&amp;c.ChartCode=&amp;hAccount=&amp;hAccount2=&amp;DbCrd=Either&amp;AcTyp=Any&amp;RpTyp=Either" TargetMode="External" Id="rId795"/><Relationship Type="http://schemas.openxmlformats.org/officeDocument/2006/relationships/hyperlink" Target="file:///\\192.168.11.15\Elmdale-Root\Accounting\pages\CommonAccount.aspx%3fsJump=3303-2027&amp;c.ChartCode=&amp;hAccount=&amp;hAccount2=&amp;DbCrd=Either&amp;AcTyp=Any&amp;RpTyp=Either" TargetMode="External" Id="rId796"/><Relationship Type="http://schemas.openxmlformats.org/officeDocument/2006/relationships/hyperlink" Target="file:///\\192.168.11.15\Elmdale-Root\Accounting\pages\CommonAccount.aspx%3fsJump=3303-2028&amp;c.ChartCode=&amp;hAccount=&amp;hAccount2=&amp;DbCrd=Either&amp;AcTyp=Any&amp;RpTyp=Either" TargetMode="External" Id="rId797"/><Relationship Type="http://schemas.openxmlformats.org/officeDocument/2006/relationships/hyperlink" Target="file:///\\192.168.11.15\Elmdale-Root\Accounting\pages\CommonAccount.aspx%3fsJump=3303-2029&amp;c.ChartCode=&amp;hAccount=&amp;hAccount2=&amp;DbCrd=Either&amp;AcTyp=Any&amp;RpTyp=Either" TargetMode="External" Id="rId798"/><Relationship Type="http://schemas.openxmlformats.org/officeDocument/2006/relationships/hyperlink" Target="file:///\\192.168.11.15\Elmdale-Root\Accounting\pages\CommonAccount.aspx%3fsJump=3303-2030&amp;c.ChartCode=&amp;hAccount=&amp;hAccount2=&amp;DbCrd=Either&amp;AcTyp=Any&amp;RpTyp=Either" TargetMode="External" Id="rId799"/><Relationship Type="http://schemas.openxmlformats.org/officeDocument/2006/relationships/hyperlink" Target="file:///\\192.168.11.15\Elmdale-Root\Accounting\pages\CommonAccount.aspx%3fsJump=3303-2031&amp;c.ChartCode=&amp;hAccount=&amp;hAccount2=&amp;DbCrd=Either&amp;AcTyp=Any&amp;RpTyp=Either" TargetMode="External" Id="rId800"/><Relationship Type="http://schemas.openxmlformats.org/officeDocument/2006/relationships/hyperlink" Target="file:///\\192.168.11.15\Elmdale-Root\Accounting\pages\CommonAccount.aspx%3fsJump=3303-2032&amp;c.ChartCode=&amp;hAccount=&amp;hAccount2=&amp;DbCrd=Either&amp;AcTyp=Any&amp;RpTyp=Either" TargetMode="External" Id="rId801"/><Relationship Type="http://schemas.openxmlformats.org/officeDocument/2006/relationships/hyperlink" Target="file:///\\192.168.11.15\Elmdale-Root\Accounting\pages\CommonAccount.aspx%3fsJump=3303-2033&amp;c.ChartCode=&amp;hAccount=&amp;hAccount2=&amp;DbCrd=Either&amp;AcTyp=Any&amp;RpTyp=Either" TargetMode="External" Id="rId802"/><Relationship Type="http://schemas.openxmlformats.org/officeDocument/2006/relationships/hyperlink" Target="file:///\\192.168.11.15\Elmdale-Root\Accounting\pages\CommonAccount.aspx%3fsJump=3303-2034&amp;c.ChartCode=&amp;hAccount=&amp;hAccount2=&amp;DbCrd=Either&amp;AcTyp=Any&amp;RpTyp=Either" TargetMode="External" Id="rId803"/><Relationship Type="http://schemas.openxmlformats.org/officeDocument/2006/relationships/hyperlink" Target="file:///\\192.168.11.15\Elmdale-Root\Accounting\pages\CommonAccount.aspx%3fsJump=3303-2035&amp;c.ChartCode=&amp;hAccount=&amp;hAccount2=&amp;DbCrd=Either&amp;AcTyp=Any&amp;RpTyp=Either" TargetMode="External" Id="rId804"/><Relationship Type="http://schemas.openxmlformats.org/officeDocument/2006/relationships/hyperlink" Target="file:///\\192.168.11.15\Elmdale-Root\Accounting\pages\CommonAccount.aspx%3fsJump=3303-2036&amp;c.ChartCode=&amp;hAccount=&amp;hAccount2=&amp;DbCrd=Either&amp;AcTyp=Any&amp;RpTyp=Either" TargetMode="External" Id="rId805"/><Relationship Type="http://schemas.openxmlformats.org/officeDocument/2006/relationships/hyperlink" Target="file:///\\192.168.11.15\Elmdale-Root\Accounting\pages\CommonAccount.aspx%3fsJump=3303-2037&amp;c.ChartCode=&amp;hAccount=&amp;hAccount2=&amp;DbCrd=Either&amp;AcTyp=Any&amp;RpTyp=Either" TargetMode="External" Id="rId806"/><Relationship Type="http://schemas.openxmlformats.org/officeDocument/2006/relationships/hyperlink" Target="file:///\\192.168.11.15\Elmdale-Root\Accounting\pages\CommonAccount.aspx%3fsJump=3303-2038&amp;c.ChartCode=&amp;hAccount=&amp;hAccount2=&amp;DbCrd=Either&amp;AcTyp=Any&amp;RpTyp=Either" TargetMode="External" Id="rId807"/><Relationship Type="http://schemas.openxmlformats.org/officeDocument/2006/relationships/hyperlink" Target="file:///\\192.168.11.15\Elmdale-Root\Accounting\pages\CommonAccount.aspx%3fsJump=3303-2039&amp;c.ChartCode=&amp;hAccount=&amp;hAccount2=&amp;DbCrd=Either&amp;AcTyp=Any&amp;RpTyp=Either" TargetMode="External" Id="rId808"/><Relationship Type="http://schemas.openxmlformats.org/officeDocument/2006/relationships/hyperlink" Target="file:///\\192.168.11.15\Elmdale-Root\Accounting\pages\CommonAccount.aspx%3fsJump=3303-2040&amp;c.ChartCode=&amp;hAccount=&amp;hAccount2=&amp;DbCrd=Either&amp;AcTyp=Any&amp;RpTyp=Either" TargetMode="External" Id="rId809"/><Relationship Type="http://schemas.openxmlformats.org/officeDocument/2006/relationships/hyperlink" Target="file:///\\192.168.11.15\Elmdale-Root\Accounting\pages\CommonAccount.aspx%3fsJump=3303-2041&amp;c.ChartCode=&amp;hAccount=&amp;hAccount2=&amp;DbCrd=Either&amp;AcTyp=Any&amp;RpTyp=Either" TargetMode="External" Id="rId810"/><Relationship Type="http://schemas.openxmlformats.org/officeDocument/2006/relationships/hyperlink" Target="file:///\\192.168.11.15\Elmdale-Root\Accounting\pages\CommonAccount.aspx%3fsJump=3303-2042&amp;c.ChartCode=&amp;hAccount=&amp;hAccount2=&amp;DbCrd=Either&amp;AcTyp=Any&amp;RpTyp=Either" TargetMode="External" Id="rId811"/><Relationship Type="http://schemas.openxmlformats.org/officeDocument/2006/relationships/hyperlink" Target="file:///\\192.168.11.15\Elmdale-Root\Accounting\pages\CommonAccount.aspx%3fsJump=3303-2043&amp;c.ChartCode=&amp;hAccount=&amp;hAccount2=&amp;DbCrd=Either&amp;AcTyp=Any&amp;RpTyp=Either" TargetMode="External" Id="rId812"/><Relationship Type="http://schemas.openxmlformats.org/officeDocument/2006/relationships/hyperlink" Target="file:///\\192.168.11.15\Elmdale-Root\Accounting\pages\CommonAccount.aspx%3fsJump=3303-2044&amp;c.ChartCode=&amp;hAccount=&amp;hAccount2=&amp;DbCrd=Either&amp;AcTyp=Any&amp;RpTyp=Either" TargetMode="External" Id="rId813"/><Relationship Type="http://schemas.openxmlformats.org/officeDocument/2006/relationships/hyperlink" Target="file:///\\192.168.11.15\Elmdale-Root\Accounting\pages\CommonAccount.aspx%3fsJump=3303-2045&amp;c.ChartCode=&amp;hAccount=&amp;hAccount2=&amp;DbCrd=Either&amp;AcTyp=Any&amp;RpTyp=Either" TargetMode="External" Id="rId814"/><Relationship Type="http://schemas.openxmlformats.org/officeDocument/2006/relationships/hyperlink" Target="file:///\\192.168.11.15\Elmdale-Root\Accounting\pages\CommonAccount.aspx%3fsJump=3303-2046&amp;c.ChartCode=&amp;hAccount=&amp;hAccount2=&amp;DbCrd=Either&amp;AcTyp=Any&amp;RpTyp=Either" TargetMode="External" Id="rId815"/><Relationship Type="http://schemas.openxmlformats.org/officeDocument/2006/relationships/hyperlink" Target="file:///\\192.168.11.15\Elmdale-Root\Accounting\pages\CommonAccount.aspx%3fsJump=3303-2047&amp;c.ChartCode=&amp;hAccount=&amp;hAccount2=&amp;DbCrd=Either&amp;AcTyp=Any&amp;RpTyp=Either" TargetMode="External" Id="rId816"/><Relationship Type="http://schemas.openxmlformats.org/officeDocument/2006/relationships/hyperlink" Target="file:///\\192.168.11.15\Elmdale-Root\Accounting\pages\CommonAccount.aspx%3fsJump=3303-2048&amp;c.ChartCode=&amp;hAccount=&amp;hAccount2=&amp;DbCrd=Either&amp;AcTyp=Any&amp;RpTyp=Either" TargetMode="External" Id="rId817"/><Relationship Type="http://schemas.openxmlformats.org/officeDocument/2006/relationships/hyperlink" Target="file:///\\192.168.11.15\Elmdale-Root\Accounting\pages\CommonAccount.aspx%3fsJump=3303-2049&amp;c.ChartCode=&amp;hAccount=&amp;hAccount2=&amp;DbCrd=Either&amp;AcTyp=Any&amp;RpTyp=Either" TargetMode="External" Id="rId818"/><Relationship Type="http://schemas.openxmlformats.org/officeDocument/2006/relationships/hyperlink" Target="file:///\\192.168.11.15\Elmdale-Root\Accounting\pages\CommonAccount.aspx%3fsJump=3303-2050&amp;c.ChartCode=&amp;hAccount=&amp;hAccount2=&amp;DbCrd=Either&amp;AcTyp=Any&amp;RpTyp=Either" TargetMode="External" Id="rId819"/><Relationship Type="http://schemas.openxmlformats.org/officeDocument/2006/relationships/hyperlink" Target="file:///\\192.168.11.15\Elmdale-Root\Accounting\pages\CommonAccount.aspx%3fsJump=3303-2051&amp;c.ChartCode=&amp;hAccount=&amp;hAccount2=&amp;DbCrd=Either&amp;AcTyp=Any&amp;RpTyp=Either" TargetMode="External" Id="rId820"/><Relationship Type="http://schemas.openxmlformats.org/officeDocument/2006/relationships/hyperlink" Target="file:///\\192.168.11.15\Elmdale-Root\Accounting\pages\CommonAccount.aspx%3fsJump=3303-2052&amp;c.ChartCode=&amp;hAccount=&amp;hAccount2=&amp;DbCrd=Either&amp;AcTyp=Any&amp;RpTyp=Either" TargetMode="External" Id="rId821"/><Relationship Type="http://schemas.openxmlformats.org/officeDocument/2006/relationships/hyperlink" Target="file:///\\192.168.11.15\Elmdale-Root\Accounting\pages\CommonAccount.aspx%3fsJump=3303-2053&amp;c.ChartCode=&amp;hAccount=&amp;hAccount2=&amp;DbCrd=Either&amp;AcTyp=Any&amp;RpTyp=Either" TargetMode="External" Id="rId822"/><Relationship Type="http://schemas.openxmlformats.org/officeDocument/2006/relationships/hyperlink" Target="file:///\\192.168.11.15\Elmdale-Root\Accounting\pages\CommonAccount.aspx%3fsJump=3303-2054&amp;c.ChartCode=&amp;hAccount=&amp;hAccount2=&amp;DbCrd=Either&amp;AcTyp=Any&amp;RpTyp=Either" TargetMode="External" Id="rId823"/><Relationship Type="http://schemas.openxmlformats.org/officeDocument/2006/relationships/hyperlink" Target="file:///\\192.168.11.15\Elmdale-Root\Accounting\pages\CommonAccount.aspx%3fsJump=3303-2055&amp;c.ChartCode=&amp;hAccount=&amp;hAccount2=&amp;DbCrd=Either&amp;AcTyp=Any&amp;RpTyp=Either" TargetMode="External" Id="rId824"/><Relationship Type="http://schemas.openxmlformats.org/officeDocument/2006/relationships/hyperlink" Target="file:///\\192.168.11.15\Elmdale-Root\Accounting\pages\CommonAccount.aspx%3fsJump=3303-2056&amp;c.ChartCode=&amp;hAccount=&amp;hAccount2=&amp;DbCrd=Either&amp;AcTyp=Any&amp;RpTyp=Either" TargetMode="External" Id="rId825"/><Relationship Type="http://schemas.openxmlformats.org/officeDocument/2006/relationships/hyperlink" Target="file:///\\192.168.11.15\Elmdale-Root\Accounting\pages\CommonAccount.aspx%3fsJump=3303-2057&amp;c.ChartCode=&amp;hAccount=&amp;hAccount2=&amp;DbCrd=Either&amp;AcTyp=Any&amp;RpTyp=Either" TargetMode="External" Id="rId826"/><Relationship Type="http://schemas.openxmlformats.org/officeDocument/2006/relationships/hyperlink" Target="file:///\\192.168.11.15\Elmdale-Root\Accounting\pages\CommonAccount.aspx%3fsJump=3303-2058&amp;c.ChartCode=&amp;hAccount=&amp;hAccount2=&amp;DbCrd=Either&amp;AcTyp=Any&amp;RpTyp=Either" TargetMode="External" Id="rId827"/><Relationship Type="http://schemas.openxmlformats.org/officeDocument/2006/relationships/hyperlink" Target="file:///\\192.168.11.15\Elmdale-Root\Accounting\pages\CommonAccount.aspx%3fsJump=3303-2059&amp;c.ChartCode=&amp;hAccount=&amp;hAccount2=&amp;DbCrd=Either&amp;AcTyp=Any&amp;RpTyp=Either" TargetMode="External" Id="rId828"/><Relationship Type="http://schemas.openxmlformats.org/officeDocument/2006/relationships/hyperlink" Target="file:///\\192.168.11.15\Elmdale-Root\Accounting\pages\CommonAccount.aspx%3fsJump=3303-2060&amp;c.ChartCode=&amp;hAccount=&amp;hAccount2=&amp;DbCrd=Either&amp;AcTyp=Any&amp;RpTyp=Either" TargetMode="External" Id="rId829"/><Relationship Type="http://schemas.openxmlformats.org/officeDocument/2006/relationships/hyperlink" Target="file:///\\192.168.11.15\Elmdale-Root\Accounting\pages\CommonAccount.aspx%3fsJump=3303-2061&amp;c.ChartCode=&amp;hAccount=&amp;hAccount2=&amp;DbCrd=Either&amp;AcTyp=Any&amp;RpTyp=Either" TargetMode="External" Id="rId830"/><Relationship Type="http://schemas.openxmlformats.org/officeDocument/2006/relationships/hyperlink" Target="file:///\\192.168.11.15\Elmdale-Root\Accounting\pages\CommonAccount.aspx%3fsJump=3303-2062&amp;c.ChartCode=&amp;hAccount=&amp;hAccount2=&amp;DbCrd=Either&amp;AcTyp=Any&amp;RpTyp=Either" TargetMode="External" Id="rId831"/><Relationship Type="http://schemas.openxmlformats.org/officeDocument/2006/relationships/hyperlink" Target="file:///\\192.168.11.15\Elmdale-Root\Accounting\pages\CommonAccount.aspx%3fsJump=3303-2063&amp;c.ChartCode=&amp;hAccount=&amp;hAccount2=&amp;DbCrd=Either&amp;AcTyp=Any&amp;RpTyp=Either" TargetMode="External" Id="rId832"/><Relationship Type="http://schemas.openxmlformats.org/officeDocument/2006/relationships/hyperlink" Target="file:///\\192.168.11.15\Elmdale-Root\Accounting\pages\CommonAccount.aspx%3fsJump=3303-2064&amp;c.ChartCode=&amp;hAccount=&amp;hAccount2=&amp;DbCrd=Either&amp;AcTyp=Any&amp;RpTyp=Either" TargetMode="External" Id="rId833"/><Relationship Type="http://schemas.openxmlformats.org/officeDocument/2006/relationships/hyperlink" Target="file:///\\192.168.11.15\Elmdale-Root\Accounting\pages\CommonAccount.aspx%3fsJump=3303-2065&amp;c.ChartCode=&amp;hAccount=&amp;hAccount2=&amp;DbCrd=Either&amp;AcTyp=Any&amp;RpTyp=Either" TargetMode="External" Id="rId834"/><Relationship Type="http://schemas.openxmlformats.org/officeDocument/2006/relationships/hyperlink" Target="file:///\\192.168.11.15\Elmdale-Root\Accounting\pages\CommonAccount.aspx%3fsJump=3303-2066&amp;c.ChartCode=&amp;hAccount=&amp;hAccount2=&amp;DbCrd=Either&amp;AcTyp=Any&amp;RpTyp=Either" TargetMode="External" Id="rId835"/><Relationship Type="http://schemas.openxmlformats.org/officeDocument/2006/relationships/hyperlink" Target="file:///\\192.168.11.15\Elmdale-Root\Accounting\pages\CommonAccount.aspx%3fsJump=3303-2067&amp;c.ChartCode=&amp;hAccount=&amp;hAccount2=&amp;DbCrd=Either&amp;AcTyp=Any&amp;RpTyp=Either" TargetMode="External" Id="rId836"/><Relationship Type="http://schemas.openxmlformats.org/officeDocument/2006/relationships/hyperlink" Target="file:///\\192.168.11.15\Elmdale-Root\Accounting\pages\CommonAccount.aspx%3fsJump=3303-2068&amp;c.ChartCode=&amp;hAccount=&amp;hAccount2=&amp;DbCrd=Either&amp;AcTyp=Any&amp;RpTyp=Either" TargetMode="External" Id="rId837"/><Relationship Type="http://schemas.openxmlformats.org/officeDocument/2006/relationships/hyperlink" Target="file:///\\192.168.11.15\Elmdale-Root\Accounting\pages\CommonAccount.aspx%3fsJump=3303-2069&amp;c.ChartCode=&amp;hAccount=&amp;hAccount2=&amp;DbCrd=Either&amp;AcTyp=Any&amp;RpTyp=Either" TargetMode="External" Id="rId838"/><Relationship Type="http://schemas.openxmlformats.org/officeDocument/2006/relationships/hyperlink" Target="file:///\\192.168.11.15\Elmdale-Root\Accounting\pages\CommonAccount.aspx%3fsJump=3303-2070&amp;c.ChartCode=&amp;hAccount=&amp;hAccount2=&amp;DbCrd=Either&amp;AcTyp=Any&amp;RpTyp=Either" TargetMode="External" Id="rId839"/><Relationship Type="http://schemas.openxmlformats.org/officeDocument/2006/relationships/hyperlink" Target="file:///\\192.168.11.15\Elmdale-Root\Accounting\pages\CommonAccount.aspx%3fsJump=3303-2071&amp;c.ChartCode=&amp;hAccount=&amp;hAccount2=&amp;DbCrd=Either&amp;AcTyp=Any&amp;RpTyp=Either" TargetMode="External" Id="rId840"/><Relationship Type="http://schemas.openxmlformats.org/officeDocument/2006/relationships/hyperlink" Target="file:///\\192.168.11.15\Elmdale-Root\Accounting\pages\CommonAccount.aspx%3fsJump=3303-2072&amp;c.ChartCode=&amp;hAccount=&amp;hAccount2=&amp;DbCrd=Either&amp;AcTyp=Any&amp;RpTyp=Either" TargetMode="External" Id="rId841"/><Relationship Type="http://schemas.openxmlformats.org/officeDocument/2006/relationships/hyperlink" Target="file:///\\192.168.11.15\Elmdale-Root\Accounting\pages\CommonAccount.aspx%3fsJump=3303-2073&amp;c.ChartCode=&amp;hAccount=&amp;hAccount2=&amp;DbCrd=Either&amp;AcTyp=Any&amp;RpTyp=Either" TargetMode="External" Id="rId842"/><Relationship Type="http://schemas.openxmlformats.org/officeDocument/2006/relationships/hyperlink" Target="file:///\\192.168.11.15\Elmdale-Root\Accounting\pages\CommonAccount.aspx%3fsJump=3303-2074&amp;c.ChartCode=&amp;hAccount=&amp;hAccount2=&amp;DbCrd=Either&amp;AcTyp=Any&amp;RpTyp=Either" TargetMode="External" Id="rId843"/><Relationship Type="http://schemas.openxmlformats.org/officeDocument/2006/relationships/hyperlink" Target="file:///\\192.168.11.15\Elmdale-Root\Accounting\pages\CommonAccount.aspx%3fsJump=3303-2075&amp;c.ChartCode=&amp;hAccount=&amp;hAccount2=&amp;DbCrd=Either&amp;AcTyp=Any&amp;RpTyp=Either" TargetMode="External" Id="rId844"/><Relationship Type="http://schemas.openxmlformats.org/officeDocument/2006/relationships/hyperlink" Target="file:///\\192.168.11.15\Elmdale-Root\Accounting\pages\CommonAccount.aspx%3fsJump=3303-2076&amp;c.ChartCode=&amp;hAccount=&amp;hAccount2=&amp;DbCrd=Either&amp;AcTyp=Any&amp;RpTyp=Either" TargetMode="External" Id="rId845"/><Relationship Type="http://schemas.openxmlformats.org/officeDocument/2006/relationships/hyperlink" Target="file:///\\192.168.11.15\Elmdale-Root\Accounting\pages\CommonAccount.aspx%3fsJump=3303-2077&amp;c.ChartCode=&amp;hAccount=&amp;hAccount2=&amp;DbCrd=Either&amp;AcTyp=Any&amp;RpTyp=Either" TargetMode="External" Id="rId846"/><Relationship Type="http://schemas.openxmlformats.org/officeDocument/2006/relationships/hyperlink" Target="file:///\\192.168.11.15\Elmdale-Root\Accounting\pages\CommonAccount.aspx%3fsJump=3303-2078&amp;c.ChartCode=&amp;hAccount=&amp;hAccount2=&amp;DbCrd=Either&amp;AcTyp=Any&amp;RpTyp=Either" TargetMode="External" Id="rId847"/><Relationship Type="http://schemas.openxmlformats.org/officeDocument/2006/relationships/hyperlink" Target="file:///\\192.168.11.15\Elmdale-Root\Accounting\pages\CommonAccount.aspx%3fsJump=3303-2079&amp;c.ChartCode=&amp;hAccount=&amp;hAccount2=&amp;DbCrd=Either&amp;AcTyp=Any&amp;RpTyp=Either" TargetMode="External" Id="rId848"/><Relationship Type="http://schemas.openxmlformats.org/officeDocument/2006/relationships/hyperlink" Target="file:///\\192.168.11.15\Elmdale-Root\Accounting\pages\CommonAccount.aspx%3fsJump=3303-2080&amp;c.ChartCode=&amp;hAccount=&amp;hAccount2=&amp;DbCrd=Either&amp;AcTyp=Any&amp;RpTyp=Either" TargetMode="External" Id="rId849"/><Relationship Type="http://schemas.openxmlformats.org/officeDocument/2006/relationships/hyperlink" Target="file:///\\192.168.11.15\Elmdale-Root\Accounting\pages\CommonAccount.aspx%3fsJump=3303-2081&amp;c.ChartCode=&amp;hAccount=&amp;hAccount2=&amp;DbCrd=Either&amp;AcTyp=Any&amp;RpTyp=Either" TargetMode="External" Id="rId850"/><Relationship Type="http://schemas.openxmlformats.org/officeDocument/2006/relationships/hyperlink" Target="file:///\\192.168.11.15\Elmdale-Root\Accounting\pages\CommonAccount.aspx%3fsJump=3303-2082&amp;c.ChartCode=&amp;hAccount=&amp;hAccount2=&amp;DbCrd=Either&amp;AcTyp=Any&amp;RpTyp=Either" TargetMode="External" Id="rId851"/><Relationship Type="http://schemas.openxmlformats.org/officeDocument/2006/relationships/hyperlink" Target="file:///\\192.168.11.15\Elmdale-Root\Accounting\pages\CommonAccount.aspx%3fsJump=3303-2083&amp;c.ChartCode=&amp;hAccount=&amp;hAccount2=&amp;DbCrd=Either&amp;AcTyp=Any&amp;RpTyp=Either" TargetMode="External" Id="rId852"/><Relationship Type="http://schemas.openxmlformats.org/officeDocument/2006/relationships/hyperlink" Target="file:///\\192.168.11.15\Elmdale-Root\Accounting\pages\CommonAccount.aspx%3fsJump=3303-2084&amp;c.ChartCode=&amp;hAccount=&amp;hAccount2=&amp;DbCrd=Either&amp;AcTyp=Any&amp;RpTyp=Either" TargetMode="External" Id="rId853"/><Relationship Type="http://schemas.openxmlformats.org/officeDocument/2006/relationships/hyperlink" Target="file:///\\192.168.11.15\Elmdale-Root\Accounting\pages\CommonAccount.aspx%3fsJump=3303-2085&amp;c.ChartCode=&amp;hAccount=&amp;hAccount2=&amp;DbCrd=Either&amp;AcTyp=Any&amp;RpTyp=Either" TargetMode="External" Id="rId854"/><Relationship Type="http://schemas.openxmlformats.org/officeDocument/2006/relationships/hyperlink" Target="file:///\\192.168.11.15\Elmdale-Root\Accounting\pages\CommonAccount.aspx%3fsJump=3303-2086&amp;c.ChartCode=&amp;hAccount=&amp;hAccount2=&amp;DbCrd=Either&amp;AcTyp=Any&amp;RpTyp=Either" TargetMode="External" Id="rId855"/><Relationship Type="http://schemas.openxmlformats.org/officeDocument/2006/relationships/hyperlink" Target="file:///\\192.168.11.15\Elmdale-Root\Accounting\pages\CommonAccount.aspx%3fsJump=3303-2087&amp;c.ChartCode=&amp;hAccount=&amp;hAccount2=&amp;DbCrd=Either&amp;AcTyp=Any&amp;RpTyp=Either" TargetMode="External" Id="rId856"/><Relationship Type="http://schemas.openxmlformats.org/officeDocument/2006/relationships/hyperlink" Target="file:///\\192.168.11.15\Elmdale-Root\Accounting\pages\CommonAccount.aspx%3fsJump=3303-2088&amp;c.ChartCode=&amp;hAccount=&amp;hAccount2=&amp;DbCrd=Either&amp;AcTyp=Any&amp;RpTyp=Either" TargetMode="External" Id="rId857"/><Relationship Type="http://schemas.openxmlformats.org/officeDocument/2006/relationships/hyperlink" Target="file:///\\192.168.11.15\Elmdale-Root\Accounting\pages\CommonAccount.aspx%3fsJump=3303-2089&amp;c.ChartCode=&amp;hAccount=&amp;hAccount2=&amp;DbCrd=Either&amp;AcTyp=Any&amp;RpTyp=Either" TargetMode="External" Id="rId858"/><Relationship Type="http://schemas.openxmlformats.org/officeDocument/2006/relationships/hyperlink" Target="file:///\\192.168.11.15\Elmdale-Root\Accounting\pages\CommonAccount.aspx%3fsJump=3303-2090&amp;c.ChartCode=&amp;hAccount=&amp;hAccount2=&amp;DbCrd=Either&amp;AcTyp=Any&amp;RpTyp=Either" TargetMode="External" Id="rId859"/><Relationship Type="http://schemas.openxmlformats.org/officeDocument/2006/relationships/hyperlink" Target="file:///\\192.168.11.15\Elmdale-Root\Accounting\pages\CommonAccount.aspx%3fsJump=3303-2091&amp;c.ChartCode=&amp;hAccount=&amp;hAccount2=&amp;DbCrd=Either&amp;AcTyp=Any&amp;RpTyp=Either" TargetMode="External" Id="rId860"/><Relationship Type="http://schemas.openxmlformats.org/officeDocument/2006/relationships/hyperlink" Target="file:///\\192.168.11.15\Elmdale-Root\Accounting\pages\CommonAccount.aspx%3fsJump=3303-2092&amp;c.ChartCode=&amp;hAccount=&amp;hAccount2=&amp;DbCrd=Either&amp;AcTyp=Any&amp;RpTyp=Either" TargetMode="External" Id="rId861"/><Relationship Type="http://schemas.openxmlformats.org/officeDocument/2006/relationships/hyperlink" Target="file:///\\192.168.11.15\Elmdale-Root\Accounting\pages\CommonAccount.aspx%3fsJump=3303-2093&amp;c.ChartCode=&amp;hAccount=&amp;hAccount2=&amp;DbCrd=Either&amp;AcTyp=Any&amp;RpTyp=Either" TargetMode="External" Id="rId862"/><Relationship Type="http://schemas.openxmlformats.org/officeDocument/2006/relationships/hyperlink" Target="file:///\\192.168.11.15\Elmdale-Root\Accounting\pages\CommonAccount.aspx%3fsJump=3303-2094&amp;c.ChartCode=&amp;hAccount=&amp;hAccount2=&amp;DbCrd=Either&amp;AcTyp=Any&amp;RpTyp=Either" TargetMode="External" Id="rId863"/><Relationship Type="http://schemas.openxmlformats.org/officeDocument/2006/relationships/hyperlink" Target="file:///\\192.168.11.15\Elmdale-Root\Accounting\pages\CommonAccount.aspx%3fsJump=3303-2095&amp;c.ChartCode=&amp;hAccount=&amp;hAccount2=&amp;DbCrd=Either&amp;AcTyp=Any&amp;RpTyp=Either" TargetMode="External" Id="rId864"/><Relationship Type="http://schemas.openxmlformats.org/officeDocument/2006/relationships/hyperlink" Target="file:///\\192.168.11.15\Elmdale-Root\Accounting\pages\CommonAccount.aspx%3fsJump=3303-2096&amp;c.ChartCode=&amp;hAccount=&amp;hAccount2=&amp;DbCrd=Either&amp;AcTyp=Any&amp;RpTyp=Either" TargetMode="External" Id="rId865"/><Relationship Type="http://schemas.openxmlformats.org/officeDocument/2006/relationships/hyperlink" Target="file:///\\192.168.11.15\Elmdale-Root\Accounting\pages\CommonAccount.aspx%3fsJump=3303-2097&amp;c.ChartCode=&amp;hAccount=&amp;hAccount2=&amp;DbCrd=Either&amp;AcTyp=Any&amp;RpTyp=Either" TargetMode="External" Id="rId866"/><Relationship Type="http://schemas.openxmlformats.org/officeDocument/2006/relationships/hyperlink" Target="file:///\\192.168.11.15\Elmdale-Root\Accounting\pages\CommonAccount.aspx%3fsJump=3303-2098&amp;c.ChartCode=&amp;hAccount=&amp;hAccount2=&amp;DbCrd=Either&amp;AcTyp=Any&amp;RpTyp=Either" TargetMode="External" Id="rId867"/><Relationship Type="http://schemas.openxmlformats.org/officeDocument/2006/relationships/hyperlink" Target="file:///\\192.168.11.15\Elmdale-Root\Accounting\pages\CommonAccount.aspx%3fsJump=3303-2099&amp;c.ChartCode=&amp;hAccount=&amp;hAccount2=&amp;DbCrd=Either&amp;AcTyp=Any&amp;RpTyp=Either" TargetMode="External" Id="rId868"/><Relationship Type="http://schemas.openxmlformats.org/officeDocument/2006/relationships/hyperlink" Target="file:///\\192.168.11.15\Elmdale-Root\Accounting\pages\CommonAccount.aspx%3fsJump=3303-2100&amp;c.ChartCode=&amp;hAccount=&amp;hAccount2=&amp;DbCrd=Either&amp;AcTyp=Any&amp;RpTyp=Either" TargetMode="External" Id="rId869"/><Relationship Type="http://schemas.openxmlformats.org/officeDocument/2006/relationships/hyperlink" Target="file:///\\192.168.11.15\Elmdale-Root\Accounting\pages\CommonAccount.aspx%3fsJump=3303-2101&amp;c.ChartCode=&amp;hAccount=&amp;hAccount2=&amp;DbCrd=Either&amp;AcTyp=Any&amp;RpTyp=Either" TargetMode="External" Id="rId870"/><Relationship Type="http://schemas.openxmlformats.org/officeDocument/2006/relationships/hyperlink" Target="file:///\\192.168.11.15\Elmdale-Root\Accounting\pages\CommonAccount.aspx%3fsJump=3303-2102&amp;c.ChartCode=&amp;hAccount=&amp;hAccount2=&amp;DbCrd=Either&amp;AcTyp=Any&amp;RpTyp=Either" TargetMode="External" Id="rId871"/><Relationship Type="http://schemas.openxmlformats.org/officeDocument/2006/relationships/hyperlink" Target="file:///\\192.168.11.15\Elmdale-Root\Accounting\pages\CommonAccount.aspx%3fsJump=3303-2103&amp;c.ChartCode=&amp;hAccount=&amp;hAccount2=&amp;DbCrd=Either&amp;AcTyp=Any&amp;RpTyp=Either" TargetMode="External" Id="rId872"/><Relationship Type="http://schemas.openxmlformats.org/officeDocument/2006/relationships/hyperlink" Target="file:///\\192.168.11.15\Elmdale-Root\Accounting\pages\CommonAccount.aspx%3fsJump=3303-2104&amp;c.ChartCode=&amp;hAccount=&amp;hAccount2=&amp;DbCrd=Either&amp;AcTyp=Any&amp;RpTyp=Either" TargetMode="External" Id="rId873"/><Relationship Type="http://schemas.openxmlformats.org/officeDocument/2006/relationships/hyperlink" Target="file:///\\192.168.11.15\Elmdale-Root\Accounting\pages\CommonAccount.aspx%3fsJump=3303-2105&amp;c.ChartCode=&amp;hAccount=&amp;hAccount2=&amp;DbCrd=Either&amp;AcTyp=Any&amp;RpTyp=Either" TargetMode="External" Id="rId874"/><Relationship Type="http://schemas.openxmlformats.org/officeDocument/2006/relationships/hyperlink" Target="file:///\\192.168.11.15\Elmdale-Root\Accounting\pages\CommonAccount.aspx%3fsJump=3303-2106&amp;c.ChartCode=&amp;hAccount=&amp;hAccount2=&amp;DbCrd=Either&amp;AcTyp=Any&amp;RpTyp=Either" TargetMode="External" Id="rId875"/><Relationship Type="http://schemas.openxmlformats.org/officeDocument/2006/relationships/hyperlink" Target="file:///\\192.168.11.15\Elmdale-Root\Accounting\pages\CommonAccount.aspx%3fsJump=3303-2107&amp;c.ChartCode=&amp;hAccount=&amp;hAccount2=&amp;DbCrd=Either&amp;AcTyp=Any&amp;RpTyp=Either" TargetMode="External" Id="rId876"/><Relationship Type="http://schemas.openxmlformats.org/officeDocument/2006/relationships/hyperlink" Target="file:///\\192.168.11.15\Elmdale-Root\Accounting\pages\CommonAccount.aspx%3fsJump=3303-2108&amp;c.ChartCode=&amp;hAccount=&amp;hAccount2=&amp;DbCrd=Either&amp;AcTyp=Any&amp;RpTyp=Either" TargetMode="External" Id="rId877"/><Relationship Type="http://schemas.openxmlformats.org/officeDocument/2006/relationships/hyperlink" Target="file:///\\192.168.11.15\Elmdale-Root\Accounting\pages\CommonAccount.aspx%3fsJump=3303-2109&amp;c.ChartCode=&amp;hAccount=&amp;hAccount2=&amp;DbCrd=Either&amp;AcTyp=Any&amp;RpTyp=Either" TargetMode="External" Id="rId878"/><Relationship Type="http://schemas.openxmlformats.org/officeDocument/2006/relationships/hyperlink" Target="file:///\\192.168.11.15\Elmdale-Root\Accounting\pages\CommonAccount.aspx%3fsJump=3303-2110&amp;c.ChartCode=&amp;hAccount=&amp;hAccount2=&amp;DbCrd=Either&amp;AcTyp=Any&amp;RpTyp=Either" TargetMode="External" Id="rId879"/><Relationship Type="http://schemas.openxmlformats.org/officeDocument/2006/relationships/hyperlink" Target="file:///\\192.168.11.15\Elmdale-Root\Accounting\pages\CommonAccount.aspx%3fsJump=3303-2111&amp;c.ChartCode=&amp;hAccount=&amp;hAccount2=&amp;DbCrd=Either&amp;AcTyp=Any&amp;RpTyp=Either" TargetMode="External" Id="rId880"/><Relationship Type="http://schemas.openxmlformats.org/officeDocument/2006/relationships/hyperlink" Target="file:///\\192.168.11.15\Elmdale-Root\Accounting\pages\CommonAccount.aspx%3fsJump=3303-2112&amp;c.ChartCode=&amp;hAccount=&amp;hAccount2=&amp;DbCrd=Either&amp;AcTyp=Any&amp;RpTyp=Either" TargetMode="External" Id="rId881"/><Relationship Type="http://schemas.openxmlformats.org/officeDocument/2006/relationships/hyperlink" Target="file:///\\192.168.11.15\Elmdale-Root\Accounting\pages\CommonAccount.aspx%3fsJump=3303-2113&amp;c.ChartCode=&amp;hAccount=&amp;hAccount2=&amp;DbCrd=Either&amp;AcTyp=Any&amp;RpTyp=Either" TargetMode="External" Id="rId882"/><Relationship Type="http://schemas.openxmlformats.org/officeDocument/2006/relationships/hyperlink" Target="file:///\\192.168.11.15\Elmdale-Root\Accounting\pages\CommonAccount.aspx%3fsJump=3303-2114&amp;c.ChartCode=&amp;hAccount=&amp;hAccount2=&amp;DbCrd=Either&amp;AcTyp=Any&amp;RpTyp=Either" TargetMode="External" Id="rId883"/><Relationship Type="http://schemas.openxmlformats.org/officeDocument/2006/relationships/hyperlink" Target="file:///\\192.168.11.15\Elmdale-Root\Accounting\pages\CommonAccount.aspx%3fsJump=3303-2115&amp;c.ChartCode=&amp;hAccount=&amp;hAccount2=&amp;DbCrd=Either&amp;AcTyp=Any&amp;RpTyp=Either" TargetMode="External" Id="rId884"/><Relationship Type="http://schemas.openxmlformats.org/officeDocument/2006/relationships/hyperlink" Target="file:///\\192.168.11.15\Elmdale-Root\Accounting\pages\CommonAccount.aspx%3fsJump=3303-2116&amp;c.ChartCode=&amp;hAccount=&amp;hAccount2=&amp;DbCrd=Either&amp;AcTyp=Any&amp;RpTyp=Either" TargetMode="External" Id="rId885"/><Relationship Type="http://schemas.openxmlformats.org/officeDocument/2006/relationships/hyperlink" Target="file:///\\192.168.11.15\Elmdale-Root\Accounting\pages\CommonAccount.aspx%3fsJump=3303-2117&amp;c.ChartCode=&amp;hAccount=&amp;hAccount2=&amp;DbCrd=Either&amp;AcTyp=Any&amp;RpTyp=Either" TargetMode="External" Id="rId886"/><Relationship Type="http://schemas.openxmlformats.org/officeDocument/2006/relationships/hyperlink" Target="file:///\\192.168.11.15\Elmdale-Root\Accounting\pages\CommonAccount.aspx%3fsJump=3303-2118&amp;c.ChartCode=&amp;hAccount=&amp;hAccount2=&amp;DbCrd=Either&amp;AcTyp=Any&amp;RpTyp=Either" TargetMode="External" Id="rId887"/><Relationship Type="http://schemas.openxmlformats.org/officeDocument/2006/relationships/hyperlink" Target="file:///\\192.168.11.15\Elmdale-Root\Accounting\pages\CommonAccount.aspx%3fsJump=3303-2119&amp;c.ChartCode=&amp;hAccount=&amp;hAccount2=&amp;DbCrd=Either&amp;AcTyp=Any&amp;RpTyp=Either" TargetMode="External" Id="rId888"/><Relationship Type="http://schemas.openxmlformats.org/officeDocument/2006/relationships/hyperlink" Target="file:///\\192.168.11.15\Elmdale-Root\Accounting\pages\CommonAccount.aspx%3fsJump=3303-2120&amp;c.ChartCode=&amp;hAccount=&amp;hAccount2=&amp;DbCrd=Either&amp;AcTyp=Any&amp;RpTyp=Either" TargetMode="External" Id="rId889"/><Relationship Type="http://schemas.openxmlformats.org/officeDocument/2006/relationships/hyperlink" Target="file:///\\192.168.11.15\Elmdale-Root\Accounting\pages\CommonAccount.aspx%3fsJump=3303-2121&amp;c.ChartCode=&amp;hAccount=&amp;hAccount2=&amp;DbCrd=Either&amp;AcTyp=Any&amp;RpTyp=Either" TargetMode="External" Id="rId890"/><Relationship Type="http://schemas.openxmlformats.org/officeDocument/2006/relationships/hyperlink" Target="file:///\\192.168.11.15\Elmdale-Root\Accounting\pages\CommonAccount.aspx%3fsJump=3303-2122&amp;c.ChartCode=&amp;hAccount=&amp;hAccount2=&amp;DbCrd=Either&amp;AcTyp=Any&amp;RpTyp=Either" TargetMode="External" Id="rId891"/><Relationship Type="http://schemas.openxmlformats.org/officeDocument/2006/relationships/hyperlink" Target="file:///\\192.168.11.15\Elmdale-Root\Accounting\pages\CommonAccount.aspx%3fsJump=3303-2123&amp;c.ChartCode=&amp;hAccount=&amp;hAccount2=&amp;DbCrd=Either&amp;AcTyp=Any&amp;RpTyp=Either" TargetMode="External" Id="rId892"/><Relationship Type="http://schemas.openxmlformats.org/officeDocument/2006/relationships/hyperlink" Target="file:///\\192.168.11.15\Elmdale-Root\Accounting\pages\CommonAccount.aspx%3fsJump=3303-2124&amp;c.ChartCode=&amp;hAccount=&amp;hAccount2=&amp;DbCrd=Either&amp;AcTyp=Any&amp;RpTyp=Either" TargetMode="External" Id="rId893"/><Relationship Type="http://schemas.openxmlformats.org/officeDocument/2006/relationships/hyperlink" Target="file:///\\192.168.11.15\Elmdale-Root\Accounting\pages\CommonAccount.aspx%3fsJump=3303-2125&amp;c.ChartCode=&amp;hAccount=&amp;hAccount2=&amp;DbCrd=Either&amp;AcTyp=Any&amp;RpTyp=Either" TargetMode="External" Id="rId894"/><Relationship Type="http://schemas.openxmlformats.org/officeDocument/2006/relationships/hyperlink" Target="file:///\\192.168.11.15\Elmdale-Root\Accounting\pages\CommonAccount.aspx%3fsJump=3303-2126&amp;c.ChartCode=&amp;hAccount=&amp;hAccount2=&amp;DbCrd=Either&amp;AcTyp=Any&amp;RpTyp=Either" TargetMode="External" Id="rId895"/><Relationship Type="http://schemas.openxmlformats.org/officeDocument/2006/relationships/hyperlink" Target="file:///\\192.168.11.15\Elmdale-Root\Accounting\pages\CommonAccount.aspx%3fsJump=3303-2127&amp;c.ChartCode=&amp;hAccount=&amp;hAccount2=&amp;DbCrd=Either&amp;AcTyp=Any&amp;RpTyp=Either" TargetMode="External" Id="rId896"/><Relationship Type="http://schemas.openxmlformats.org/officeDocument/2006/relationships/hyperlink" Target="file:///\\192.168.11.15\Elmdale-Root\Accounting\pages\CommonAccount.aspx%3fsJump=3303-2128&amp;c.ChartCode=&amp;hAccount=&amp;hAccount2=&amp;DbCrd=Either&amp;AcTyp=Any&amp;RpTyp=Either" TargetMode="External" Id="rId897"/><Relationship Type="http://schemas.openxmlformats.org/officeDocument/2006/relationships/hyperlink" Target="file:///\\192.168.11.15\Elmdale-Root\Accounting\pages\CommonAccount.aspx%3fsJump=3303-2129&amp;c.ChartCode=&amp;hAccount=&amp;hAccount2=&amp;DbCrd=Either&amp;AcTyp=Any&amp;RpTyp=Either" TargetMode="External" Id="rId898"/><Relationship Type="http://schemas.openxmlformats.org/officeDocument/2006/relationships/hyperlink" Target="file:///\\192.168.11.15\Elmdale-Root\Accounting\pages\CommonAccount.aspx%3fsJump=3303-2130&amp;c.ChartCode=&amp;hAccount=&amp;hAccount2=&amp;DbCrd=Either&amp;AcTyp=Any&amp;RpTyp=Either" TargetMode="External" Id="rId899"/><Relationship Type="http://schemas.openxmlformats.org/officeDocument/2006/relationships/hyperlink" Target="file:///\\192.168.11.15\Elmdale-Root\Accounting\pages\CommonAccount.aspx%3fsJump=3303-2131&amp;c.ChartCode=&amp;hAccount=&amp;hAccount2=&amp;DbCrd=Either&amp;AcTyp=Any&amp;RpTyp=Either" TargetMode="External" Id="rId900"/><Relationship Type="http://schemas.openxmlformats.org/officeDocument/2006/relationships/hyperlink" Target="file:///\\192.168.11.15\Elmdale-Root\Accounting\pages\CommonAccount.aspx%3fsJump=3303-2132&amp;c.ChartCode=&amp;hAccount=&amp;hAccount2=&amp;DbCrd=Either&amp;AcTyp=Any&amp;RpTyp=Either" TargetMode="External" Id="rId901"/><Relationship Type="http://schemas.openxmlformats.org/officeDocument/2006/relationships/hyperlink" Target="file:///\\192.168.11.15\Elmdale-Root\Accounting\pages\CommonAccount.aspx%3fsJump=3303-2133&amp;c.ChartCode=&amp;hAccount=&amp;hAccount2=&amp;DbCrd=Either&amp;AcTyp=Any&amp;RpTyp=Either" TargetMode="External" Id="rId902"/><Relationship Type="http://schemas.openxmlformats.org/officeDocument/2006/relationships/hyperlink" Target="file:///\\192.168.11.15\Elmdale-Root\Accounting\pages\CommonAccount.aspx%3fsJump=3303-2134&amp;c.ChartCode=&amp;hAccount=&amp;hAccount2=&amp;DbCrd=Either&amp;AcTyp=Any&amp;RpTyp=Either" TargetMode="External" Id="rId903"/><Relationship Type="http://schemas.openxmlformats.org/officeDocument/2006/relationships/hyperlink" Target="file:///\\192.168.11.15\Elmdale-Root\Accounting\pages\CommonAccount.aspx%3fsJump=3303-2135&amp;c.ChartCode=&amp;hAccount=&amp;hAccount2=&amp;DbCrd=Either&amp;AcTyp=Any&amp;RpTyp=Either" TargetMode="External" Id="rId904"/><Relationship Type="http://schemas.openxmlformats.org/officeDocument/2006/relationships/hyperlink" Target="file:///\\192.168.11.15\Elmdale-Root\Accounting\pages\CommonAccount.aspx%3fsJump=3303-2136&amp;c.ChartCode=&amp;hAccount=&amp;hAccount2=&amp;DbCrd=Either&amp;AcTyp=Any&amp;RpTyp=Either" TargetMode="External" Id="rId905"/><Relationship Type="http://schemas.openxmlformats.org/officeDocument/2006/relationships/hyperlink" Target="file:///\\192.168.11.15\Elmdale-Root\Accounting\pages\CommonAccount.aspx%3fsJump=3303-2137&amp;c.ChartCode=&amp;hAccount=&amp;hAccount2=&amp;DbCrd=Either&amp;AcTyp=Any&amp;RpTyp=Either" TargetMode="External" Id="rId906"/><Relationship Type="http://schemas.openxmlformats.org/officeDocument/2006/relationships/hyperlink" Target="file:///\\192.168.11.15\Elmdale-Root\Accounting\pages\CommonAccount.aspx%3fsJump=3303-2138&amp;c.ChartCode=&amp;hAccount=&amp;hAccount2=&amp;DbCrd=Either&amp;AcTyp=Any&amp;RpTyp=Either" TargetMode="External" Id="rId907"/><Relationship Type="http://schemas.openxmlformats.org/officeDocument/2006/relationships/hyperlink" Target="file:///\\192.168.11.15\Elmdale-Root\Accounting\pages\CommonAccount.aspx%3fsJump=3303-2139&amp;c.ChartCode=&amp;hAccount=&amp;hAccount2=&amp;DbCrd=Either&amp;AcTyp=Any&amp;RpTyp=Either" TargetMode="External" Id="rId908"/><Relationship Type="http://schemas.openxmlformats.org/officeDocument/2006/relationships/hyperlink" Target="file:///\\192.168.11.15\Elmdale-Root\Accounting\pages\CommonAccount.aspx%3fsJump=3303-2140&amp;c.ChartCode=&amp;hAccount=&amp;hAccount2=&amp;DbCrd=Either&amp;AcTyp=Any&amp;RpTyp=Either" TargetMode="External" Id="rId909"/><Relationship Type="http://schemas.openxmlformats.org/officeDocument/2006/relationships/hyperlink" Target="file:///\\192.168.11.15\Elmdale-Root\Accounting\pages\CommonAccount.aspx%3fsJump=3303-2141&amp;c.ChartCode=&amp;hAccount=&amp;hAccount2=&amp;DbCrd=Either&amp;AcTyp=Any&amp;RpTyp=Either" TargetMode="External" Id="rId910"/><Relationship Type="http://schemas.openxmlformats.org/officeDocument/2006/relationships/hyperlink" Target="file:///\\192.168.11.15\Elmdale-Root\Accounting\pages\CommonAccount.aspx%3fsJump=3303-2142&amp;c.ChartCode=&amp;hAccount=&amp;hAccount2=&amp;DbCrd=Either&amp;AcTyp=Any&amp;RpTyp=Either" TargetMode="External" Id="rId911"/><Relationship Type="http://schemas.openxmlformats.org/officeDocument/2006/relationships/hyperlink" Target="file:///\\192.168.11.15\Elmdale-Root\Accounting\pages\CommonAccount.aspx%3fsJump=3303-2143&amp;c.ChartCode=&amp;hAccount=&amp;hAccount2=&amp;DbCrd=Either&amp;AcTyp=Any&amp;RpTyp=Either" TargetMode="External" Id="rId912"/><Relationship Type="http://schemas.openxmlformats.org/officeDocument/2006/relationships/hyperlink" Target="file:///\\192.168.11.15\Elmdale-Root\Accounting\pages\CommonAccount.aspx%3fsJump=3303-2144&amp;c.ChartCode=&amp;hAccount=&amp;hAccount2=&amp;DbCrd=Either&amp;AcTyp=Any&amp;RpTyp=Either" TargetMode="External" Id="rId913"/><Relationship Type="http://schemas.openxmlformats.org/officeDocument/2006/relationships/hyperlink" Target="file:///\\192.168.11.15\Elmdale-Root\Accounting\pages\CommonAccount.aspx%3fsJump=3303-2145&amp;c.ChartCode=&amp;hAccount=&amp;hAccount2=&amp;DbCrd=Either&amp;AcTyp=Any&amp;RpTyp=Either" TargetMode="External" Id="rId914"/><Relationship Type="http://schemas.openxmlformats.org/officeDocument/2006/relationships/hyperlink" Target="file:///\\192.168.11.15\Elmdale-Root\Accounting\pages\CommonAccount.aspx%3fsJump=3303-2146&amp;c.ChartCode=&amp;hAccount=&amp;hAccount2=&amp;DbCrd=Either&amp;AcTyp=Any&amp;RpTyp=Either" TargetMode="External" Id="rId915"/><Relationship Type="http://schemas.openxmlformats.org/officeDocument/2006/relationships/hyperlink" Target="file:///\\192.168.11.15\Elmdale-Root\Accounting\pages\CommonAccount.aspx%3fsJump=3303-2147&amp;c.ChartCode=&amp;hAccount=&amp;hAccount2=&amp;DbCrd=Either&amp;AcTyp=Any&amp;RpTyp=Either" TargetMode="External" Id="rId916"/><Relationship Type="http://schemas.openxmlformats.org/officeDocument/2006/relationships/hyperlink" Target="file:///\\192.168.11.15\Elmdale-Root\Accounting\pages\CommonAccount.aspx%3fsJump=3303-2148&amp;c.ChartCode=&amp;hAccount=&amp;hAccount2=&amp;DbCrd=Either&amp;AcTyp=Any&amp;RpTyp=Either" TargetMode="External" Id="rId917"/><Relationship Type="http://schemas.openxmlformats.org/officeDocument/2006/relationships/hyperlink" Target="file:///\\192.168.11.15\Elmdale-Root\Accounting\pages\CommonAccount.aspx%3fsJump=3303-2149&amp;c.ChartCode=&amp;hAccount=&amp;hAccount2=&amp;DbCrd=Either&amp;AcTyp=Any&amp;RpTyp=Either" TargetMode="External" Id="rId918"/><Relationship Type="http://schemas.openxmlformats.org/officeDocument/2006/relationships/hyperlink" Target="file:///\\192.168.11.15\Elmdale-Root\Accounting\pages\CommonAccount.aspx%3fsJump=3303-2150&amp;c.ChartCode=&amp;hAccount=&amp;hAccount2=&amp;DbCrd=Either&amp;AcTyp=Any&amp;RpTyp=Either" TargetMode="External" Id="rId919"/><Relationship Type="http://schemas.openxmlformats.org/officeDocument/2006/relationships/hyperlink" Target="file:///\\192.168.11.15\Elmdale-Root\Accounting\pages\CommonAccount.aspx%3fsJump=3303-2151&amp;c.ChartCode=&amp;hAccount=&amp;hAccount2=&amp;DbCrd=Either&amp;AcTyp=Any&amp;RpTyp=Either" TargetMode="External" Id="rId920"/><Relationship Type="http://schemas.openxmlformats.org/officeDocument/2006/relationships/hyperlink" Target="file:///\\192.168.11.15\Elmdale-Root\Accounting\pages\CommonAccount.aspx%3fsJump=3303-2152&amp;c.ChartCode=&amp;hAccount=&amp;hAccount2=&amp;DbCrd=Either&amp;AcTyp=Any&amp;RpTyp=Either" TargetMode="External" Id="rId921"/><Relationship Type="http://schemas.openxmlformats.org/officeDocument/2006/relationships/hyperlink" Target="file:///\\192.168.11.15\Elmdale-Root\Accounting\pages\CommonAccount.aspx%3fsJump=3303-2153&amp;c.ChartCode=&amp;hAccount=&amp;hAccount2=&amp;DbCrd=Either&amp;AcTyp=Any&amp;RpTyp=Either" TargetMode="External" Id="rId922"/><Relationship Type="http://schemas.openxmlformats.org/officeDocument/2006/relationships/hyperlink" Target="file:///\\192.168.11.15\Elmdale-Root\Accounting\pages\CommonAccount.aspx%3fsJump=3303-2154&amp;c.ChartCode=&amp;hAccount=&amp;hAccount2=&amp;DbCrd=Either&amp;AcTyp=Any&amp;RpTyp=Either" TargetMode="External" Id="rId923"/><Relationship Type="http://schemas.openxmlformats.org/officeDocument/2006/relationships/hyperlink" Target="file:///\\192.168.11.15\Elmdale-Root\Accounting\pages\CommonAccount.aspx%3fsJump=3303-2155&amp;c.ChartCode=&amp;hAccount=&amp;hAccount2=&amp;DbCrd=Either&amp;AcTyp=Any&amp;RpTyp=Either" TargetMode="External" Id="rId924"/><Relationship Type="http://schemas.openxmlformats.org/officeDocument/2006/relationships/hyperlink" Target="file:///\\192.168.11.15\Elmdale-Root\Accounting\pages\CommonAccount.aspx%3fsJump=3303-2156&amp;c.ChartCode=&amp;hAccount=&amp;hAccount2=&amp;DbCrd=Either&amp;AcTyp=Any&amp;RpTyp=Either" TargetMode="External" Id="rId925"/><Relationship Type="http://schemas.openxmlformats.org/officeDocument/2006/relationships/hyperlink" Target="file:///\\192.168.11.15\Elmdale-Root\Accounting\pages\CommonAccount.aspx%3fsJump=3303-2157&amp;c.ChartCode=&amp;hAccount=&amp;hAccount2=&amp;DbCrd=Either&amp;AcTyp=Any&amp;RpTyp=Either" TargetMode="External" Id="rId926"/><Relationship Type="http://schemas.openxmlformats.org/officeDocument/2006/relationships/hyperlink" Target="file:///\\192.168.11.15\Elmdale-Root\Accounting\pages\CommonAccount.aspx%3fsJump=3303-2158&amp;c.ChartCode=&amp;hAccount=&amp;hAccount2=&amp;DbCrd=Either&amp;AcTyp=Any&amp;RpTyp=Either" TargetMode="External" Id="rId927"/><Relationship Type="http://schemas.openxmlformats.org/officeDocument/2006/relationships/hyperlink" Target="file:///\\192.168.11.15\Elmdale-Root\Accounting\pages\CommonAccount.aspx%3fsJump=3303-2159&amp;c.ChartCode=&amp;hAccount=&amp;hAccount2=&amp;DbCrd=Either&amp;AcTyp=Any&amp;RpTyp=Either" TargetMode="External" Id="rId928"/><Relationship Type="http://schemas.openxmlformats.org/officeDocument/2006/relationships/hyperlink" Target="file:///\\192.168.11.15\Elmdale-Root\Accounting\pages\CommonAccount.aspx%3fsJump=3303-2160&amp;c.ChartCode=&amp;hAccount=&amp;hAccount2=&amp;DbCrd=Either&amp;AcTyp=Any&amp;RpTyp=Either" TargetMode="External" Id="rId929"/><Relationship Type="http://schemas.openxmlformats.org/officeDocument/2006/relationships/hyperlink" Target="file:///\\192.168.11.15\Elmdale-Root\Accounting\pages\CommonAccount.aspx%3fsJump=3303-2161&amp;c.ChartCode=&amp;hAccount=&amp;hAccount2=&amp;DbCrd=Either&amp;AcTyp=Any&amp;RpTyp=Either" TargetMode="External" Id="rId930"/><Relationship Type="http://schemas.openxmlformats.org/officeDocument/2006/relationships/hyperlink" Target="file:///\\192.168.11.15\Elmdale-Root\Accounting\pages\CommonAccount.aspx%3fsJump=3303-2162&amp;c.ChartCode=&amp;hAccount=&amp;hAccount2=&amp;DbCrd=Either&amp;AcTyp=Any&amp;RpTyp=Either" TargetMode="External" Id="rId931"/><Relationship Type="http://schemas.openxmlformats.org/officeDocument/2006/relationships/hyperlink" Target="file:///\\192.168.11.15\Elmdale-Root\Accounting\pages\CommonAccount.aspx%3fsJump=3303-2163&amp;c.ChartCode=&amp;hAccount=&amp;hAccount2=&amp;DbCrd=Either&amp;AcTyp=Any&amp;RpTyp=Either" TargetMode="External" Id="rId932"/><Relationship Type="http://schemas.openxmlformats.org/officeDocument/2006/relationships/hyperlink" Target="file:///\\192.168.11.15\Elmdale-Root\Accounting\pages\CommonAccount.aspx%3fsJump=3303-2164&amp;c.ChartCode=&amp;hAccount=&amp;hAccount2=&amp;DbCrd=Either&amp;AcTyp=Any&amp;RpTyp=Either" TargetMode="External" Id="rId933"/><Relationship Type="http://schemas.openxmlformats.org/officeDocument/2006/relationships/hyperlink" Target="file:///\\192.168.11.15\Elmdale-Root\Accounting\pages\CommonAccount.aspx%3fsJump=3303-2165&amp;c.ChartCode=&amp;hAccount=&amp;hAccount2=&amp;DbCrd=Either&amp;AcTyp=Any&amp;RpTyp=Either" TargetMode="External" Id="rId934"/><Relationship Type="http://schemas.openxmlformats.org/officeDocument/2006/relationships/hyperlink" Target="file:///\\192.168.11.15\Elmdale-Root\Accounting\pages\CommonAccount.aspx%3fsJump=3303-2166&amp;c.ChartCode=&amp;hAccount=&amp;hAccount2=&amp;DbCrd=Either&amp;AcTyp=Any&amp;RpTyp=Either" TargetMode="External" Id="rId935"/><Relationship Type="http://schemas.openxmlformats.org/officeDocument/2006/relationships/hyperlink" Target="file:///\\192.168.11.15\Elmdale-Root\Accounting\pages\CommonAccount.aspx%3fsJump=3303-2167&amp;c.ChartCode=&amp;hAccount=&amp;hAccount2=&amp;DbCrd=Either&amp;AcTyp=Any&amp;RpTyp=Either" TargetMode="External" Id="rId936"/><Relationship Type="http://schemas.openxmlformats.org/officeDocument/2006/relationships/hyperlink" Target="file:///\\192.168.11.15\Elmdale-Root\Accounting\pages\CommonAccount.aspx%3fsJump=3303-2168&amp;c.ChartCode=&amp;hAccount=&amp;hAccount2=&amp;DbCrd=Either&amp;AcTyp=Any&amp;RpTyp=Either" TargetMode="External" Id="rId937"/><Relationship Type="http://schemas.openxmlformats.org/officeDocument/2006/relationships/hyperlink" Target="file:///\\192.168.11.15\Elmdale-Root\Accounting\pages\CommonAccount.aspx%3fsJump=3303-2169&amp;c.ChartCode=&amp;hAccount=&amp;hAccount2=&amp;DbCrd=Either&amp;AcTyp=Any&amp;RpTyp=Either" TargetMode="External" Id="rId938"/><Relationship Type="http://schemas.openxmlformats.org/officeDocument/2006/relationships/hyperlink" Target="file:///\\192.168.11.15\Elmdale-Root\Accounting\pages\CommonAccount.aspx%3fsJump=3303-2170&amp;c.ChartCode=&amp;hAccount=&amp;hAccount2=&amp;DbCrd=Either&amp;AcTyp=Any&amp;RpTyp=Either" TargetMode="External" Id="rId939"/><Relationship Type="http://schemas.openxmlformats.org/officeDocument/2006/relationships/hyperlink" Target="file:///\\192.168.11.15\Elmdale-Root\Accounting\pages\CommonAccount.aspx%3fsJump=3303-2171&amp;c.ChartCode=&amp;hAccount=&amp;hAccount2=&amp;DbCrd=Either&amp;AcTyp=Any&amp;RpTyp=Either" TargetMode="External" Id="rId940"/><Relationship Type="http://schemas.openxmlformats.org/officeDocument/2006/relationships/hyperlink" Target="file:///\\192.168.11.15\Elmdale-Root\Accounting\pages\CommonAccount.aspx%3fsJump=3303-2172&amp;c.ChartCode=&amp;hAccount=&amp;hAccount2=&amp;DbCrd=Either&amp;AcTyp=Any&amp;RpTyp=Either" TargetMode="External" Id="rId941"/><Relationship Type="http://schemas.openxmlformats.org/officeDocument/2006/relationships/hyperlink" Target="file:///\\192.168.11.15\Elmdale-Root\Accounting\pages\CommonAccount.aspx%3fsJump=3303-2173&amp;c.ChartCode=&amp;hAccount=&amp;hAccount2=&amp;DbCrd=Either&amp;AcTyp=Any&amp;RpTyp=Either" TargetMode="External" Id="rId942"/><Relationship Type="http://schemas.openxmlformats.org/officeDocument/2006/relationships/hyperlink" Target="file:///\\192.168.11.15\Elmdale-Root\Accounting\pages\CommonAccount.aspx%3fsJump=3303-2174&amp;c.ChartCode=&amp;hAccount=&amp;hAccount2=&amp;DbCrd=Either&amp;AcTyp=Any&amp;RpTyp=Either" TargetMode="External" Id="rId943"/><Relationship Type="http://schemas.openxmlformats.org/officeDocument/2006/relationships/hyperlink" Target="file:///\\192.168.11.15\Elmdale-Root\Accounting\pages\CommonAccount.aspx%3fsJump=3303-2175&amp;c.ChartCode=&amp;hAccount=&amp;hAccount2=&amp;DbCrd=Either&amp;AcTyp=Any&amp;RpTyp=Either" TargetMode="External" Id="rId944"/><Relationship Type="http://schemas.openxmlformats.org/officeDocument/2006/relationships/hyperlink" Target="file:///\\192.168.11.15\Elmdale-Root\Accounting\pages\CommonAccount.aspx%3fsJump=3303-2176&amp;c.ChartCode=&amp;hAccount=&amp;hAccount2=&amp;DbCrd=Either&amp;AcTyp=Any&amp;RpTyp=Either" TargetMode="External" Id="rId945"/><Relationship Type="http://schemas.openxmlformats.org/officeDocument/2006/relationships/hyperlink" Target="file:///\\192.168.11.15\Elmdale-Root\Accounting\pages\CommonAccount.aspx%3fsJump=3303-2177&amp;c.ChartCode=&amp;hAccount=&amp;hAccount2=&amp;DbCrd=Either&amp;AcTyp=Any&amp;RpTyp=Either" TargetMode="External" Id="rId946"/><Relationship Type="http://schemas.openxmlformats.org/officeDocument/2006/relationships/hyperlink" Target="file:///\\192.168.11.15\Elmdale-Root\Accounting\pages\CommonAccount.aspx%3fsJump=3303-2178&amp;c.ChartCode=&amp;hAccount=&amp;hAccount2=&amp;DbCrd=Either&amp;AcTyp=Any&amp;RpTyp=Either" TargetMode="External" Id="rId947"/><Relationship Type="http://schemas.openxmlformats.org/officeDocument/2006/relationships/hyperlink" Target="file:///\\192.168.11.15\Elmdale-Root\Accounting\pages\CommonAccount.aspx%3fsJump=3303-2179&amp;c.ChartCode=&amp;hAccount=&amp;hAccount2=&amp;DbCrd=Either&amp;AcTyp=Any&amp;RpTyp=Either" TargetMode="External" Id="rId948"/><Relationship Type="http://schemas.openxmlformats.org/officeDocument/2006/relationships/hyperlink" Target="file:///\\192.168.11.15\Elmdale-Root\Accounting\pages\CommonAccount.aspx%3fsJump=3303-2180&amp;c.ChartCode=&amp;hAccount=&amp;hAccount2=&amp;DbCrd=Either&amp;AcTyp=Any&amp;RpTyp=Either" TargetMode="External" Id="rId949"/><Relationship Type="http://schemas.openxmlformats.org/officeDocument/2006/relationships/hyperlink" Target="file:///\\192.168.11.15\Elmdale-Root\Accounting\pages\CommonAccount.aspx%3fsJump=3303-2181&amp;c.ChartCode=&amp;hAccount=&amp;hAccount2=&amp;DbCrd=Either&amp;AcTyp=Any&amp;RpTyp=Either" TargetMode="External" Id="rId950"/><Relationship Type="http://schemas.openxmlformats.org/officeDocument/2006/relationships/hyperlink" Target="file:///\\192.168.11.15\Elmdale-Root\Accounting\pages\CommonAccount.aspx%3fsJump=3303-2182&amp;c.ChartCode=&amp;hAccount=&amp;hAccount2=&amp;DbCrd=Either&amp;AcTyp=Any&amp;RpTyp=Either" TargetMode="External" Id="rId951"/><Relationship Type="http://schemas.openxmlformats.org/officeDocument/2006/relationships/hyperlink" Target="file:///\\192.168.11.15\Elmdale-Root\Accounting\pages\CommonAccount.aspx%3fsJump=3303-2183&amp;c.ChartCode=&amp;hAccount=&amp;hAccount2=&amp;DbCrd=Either&amp;AcTyp=Any&amp;RpTyp=Either" TargetMode="External" Id="rId952"/><Relationship Type="http://schemas.openxmlformats.org/officeDocument/2006/relationships/hyperlink" Target="file:///\\192.168.11.15\Elmdale-Root\Accounting\pages\CommonAccount.aspx%3fsJump=3303-2184&amp;c.ChartCode=&amp;hAccount=&amp;hAccount2=&amp;DbCrd=Either&amp;AcTyp=Any&amp;RpTyp=Either" TargetMode="External" Id="rId953"/><Relationship Type="http://schemas.openxmlformats.org/officeDocument/2006/relationships/hyperlink" Target="file:///\\192.168.11.15\Elmdale-Root\Accounting\pages\CommonAccount.aspx%3fsJump=3303-2185&amp;c.ChartCode=&amp;hAccount=&amp;hAccount2=&amp;DbCrd=Either&amp;AcTyp=Any&amp;RpTyp=Either" TargetMode="External" Id="rId954"/><Relationship Type="http://schemas.openxmlformats.org/officeDocument/2006/relationships/hyperlink" Target="file:///\\192.168.11.15\Elmdale-Root\Accounting\pages\CommonAccount.aspx%3fsJump=3303-2186&amp;c.ChartCode=&amp;hAccount=&amp;hAccount2=&amp;DbCrd=Either&amp;AcTyp=Any&amp;RpTyp=Either" TargetMode="External" Id="rId955"/><Relationship Type="http://schemas.openxmlformats.org/officeDocument/2006/relationships/hyperlink" Target="file:///\\192.168.11.15\Elmdale-Root\Accounting\pages\CommonAccount.aspx%3fsJump=3303-2187&amp;c.ChartCode=&amp;hAccount=&amp;hAccount2=&amp;DbCrd=Either&amp;AcTyp=Any&amp;RpTyp=Either" TargetMode="External" Id="rId956"/><Relationship Type="http://schemas.openxmlformats.org/officeDocument/2006/relationships/hyperlink" Target="file:///\\192.168.11.15\Elmdale-Root\Accounting\pages\CommonAccount.aspx%3fsJump=3303-2188&amp;c.ChartCode=&amp;hAccount=&amp;hAccount2=&amp;DbCrd=Either&amp;AcTyp=Any&amp;RpTyp=Either" TargetMode="External" Id="rId957"/><Relationship Type="http://schemas.openxmlformats.org/officeDocument/2006/relationships/hyperlink" Target="file:///\\192.168.11.15\Elmdale-Root\Accounting\pages\CommonAccount.aspx%3fsJump=3303-2189&amp;c.ChartCode=&amp;hAccount=&amp;hAccount2=&amp;DbCrd=Either&amp;AcTyp=Any&amp;RpTyp=Either" TargetMode="External" Id="rId958"/><Relationship Type="http://schemas.openxmlformats.org/officeDocument/2006/relationships/hyperlink" Target="file:///\\192.168.11.15\Elmdale-Root\Accounting\pages\CommonAccount.aspx%3fsJump=3303-2190&amp;c.ChartCode=&amp;hAccount=&amp;hAccount2=&amp;DbCrd=Either&amp;AcTyp=Any&amp;RpTyp=Either" TargetMode="External" Id="rId959"/><Relationship Type="http://schemas.openxmlformats.org/officeDocument/2006/relationships/hyperlink" Target="file:///\\192.168.11.15\Elmdale-Root\Accounting\pages\CommonAccount.aspx%3fsJump=3303-2191&amp;c.ChartCode=&amp;hAccount=&amp;hAccount2=&amp;DbCrd=Either&amp;AcTyp=Any&amp;RpTyp=Either" TargetMode="External" Id="rId960"/><Relationship Type="http://schemas.openxmlformats.org/officeDocument/2006/relationships/hyperlink" Target="file:///\\192.168.11.15\Elmdale-Root\Accounting\pages\CommonAccount.aspx%3fsJump=3303-2192&amp;c.ChartCode=&amp;hAccount=&amp;hAccount2=&amp;DbCrd=Either&amp;AcTyp=Any&amp;RpTyp=Either" TargetMode="External" Id="rId961"/><Relationship Type="http://schemas.openxmlformats.org/officeDocument/2006/relationships/hyperlink" Target="file:///\\192.168.11.15\Elmdale-Root\Accounting\pages\CommonAccount.aspx%3fsJump=3303-2193&amp;c.ChartCode=&amp;hAccount=&amp;hAccount2=&amp;DbCrd=Either&amp;AcTyp=Any&amp;RpTyp=Either" TargetMode="External" Id="rId962"/><Relationship Type="http://schemas.openxmlformats.org/officeDocument/2006/relationships/hyperlink" Target="file:///\\192.168.11.15\Elmdale-Root\Accounting\pages\CommonAccount.aspx%3fsJump=3303-2194&amp;c.ChartCode=&amp;hAccount=&amp;hAccount2=&amp;DbCrd=Either&amp;AcTyp=Any&amp;RpTyp=Either" TargetMode="External" Id="rId963"/><Relationship Type="http://schemas.openxmlformats.org/officeDocument/2006/relationships/hyperlink" Target="file:///\\192.168.11.15\Elmdale-Root\Accounting\pages\CommonAccount.aspx%3fsJump=3303-2195&amp;c.ChartCode=&amp;hAccount=&amp;hAccount2=&amp;DbCrd=Either&amp;AcTyp=Any&amp;RpTyp=Either" TargetMode="External" Id="rId964"/><Relationship Type="http://schemas.openxmlformats.org/officeDocument/2006/relationships/hyperlink" Target="file:///\\192.168.11.15\Elmdale-Root\Accounting\pages\CommonAccount.aspx%3fsJump=3303-2196&amp;c.ChartCode=&amp;hAccount=&amp;hAccount2=&amp;DbCrd=Either&amp;AcTyp=Any&amp;RpTyp=Either" TargetMode="External" Id="rId965"/><Relationship Type="http://schemas.openxmlformats.org/officeDocument/2006/relationships/hyperlink" Target="file:///\\192.168.11.15\Elmdale-Root\Accounting\pages\CommonAccount.aspx%3fsJump=3303-2197&amp;c.ChartCode=&amp;hAccount=&amp;hAccount2=&amp;DbCrd=Either&amp;AcTyp=Any&amp;RpTyp=Either" TargetMode="External" Id="rId966"/><Relationship Type="http://schemas.openxmlformats.org/officeDocument/2006/relationships/hyperlink" Target="file:///\\192.168.11.15\Elmdale-Root\Accounting\pages\CommonAccount.aspx%3fsJump=3303-2198&amp;c.ChartCode=&amp;hAccount=&amp;hAccount2=&amp;DbCrd=Either&amp;AcTyp=Any&amp;RpTyp=Either" TargetMode="External" Id="rId967"/><Relationship Type="http://schemas.openxmlformats.org/officeDocument/2006/relationships/hyperlink" Target="file:///\\192.168.11.15\Elmdale-Root\Accounting\pages\CommonAccount.aspx%3fsJump=3303-2199&amp;c.ChartCode=&amp;hAccount=&amp;hAccount2=&amp;DbCrd=Either&amp;AcTyp=Any&amp;RpTyp=Either" TargetMode="External" Id="rId968"/><Relationship Type="http://schemas.openxmlformats.org/officeDocument/2006/relationships/hyperlink" Target="file:///\\192.168.11.15\Elmdale-Root\Accounting\pages\CommonAccount.aspx%3fsJump=3303-2200&amp;c.ChartCode=&amp;hAccount=&amp;hAccount2=&amp;DbCrd=Either&amp;AcTyp=Any&amp;RpTyp=Either" TargetMode="External" Id="rId969"/><Relationship Type="http://schemas.openxmlformats.org/officeDocument/2006/relationships/hyperlink" Target="file:///\\192.168.11.15\Elmdale-Root\Accounting\pages\CommonAccount.aspx%3fsJump=3303-2201&amp;c.ChartCode=&amp;hAccount=&amp;hAccount2=&amp;DbCrd=Either&amp;AcTyp=Any&amp;RpTyp=Either" TargetMode="External" Id="rId970"/><Relationship Type="http://schemas.openxmlformats.org/officeDocument/2006/relationships/hyperlink" Target="file:///\\192.168.11.15\Elmdale-Root\Accounting\pages\CommonAccount.aspx%3fsJump=3303-2202&amp;c.ChartCode=&amp;hAccount=&amp;hAccount2=&amp;DbCrd=Either&amp;AcTyp=Any&amp;RpTyp=Either" TargetMode="External" Id="rId971"/><Relationship Type="http://schemas.openxmlformats.org/officeDocument/2006/relationships/hyperlink" Target="file:///\\192.168.11.15\Elmdale-Root\Accounting\pages\CommonAccount.aspx%3fsJump=3303-2203&amp;c.ChartCode=&amp;hAccount=&amp;hAccount2=&amp;DbCrd=Either&amp;AcTyp=Any&amp;RpTyp=Either" TargetMode="External" Id="rId972"/><Relationship Type="http://schemas.openxmlformats.org/officeDocument/2006/relationships/hyperlink" Target="file:///\\192.168.11.15\Elmdale-Root\Accounting\pages\CommonAccount.aspx%3fsJump=3303-2204&amp;c.ChartCode=&amp;hAccount=&amp;hAccount2=&amp;DbCrd=Either&amp;AcTyp=Any&amp;RpTyp=Either" TargetMode="External" Id="rId973"/><Relationship Type="http://schemas.openxmlformats.org/officeDocument/2006/relationships/hyperlink" Target="file:///\\192.168.11.15\Elmdale-Root\Accounting\pages\CommonAccount.aspx%3fsJump=3303-2205&amp;c.ChartCode=&amp;hAccount=&amp;hAccount2=&amp;DbCrd=Either&amp;AcTyp=Any&amp;RpTyp=Either" TargetMode="External" Id="rId974"/><Relationship Type="http://schemas.openxmlformats.org/officeDocument/2006/relationships/hyperlink" Target="file:///\\192.168.11.15\Elmdale-Root\Accounting\pages\CommonAccount.aspx%3fsJump=3303-2206&amp;c.ChartCode=&amp;hAccount=&amp;hAccount2=&amp;DbCrd=Either&amp;AcTyp=Any&amp;RpTyp=Either" TargetMode="External" Id="rId975"/><Relationship Type="http://schemas.openxmlformats.org/officeDocument/2006/relationships/hyperlink" Target="file:///\\192.168.11.15\Elmdale-Root\Accounting\pages\CommonAccount.aspx%3fsJump=3303-2207&amp;c.ChartCode=&amp;hAccount=&amp;hAccount2=&amp;DbCrd=Either&amp;AcTyp=Any&amp;RpTyp=Either" TargetMode="External" Id="rId976"/><Relationship Type="http://schemas.openxmlformats.org/officeDocument/2006/relationships/hyperlink" Target="file:///\\192.168.11.15\Elmdale-Root\Accounting\pages\CommonAccount.aspx%3fsJump=3303-2208&amp;c.ChartCode=&amp;hAccount=&amp;hAccount2=&amp;DbCrd=Either&amp;AcTyp=Any&amp;RpTyp=Either" TargetMode="External" Id="rId977"/><Relationship Type="http://schemas.openxmlformats.org/officeDocument/2006/relationships/hyperlink" Target="file:///\\192.168.11.15\Elmdale-Root\Accounting\pages\CommonAccount.aspx%3fsJump=3303-2209&amp;c.ChartCode=&amp;hAccount=&amp;hAccount2=&amp;DbCrd=Either&amp;AcTyp=Any&amp;RpTyp=Either" TargetMode="External" Id="rId978"/><Relationship Type="http://schemas.openxmlformats.org/officeDocument/2006/relationships/hyperlink" Target="file:///\\192.168.11.15\Elmdale-Root\Accounting\pages\CommonAccount.aspx%3fsJump=3303-2210&amp;c.ChartCode=&amp;hAccount=&amp;hAccount2=&amp;DbCrd=Either&amp;AcTyp=Any&amp;RpTyp=Either" TargetMode="External" Id="rId979"/><Relationship Type="http://schemas.openxmlformats.org/officeDocument/2006/relationships/hyperlink" Target="file:///\\192.168.11.15\Elmdale-Root\Accounting\pages\CommonAccount.aspx%3fsJump=3303-2211&amp;c.ChartCode=&amp;hAccount=&amp;hAccount2=&amp;DbCrd=Either&amp;AcTyp=Any&amp;RpTyp=Either" TargetMode="External" Id="rId980"/><Relationship Type="http://schemas.openxmlformats.org/officeDocument/2006/relationships/hyperlink" Target="file:///\\192.168.11.15\Elmdale-Root\Accounting\pages\CommonAccount.aspx%3fsJump=3303-2212&amp;c.ChartCode=&amp;hAccount=&amp;hAccount2=&amp;DbCrd=Either&amp;AcTyp=Any&amp;RpTyp=Either" TargetMode="External" Id="rId981"/><Relationship Type="http://schemas.openxmlformats.org/officeDocument/2006/relationships/hyperlink" Target="file:///\\192.168.11.15\Elmdale-Root\Accounting\pages\CommonAccount.aspx%3fsJump=3303-2213&amp;c.ChartCode=&amp;hAccount=&amp;hAccount2=&amp;DbCrd=Either&amp;AcTyp=Any&amp;RpTyp=Either" TargetMode="External" Id="rId982"/><Relationship Type="http://schemas.openxmlformats.org/officeDocument/2006/relationships/hyperlink" Target="file:///\\192.168.11.15\Elmdale-Root\Accounting\pages\CommonAccount.aspx%3fsJump=3303-2214&amp;c.ChartCode=&amp;hAccount=&amp;hAccount2=&amp;DbCrd=Either&amp;AcTyp=Any&amp;RpTyp=Either" TargetMode="External" Id="rId983"/><Relationship Type="http://schemas.openxmlformats.org/officeDocument/2006/relationships/hyperlink" Target="file:///\\192.168.11.15\Elmdale-Root\Accounting\pages\CommonAccount.aspx%3fsJump=3303-2215&amp;c.ChartCode=&amp;hAccount=&amp;hAccount2=&amp;DbCrd=Either&amp;AcTyp=Any&amp;RpTyp=Either" TargetMode="External" Id="rId984"/><Relationship Type="http://schemas.openxmlformats.org/officeDocument/2006/relationships/hyperlink" Target="file:///\\192.168.11.15\Elmdale-Root\Accounting\pages\CommonAccount.aspx%3fsJump=3303-2216&amp;c.ChartCode=&amp;hAccount=&amp;hAccount2=&amp;DbCrd=Either&amp;AcTyp=Any&amp;RpTyp=Either" TargetMode="External" Id="rId985"/><Relationship Type="http://schemas.openxmlformats.org/officeDocument/2006/relationships/hyperlink" Target="file:///\\192.168.11.15\Elmdale-Root\Accounting\pages\CommonAccount.aspx%3fsJump=3303-2217&amp;c.ChartCode=&amp;hAccount=&amp;hAccount2=&amp;DbCrd=Either&amp;AcTyp=Any&amp;RpTyp=Either" TargetMode="External" Id="rId986"/><Relationship Type="http://schemas.openxmlformats.org/officeDocument/2006/relationships/hyperlink" Target="file:///\\192.168.11.15\Elmdale-Root\Accounting\pages\CommonAccount.aspx%3fsJump=3303-2218&amp;c.ChartCode=&amp;hAccount=&amp;hAccount2=&amp;DbCrd=Either&amp;AcTyp=Any&amp;RpTyp=Either" TargetMode="External" Id="rId987"/><Relationship Type="http://schemas.openxmlformats.org/officeDocument/2006/relationships/hyperlink" Target="file:///\\192.168.11.15\Elmdale-Root\Accounting\pages\CommonAccount.aspx%3fsJump=3303-2219&amp;c.ChartCode=&amp;hAccount=&amp;hAccount2=&amp;DbCrd=Either&amp;AcTyp=Any&amp;RpTyp=Either" TargetMode="External" Id="rId988"/><Relationship Type="http://schemas.openxmlformats.org/officeDocument/2006/relationships/hyperlink" Target="file:///\\192.168.11.15\Elmdale-Root\Accounting\pages\CommonAccount.aspx%3fsJump=3303-2220&amp;c.ChartCode=&amp;hAccount=&amp;hAccount2=&amp;DbCrd=Either&amp;AcTyp=Any&amp;RpTyp=Either" TargetMode="External" Id="rId989"/><Relationship Type="http://schemas.openxmlformats.org/officeDocument/2006/relationships/hyperlink" Target="file:///\\192.168.11.15\Elmdale-Root\Accounting\pages\CommonAccount.aspx%3fsJump=3303-2221&amp;c.ChartCode=&amp;hAccount=&amp;hAccount2=&amp;DbCrd=Either&amp;AcTyp=Any&amp;RpTyp=Either" TargetMode="External" Id="rId990"/><Relationship Type="http://schemas.openxmlformats.org/officeDocument/2006/relationships/hyperlink" Target="file:///\\192.168.11.15\Elmdale-Root\Accounting\pages\CommonAccount.aspx%3fsJump=3303-2222&amp;c.ChartCode=&amp;hAccount=&amp;hAccount2=&amp;DbCrd=Either&amp;AcTyp=Any&amp;RpTyp=Either" TargetMode="External" Id="rId991"/><Relationship Type="http://schemas.openxmlformats.org/officeDocument/2006/relationships/hyperlink" Target="file:///\\192.168.11.15\Elmdale-Root\Accounting\pages\CommonAccount.aspx%3fsJump=3303-2223&amp;c.ChartCode=&amp;hAccount=&amp;hAccount2=&amp;DbCrd=Either&amp;AcTyp=Any&amp;RpTyp=Either" TargetMode="External" Id="rId992"/><Relationship Type="http://schemas.openxmlformats.org/officeDocument/2006/relationships/hyperlink" Target="file:///\\192.168.11.15\Elmdale-Root\Accounting\pages\CommonAccount.aspx%3fsJump=3303-2224&amp;c.ChartCode=&amp;hAccount=&amp;hAccount2=&amp;DbCrd=Either&amp;AcTyp=Any&amp;RpTyp=Either" TargetMode="External" Id="rId993"/><Relationship Type="http://schemas.openxmlformats.org/officeDocument/2006/relationships/hyperlink" Target="file:///\\192.168.11.15\Elmdale-Root\Accounting\pages\CommonAccount.aspx%3fsJump=3303-2225&amp;c.ChartCode=&amp;hAccount=&amp;hAccount2=&amp;DbCrd=Either&amp;AcTyp=Any&amp;RpTyp=Either" TargetMode="External" Id="rId994"/><Relationship Type="http://schemas.openxmlformats.org/officeDocument/2006/relationships/hyperlink" Target="file:///\\192.168.11.15\Elmdale-Root\Accounting\pages\CommonAccount.aspx%3fsJump=3303-2226&amp;c.ChartCode=&amp;hAccount=&amp;hAccount2=&amp;DbCrd=Either&amp;AcTyp=Any&amp;RpTyp=Either" TargetMode="External" Id="rId995"/><Relationship Type="http://schemas.openxmlformats.org/officeDocument/2006/relationships/hyperlink" Target="file:///\\192.168.11.15\Elmdale-Root\Accounting\pages\CommonAccount.aspx%3fsJump=3400-0000&amp;c.ChartCode=&amp;hAccount=&amp;hAccount2=&amp;DbCrd=Either&amp;AcTyp=Any&amp;RpTyp=Either" TargetMode="External" Id="rId996"/><Relationship Type="http://schemas.openxmlformats.org/officeDocument/2006/relationships/hyperlink" Target="file:///\\192.168.11.15\Elmdale-Root\Accounting\pages\CommonAccount.aspx%3fsJump=3410-0000&amp;c.ChartCode=&amp;hAccount=&amp;hAccount2=&amp;DbCrd=Either&amp;AcTyp=Any&amp;RpTyp=Either" TargetMode="External" Id="rId997"/><Relationship Type="http://schemas.openxmlformats.org/officeDocument/2006/relationships/hyperlink" Target="file:///\\192.168.11.15\Elmdale-Root\Accounting\pages\CommonAccount.aspx%3fsJump=3500-1000&amp;c.ChartCode=&amp;hAccount=&amp;hAccount2=&amp;DbCrd=Either&amp;AcTyp=Any&amp;RpTyp=Either" TargetMode="External" Id="rId998"/><Relationship Type="http://schemas.openxmlformats.org/officeDocument/2006/relationships/hyperlink" Target="file:///\\192.168.11.15\Elmdale-Root\Accounting\pages\CommonAccount.aspx%3fsJump=3500-2000&amp;c.ChartCode=&amp;hAccount=&amp;hAccount2=&amp;DbCrd=Either&amp;AcTyp=Any&amp;RpTyp=Either" TargetMode="External" Id="rId999"/><Relationship Type="http://schemas.openxmlformats.org/officeDocument/2006/relationships/hyperlink" Target="file:///\\192.168.11.15\Elmdale-Root\Accounting\pages\CommonAccount.aspx%3fsJump=3500-3000&amp;c.ChartCode=&amp;hAccount=&amp;hAccount2=&amp;DbCrd=Either&amp;AcTyp=Any&amp;RpTyp=Either" TargetMode="External" Id="rId1000"/><Relationship Type="http://schemas.openxmlformats.org/officeDocument/2006/relationships/hyperlink" Target="file:///\\192.168.11.15\Elmdale-Root\Accounting\pages\CommonAccount.aspx%3fsJump=3500-4000&amp;c.ChartCode=&amp;hAccount=&amp;hAccount2=&amp;DbCrd=Either&amp;AcTyp=Any&amp;RpTyp=Either" TargetMode="External" Id="rId1001"/><Relationship Type="http://schemas.openxmlformats.org/officeDocument/2006/relationships/hyperlink" Target="file:///\\192.168.11.15\Elmdale-Root\Accounting\pages\CommonAccount.aspx%3fsJump=3600-0000&amp;c.ChartCode=&amp;hAccount=&amp;hAccount2=&amp;DbCrd=Either&amp;AcTyp=Any&amp;RpTyp=Either" TargetMode="External" Id="rId1002"/><Relationship Type="http://schemas.openxmlformats.org/officeDocument/2006/relationships/hyperlink" Target="file:///\\192.168.11.15\Elmdale-Root\Accounting\pages\CommonAccount.aspx%3fsJump=3800-0000&amp;c.ChartCode=&amp;hAccount=&amp;hAccount2=&amp;DbCrd=Either&amp;AcTyp=Any&amp;RpTyp=Either" TargetMode="External" Id="rId1003"/><Relationship Type="http://schemas.openxmlformats.org/officeDocument/2006/relationships/hyperlink" Target="file:///\\192.168.11.15\Elmdale-Root\Accounting\pages\CommonAccount.aspx%3fsJump=3810-0000&amp;c.ChartCode=&amp;hAccount=&amp;hAccount2=&amp;DbCrd=Either&amp;AcTyp=Any&amp;RpTyp=Either" TargetMode="External" Id="rId1004"/><Relationship Type="http://schemas.openxmlformats.org/officeDocument/2006/relationships/hyperlink" Target="file:///\\192.168.11.15\Elmdale-Root\Accounting\pages\CommonAccount.aspx%3fsJump=3890-0000&amp;c.ChartCode=&amp;hAccount=&amp;hAccount2=&amp;DbCrd=Either&amp;AcTyp=Any&amp;RpTyp=Either" TargetMode="External" Id="rId1005"/><Relationship Type="http://schemas.openxmlformats.org/officeDocument/2006/relationships/hyperlink" Target="file:///\\192.168.11.15\Elmdale-Root\Accounting\pages\CommonAccount.aspx%3fsJump=3890-0001&amp;c.ChartCode=&amp;hAccount=&amp;hAccount2=&amp;DbCrd=Either&amp;AcTyp=Any&amp;RpTyp=Either" TargetMode="External" Id="rId1006"/><Relationship Type="http://schemas.openxmlformats.org/officeDocument/2006/relationships/hyperlink" Target="file:///\\192.168.11.15\Elmdale-Root\Accounting\pages\CommonAccount.aspx%3fsJump=3890-0002&amp;c.ChartCode=&amp;hAccount=&amp;hAccount2=&amp;DbCrd=Either&amp;AcTyp=Any&amp;RpTyp=Either" TargetMode="External" Id="rId1007"/><Relationship Type="http://schemas.openxmlformats.org/officeDocument/2006/relationships/hyperlink" Target="file:///\\192.168.11.15\Elmdale-Root\Accounting\pages\CommonAccount.aspx%3fsJump=3990-0000&amp;c.ChartCode=&amp;hAccount=&amp;hAccount2=&amp;DbCrd=Either&amp;AcTyp=Any&amp;RpTyp=Either" TargetMode="External" Id="rId1008"/><Relationship Type="http://schemas.openxmlformats.org/officeDocument/2006/relationships/hyperlink" Target="file:///\\192.168.11.15\Elmdale-Root\Accounting\pages\CommonAccount.aspx%3fsJump=4000-0000&amp;c.ChartCode=&amp;hAccount=&amp;hAccount2=&amp;DbCrd=Either&amp;AcTyp=Any&amp;RpTyp=Either" TargetMode="External" Id="rId1009"/><Relationship Type="http://schemas.openxmlformats.org/officeDocument/2006/relationships/hyperlink" Target="file:///\\192.168.11.15\Elmdale-Root\Accounting\pages\CommonAccount.aspx%3fsJump=4100-0000&amp;c.ChartCode=&amp;hAccount=&amp;hAccount2=&amp;DbCrd=Either&amp;AcTyp=Any&amp;RpTyp=Either" TargetMode="External" Id="rId1010"/><Relationship Type="http://schemas.openxmlformats.org/officeDocument/2006/relationships/hyperlink" Target="file:///\\192.168.11.15\Elmdale-Root\Accounting\pages\CommonAccount.aspx%3fsJump=4300-0000&amp;c.ChartCode=&amp;hAccount=&amp;hAccount2=&amp;DbCrd=Either&amp;AcTyp=Any&amp;RpTyp=Either" TargetMode="External" Id="rId1011"/><Relationship Type="http://schemas.openxmlformats.org/officeDocument/2006/relationships/hyperlink" Target="file:///\\192.168.11.15\Elmdale-Root\Accounting\pages\CommonAccount.aspx%3fsJump=4400-0000&amp;c.ChartCode=&amp;hAccount=&amp;hAccount2=&amp;DbCrd=Either&amp;AcTyp=Any&amp;RpTyp=Either" TargetMode="External" Id="rId1012"/><Relationship Type="http://schemas.openxmlformats.org/officeDocument/2006/relationships/hyperlink" Target="file:///\\192.168.11.15\Elmdale-Root\Accounting\pages\CommonAccount.aspx%3fsJump=4450-0000&amp;c.ChartCode=&amp;hAccount=&amp;hAccount2=&amp;DbCrd=Either&amp;AcTyp=Any&amp;RpTyp=Either" TargetMode="External" Id="rId1013"/><Relationship Type="http://schemas.openxmlformats.org/officeDocument/2006/relationships/hyperlink" Target="file:///\\192.168.11.15\Elmdale-Root\Accounting\pages\CommonAccount.aspx%3fsJump=4450-0001&amp;c.ChartCode=&amp;hAccount=&amp;hAccount2=&amp;DbCrd=Either&amp;AcTyp=Any&amp;RpTyp=Either" TargetMode="External" Id="rId1014"/><Relationship Type="http://schemas.openxmlformats.org/officeDocument/2006/relationships/hyperlink" Target="file:///\\192.168.11.15\Elmdale-Root\Accounting\pages\CommonAccount.aspx%3fsJump=4500-0000&amp;c.ChartCode=&amp;hAccount=&amp;hAccount2=&amp;DbCrd=Either&amp;AcTyp=Any&amp;RpTyp=Either" TargetMode="External" Id="rId1015"/><Relationship Type="http://schemas.openxmlformats.org/officeDocument/2006/relationships/hyperlink" Target="file:///\\192.168.11.15\Elmdale-Root\Accounting\pages\CommonAccount.aspx%3fsJump=4500-0001&amp;c.ChartCode=&amp;hAccount=&amp;hAccount2=&amp;DbCrd=Either&amp;AcTyp=Any&amp;RpTyp=Either" TargetMode="External" Id="rId1016"/><Relationship Type="http://schemas.openxmlformats.org/officeDocument/2006/relationships/hyperlink" Target="file:///\\192.168.11.15\Elmdale-Root\Accounting\pages\CommonAccount.aspx%3fsJump=4500-0002&amp;c.ChartCode=&amp;hAccount=&amp;hAccount2=&amp;DbCrd=Either&amp;AcTyp=Any&amp;RpTyp=Either" TargetMode="External" Id="rId1017"/><Relationship Type="http://schemas.openxmlformats.org/officeDocument/2006/relationships/hyperlink" Target="file:///\\192.168.11.15\Elmdale-Root\Accounting\pages\CommonAccount.aspx%3fsJump=4500-1000&amp;c.ChartCode=&amp;hAccount=&amp;hAccount2=&amp;DbCrd=Either&amp;AcTyp=Any&amp;RpTyp=Either" TargetMode="External" Id="rId1018"/><Relationship Type="http://schemas.openxmlformats.org/officeDocument/2006/relationships/hyperlink" Target="file:///\\192.168.11.15\Elmdale-Root\Accounting\pages\CommonAccount.aspx%3fsJump=4500-1001&amp;c.ChartCode=&amp;hAccount=&amp;hAccount2=&amp;DbCrd=Either&amp;AcTyp=Any&amp;RpTyp=Either" TargetMode="External" Id="rId1019"/><Relationship Type="http://schemas.openxmlformats.org/officeDocument/2006/relationships/hyperlink" Target="file:///\\192.168.11.15\Elmdale-Root\Accounting\pages\CommonAccount.aspx%3fsJump=4500-1003&amp;c.ChartCode=&amp;hAccount=&amp;hAccount2=&amp;DbCrd=Either&amp;AcTyp=Any&amp;RpTyp=Either" TargetMode="External" Id="rId1020"/><Relationship Type="http://schemas.openxmlformats.org/officeDocument/2006/relationships/hyperlink" Target="file:///\\192.168.11.15\Elmdale-Root\Accounting\pages\CommonAccount.aspx%3fsJump=4500-1004&amp;c.ChartCode=&amp;hAccount=&amp;hAccount2=&amp;DbCrd=Either&amp;AcTyp=Any&amp;RpTyp=Either" TargetMode="External" Id="rId1021"/><Relationship Type="http://schemas.openxmlformats.org/officeDocument/2006/relationships/hyperlink" Target="file:///\\192.168.11.15\Elmdale-Root\Accounting\pages\CommonAccount.aspx%3fsJump=4501-0000&amp;c.ChartCode=&amp;hAccount=&amp;hAccount2=&amp;DbCrd=Either&amp;AcTyp=Any&amp;RpTyp=Either" TargetMode="External" Id="rId1022"/><Relationship Type="http://schemas.openxmlformats.org/officeDocument/2006/relationships/hyperlink" Target="file:///\\192.168.11.15\Elmdale-Root\Accounting\pages\CommonAccount.aspx%3fsJump=4600-0000&amp;c.ChartCode=&amp;hAccount=&amp;hAccount2=&amp;DbCrd=Either&amp;AcTyp=Any&amp;RpTyp=Either" TargetMode="External" Id="rId1023"/><Relationship Type="http://schemas.openxmlformats.org/officeDocument/2006/relationships/hyperlink" Target="file:///\\192.168.11.15\Elmdale-Root\Accounting\pages\CommonAccount.aspx%3fsJump=4600-1000&amp;c.ChartCode=&amp;hAccount=&amp;hAccount2=&amp;DbCrd=Either&amp;AcTyp=Any&amp;RpTyp=Either" TargetMode="External" Id="rId1024"/><Relationship Type="http://schemas.openxmlformats.org/officeDocument/2006/relationships/hyperlink" Target="file:///\\192.168.11.15\Elmdale-Root\Accounting\pages\CommonAccount.aspx%3fsJump=4710-0000&amp;c.ChartCode=&amp;hAccount=&amp;hAccount2=&amp;DbCrd=Either&amp;AcTyp=Any&amp;RpTyp=Either" TargetMode="External" Id="rId1025"/><Relationship Type="http://schemas.openxmlformats.org/officeDocument/2006/relationships/hyperlink" Target="file:///\\192.168.11.15\Elmdale-Root\Accounting\pages\CommonAccount.aspx%3fsJump=4710-0001&amp;c.ChartCode=&amp;hAccount=&amp;hAccount2=&amp;DbCrd=Either&amp;AcTyp=Any&amp;RpTyp=Either" TargetMode="External" Id="rId1026"/><Relationship Type="http://schemas.openxmlformats.org/officeDocument/2006/relationships/hyperlink" Target="file:///\\192.168.11.15\Elmdale-Root\Accounting\pages\CommonAccount.aspx%3fsJump=4710-0002&amp;c.ChartCode=&amp;hAccount=&amp;hAccount2=&amp;DbCrd=Either&amp;AcTyp=Any&amp;RpTyp=Either" TargetMode="External" Id="rId1027"/><Relationship Type="http://schemas.openxmlformats.org/officeDocument/2006/relationships/hyperlink" Target="file:///\\192.168.11.15\Elmdale-Root\Accounting\pages\CommonAccount.aspx%3fsJump=4710-0003&amp;c.ChartCode=&amp;hAccount=&amp;hAccount2=&amp;DbCrd=Either&amp;AcTyp=Any&amp;RpTyp=Either" TargetMode="External" Id="rId1028"/><Relationship Type="http://schemas.openxmlformats.org/officeDocument/2006/relationships/hyperlink" Target="file:///\\192.168.11.15\Elmdale-Root\Accounting\pages\CommonAccount.aspx%3fsJump=4710-0004&amp;c.ChartCode=&amp;hAccount=&amp;hAccount2=&amp;DbCrd=Either&amp;AcTyp=Any&amp;RpTyp=Either" TargetMode="External" Id="rId1029"/><Relationship Type="http://schemas.openxmlformats.org/officeDocument/2006/relationships/hyperlink" Target="file:///\\192.168.11.15\Elmdale-Root\Accounting\pages\CommonAccount.aspx%3fsJump=4710-0005&amp;c.ChartCode=&amp;hAccount=&amp;hAccount2=&amp;DbCrd=Either&amp;AcTyp=Any&amp;RpTyp=Either" TargetMode="External" Id="rId1030"/><Relationship Type="http://schemas.openxmlformats.org/officeDocument/2006/relationships/hyperlink" Target="file:///\\192.168.11.15\Elmdale-Root\Accounting\pages\CommonAccount.aspx%3fsJump=4710-0006&amp;c.ChartCode=&amp;hAccount=&amp;hAccount2=&amp;DbCrd=Either&amp;AcTyp=Any&amp;RpTyp=Either" TargetMode="External" Id="rId1031"/><Relationship Type="http://schemas.openxmlformats.org/officeDocument/2006/relationships/hyperlink" Target="file:///\\192.168.11.15\Elmdale-Root\Accounting\pages\CommonAccount.aspx%3fsJump=4710-1000&amp;c.ChartCode=&amp;hAccount=&amp;hAccount2=&amp;DbCrd=Either&amp;AcTyp=Any&amp;RpTyp=Either" TargetMode="External" Id="rId1032"/><Relationship Type="http://schemas.openxmlformats.org/officeDocument/2006/relationships/hyperlink" Target="file:///\\192.168.11.15\Elmdale-Root\Accounting\pages\CommonAccount.aspx%3fsJump=4710-1001&amp;c.ChartCode=&amp;hAccount=&amp;hAccount2=&amp;DbCrd=Either&amp;AcTyp=Any&amp;RpTyp=Either" TargetMode="External" Id="rId1033"/><Relationship Type="http://schemas.openxmlformats.org/officeDocument/2006/relationships/hyperlink" Target="file:///\\192.168.11.15\Elmdale-Root\Accounting\pages\CommonAccount.aspx%3fsJump=4715-0000&amp;c.ChartCode=&amp;hAccount=&amp;hAccount2=&amp;DbCrd=Either&amp;AcTyp=Any&amp;RpTyp=Either" TargetMode="External" Id="rId1034"/><Relationship Type="http://schemas.openxmlformats.org/officeDocument/2006/relationships/hyperlink" Target="file:///\\192.168.11.15\Elmdale-Root\Accounting\pages\CommonAccount.aspx%3fsJump=4720-0000&amp;c.ChartCode=&amp;hAccount=&amp;hAccount2=&amp;DbCrd=Either&amp;AcTyp=Any&amp;RpTyp=Either" TargetMode="External" Id="rId1035"/><Relationship Type="http://schemas.openxmlformats.org/officeDocument/2006/relationships/hyperlink" Target="file:///\\192.168.11.15\Elmdale-Root\Accounting\pages\CommonAccount.aspx%3fsJump=4730-0000&amp;c.ChartCode=&amp;hAccount=&amp;hAccount2=&amp;DbCrd=Either&amp;AcTyp=Any&amp;RpTyp=Either" TargetMode="External" Id="rId1036"/><Relationship Type="http://schemas.openxmlformats.org/officeDocument/2006/relationships/hyperlink" Target="file:///\\192.168.11.15\Elmdale-Root\Accounting\pages\CommonAccount.aspx%3fsJump=4810-0000&amp;c.ChartCode=&amp;hAccount=&amp;hAccount2=&amp;DbCrd=Either&amp;AcTyp=Any&amp;RpTyp=Either" TargetMode="External" Id="rId1037"/><Relationship Type="http://schemas.openxmlformats.org/officeDocument/2006/relationships/hyperlink" Target="file:///\\192.168.11.15\Elmdale-Root\Accounting\pages\CommonAccount.aspx%3fsJump=4820-0000&amp;c.ChartCode=&amp;hAccount=&amp;hAccount2=&amp;DbCrd=Either&amp;AcTyp=Any&amp;RpTyp=Either" TargetMode="External" Id="rId1038"/><Relationship Type="http://schemas.openxmlformats.org/officeDocument/2006/relationships/hyperlink" Target="file:///\\192.168.11.15\Elmdale-Root\Accounting\pages\CommonAccount.aspx%3fsJump=4990-0000&amp;c.ChartCode=&amp;hAccount=&amp;hAccount2=&amp;DbCrd=Either&amp;AcTyp=Any&amp;RpTyp=Either" TargetMode="External" Id="rId1039"/><Relationship Type="http://schemas.openxmlformats.org/officeDocument/2006/relationships/hyperlink" Target="file:///\\192.168.11.15\Elmdale-Root\Accounting\pages\CommonAccount.aspx%3fsJump=5000-0000&amp;c.ChartCode=&amp;hAccount=&amp;hAccount2=&amp;DbCrd=Either&amp;AcTyp=Any&amp;RpTyp=Either" TargetMode="External" Id="rId1040"/><Relationship Type="http://schemas.openxmlformats.org/officeDocument/2006/relationships/hyperlink" Target="file:///\\192.168.11.15\Elmdale-Root\Accounting\pages\CommonAccount.aspx%3fsJump=5000-0001&amp;c.ChartCode=&amp;hAccount=&amp;hAccount2=&amp;DbCrd=Either&amp;AcTyp=Any&amp;RpTyp=Either" TargetMode="External" Id="rId1041"/><Relationship Type="http://schemas.openxmlformats.org/officeDocument/2006/relationships/hyperlink" Target="file:///\\192.168.11.15\Elmdale-Root\Accounting\pages\CommonAccount.aspx%3fsJump=5000-0002&amp;c.ChartCode=&amp;hAccount=&amp;hAccount2=&amp;DbCrd=Either&amp;AcTyp=Any&amp;RpTyp=Either" TargetMode="External" Id="rId1042"/><Relationship Type="http://schemas.openxmlformats.org/officeDocument/2006/relationships/hyperlink" Target="file:///\\192.168.11.15\Elmdale-Root\Accounting\pages\CommonAccount.aspx%3fsJump=5000-0003&amp;c.ChartCode=&amp;hAccount=&amp;hAccount2=&amp;DbCrd=Either&amp;AcTyp=Any&amp;RpTyp=Either" TargetMode="External" Id="rId1043"/><Relationship Type="http://schemas.openxmlformats.org/officeDocument/2006/relationships/hyperlink" Target="file:///\\192.168.11.15\Elmdale-Root\Accounting\pages\CommonAccount.aspx%3fsJump=5000-0010&amp;c.ChartCode=&amp;hAccount=&amp;hAccount2=&amp;DbCrd=Either&amp;AcTyp=Any&amp;RpTyp=Either" TargetMode="External" Id="rId1044"/><Relationship Type="http://schemas.openxmlformats.org/officeDocument/2006/relationships/hyperlink" Target="file:///\\192.168.11.15\Elmdale-Root\Accounting\pages\CommonAccount.aspx%3fsJump=5000-0011&amp;c.ChartCode=&amp;hAccount=&amp;hAccount2=&amp;DbCrd=Either&amp;AcTyp=Any&amp;RpTyp=Either" TargetMode="External" Id="rId1045"/><Relationship Type="http://schemas.openxmlformats.org/officeDocument/2006/relationships/hyperlink" Target="file:///\\192.168.11.15\Elmdale-Root\Accounting\pages\CommonAccount.aspx%3fsJump=5000-0012&amp;c.ChartCode=&amp;hAccount=&amp;hAccount2=&amp;DbCrd=Either&amp;AcTyp=Any&amp;RpTyp=Either" TargetMode="External" Id="rId1046"/><Relationship Type="http://schemas.openxmlformats.org/officeDocument/2006/relationships/hyperlink" Target="file:///\\192.168.11.15\Elmdale-Root\Accounting\pages\CommonAccount.aspx%3fsJump=5000-1000&amp;c.ChartCode=&amp;hAccount=&amp;hAccount2=&amp;DbCrd=Either&amp;AcTyp=Any&amp;RpTyp=Either" TargetMode="External" Id="rId1047"/><Relationship Type="http://schemas.openxmlformats.org/officeDocument/2006/relationships/hyperlink" Target="file:///\\192.168.11.15\Elmdale-Root\Accounting\pages\CommonAccount.aspx%3fsJump=5100-0000&amp;c.ChartCode=&amp;hAccount=&amp;hAccount2=&amp;DbCrd=Either&amp;AcTyp=Any&amp;RpTyp=Either" TargetMode="External" Id="rId1048"/><Relationship Type="http://schemas.openxmlformats.org/officeDocument/2006/relationships/hyperlink" Target="file:///\\192.168.11.15\Elmdale-Root\Accounting\pages\CommonAccount.aspx%3fsJump=5110-0000&amp;c.ChartCode=&amp;hAccount=&amp;hAccount2=&amp;DbCrd=Either&amp;AcTyp=Any&amp;RpTyp=Either" TargetMode="External" Id="rId1049"/><Relationship Type="http://schemas.openxmlformats.org/officeDocument/2006/relationships/hyperlink" Target="file:///\\192.168.11.15\Elmdale-Root\Accounting\pages\CommonAccount.aspx%3fsJump=5200-0000&amp;c.ChartCode=&amp;hAccount=&amp;hAccount2=&amp;DbCrd=Either&amp;AcTyp=Any&amp;RpTyp=Either" TargetMode="External" Id="rId1050"/><Relationship Type="http://schemas.openxmlformats.org/officeDocument/2006/relationships/hyperlink" Target="file:///\\192.168.11.15\Elmdale-Root\Accounting\pages\CommonAccount.aspx%3fsJump=5210-0000&amp;c.ChartCode=&amp;hAccount=&amp;hAccount2=&amp;DbCrd=Either&amp;AcTyp=Any&amp;RpTyp=Either" TargetMode="External" Id="rId1051"/><Relationship Type="http://schemas.openxmlformats.org/officeDocument/2006/relationships/hyperlink" Target="file:///\\192.168.11.15\Elmdale-Root\Accounting\pages\CommonAccount.aspx%3fsJump=5212-0000&amp;c.ChartCode=&amp;hAccount=&amp;hAccount2=&amp;DbCrd=Either&amp;AcTyp=Any&amp;RpTyp=Either" TargetMode="External" Id="rId1052"/><Relationship Type="http://schemas.openxmlformats.org/officeDocument/2006/relationships/hyperlink" Target="file:///\\192.168.11.15\Elmdale-Root\Accounting\pages\CommonAccount.aspx%3fsJump=5215-0000&amp;c.ChartCode=&amp;hAccount=&amp;hAccount2=&amp;DbCrd=Either&amp;AcTyp=Any&amp;RpTyp=Either" TargetMode="External" Id="rId1053"/><Relationship Type="http://schemas.openxmlformats.org/officeDocument/2006/relationships/hyperlink" Target="file:///\\192.168.11.15\Elmdale-Root\Accounting\pages\CommonAccount.aspx%3fsJump=5217-0000&amp;c.ChartCode=&amp;hAccount=&amp;hAccount2=&amp;DbCrd=Either&amp;AcTyp=Any&amp;RpTyp=Either" TargetMode="External" Id="rId1054"/><Relationship Type="http://schemas.openxmlformats.org/officeDocument/2006/relationships/hyperlink" Target="file:///\\192.168.11.15\Elmdale-Root\Accounting\pages\CommonAccount.aspx%3fsJump=5218-0000&amp;c.ChartCode=&amp;hAccount=&amp;hAccount2=&amp;DbCrd=Either&amp;AcTyp=Any&amp;RpTyp=Either" TargetMode="External" Id="rId1055"/><Relationship Type="http://schemas.openxmlformats.org/officeDocument/2006/relationships/hyperlink" Target="file:///\\192.168.11.15\Elmdale-Root\Accounting\pages\CommonAccount.aspx%3fsJump=5220-0000&amp;c.ChartCode=&amp;hAccount=&amp;hAccount2=&amp;DbCrd=Either&amp;AcTyp=Any&amp;RpTyp=Either" TargetMode="External" Id="rId1056"/><Relationship Type="http://schemas.openxmlformats.org/officeDocument/2006/relationships/hyperlink" Target="file:///\\192.168.11.15\Elmdale-Root\Accounting\pages\CommonAccount.aspx%3fsJump=5230-0000&amp;c.ChartCode=&amp;hAccount=&amp;hAccount2=&amp;DbCrd=Either&amp;AcTyp=Any&amp;RpTyp=Either" TargetMode="External" Id="rId1057"/><Relationship Type="http://schemas.openxmlformats.org/officeDocument/2006/relationships/hyperlink" Target="file:///\\192.168.11.15\Elmdale-Root\Accounting\pages\CommonAccount.aspx%3fsJump=5240-0000&amp;c.ChartCode=&amp;hAccount=&amp;hAccount2=&amp;DbCrd=Either&amp;AcTyp=Any&amp;RpTyp=Either" TargetMode="External" Id="rId1058"/><Relationship Type="http://schemas.openxmlformats.org/officeDocument/2006/relationships/hyperlink" Target="file:///\\192.168.11.15\Elmdale-Root\Accounting\pages\CommonAccount.aspx%3fsJump=5241-0000&amp;c.ChartCode=&amp;hAccount=&amp;hAccount2=&amp;DbCrd=Either&amp;AcTyp=Any&amp;RpTyp=Either" TargetMode="External" Id="rId1059"/><Relationship Type="http://schemas.openxmlformats.org/officeDocument/2006/relationships/hyperlink" Target="file:///\\192.168.11.15\Elmdale-Root\Accounting\pages\CommonAccount.aspx%3fsJump=5250-0000&amp;c.ChartCode=&amp;hAccount=&amp;hAccount2=&amp;DbCrd=Either&amp;AcTyp=Any&amp;RpTyp=Either" TargetMode="External" Id="rId1060"/><Relationship Type="http://schemas.openxmlformats.org/officeDocument/2006/relationships/hyperlink" Target="file:///\\192.168.11.15\Elmdale-Root\Accounting\pages\CommonAccount.aspx%3fsJump=5260-0000&amp;c.ChartCode=&amp;hAccount=&amp;hAccount2=&amp;DbCrd=Either&amp;AcTyp=Any&amp;RpTyp=Either" TargetMode="External" Id="rId1061"/><Relationship Type="http://schemas.openxmlformats.org/officeDocument/2006/relationships/hyperlink" Target="file:///\\192.168.11.15\Elmdale-Root\Accounting\pages\CommonAccount.aspx%3fsJump=5270-0000&amp;c.ChartCode=&amp;hAccount=&amp;hAccount2=&amp;DbCrd=Either&amp;AcTyp=Any&amp;RpTyp=Either" TargetMode="External" Id="rId1062"/><Relationship Type="http://schemas.openxmlformats.org/officeDocument/2006/relationships/hyperlink" Target="file:///\\192.168.11.15\Elmdale-Root\Accounting\pages\CommonAccount.aspx%3fsJump=5280-0000&amp;c.ChartCode=&amp;hAccount=&amp;hAccount2=&amp;DbCrd=Either&amp;AcTyp=Any&amp;RpTyp=Either" TargetMode="External" Id="rId1063"/><Relationship Type="http://schemas.openxmlformats.org/officeDocument/2006/relationships/hyperlink" Target="file:///\\192.168.11.15\Elmdale-Root\Accounting\pages\CommonAccount.aspx%3fsJump=5300-0000&amp;c.ChartCode=&amp;hAccount=&amp;hAccount2=&amp;DbCrd=Either&amp;AcTyp=Any&amp;RpTyp=Either" TargetMode="External" Id="rId1064"/><Relationship Type="http://schemas.openxmlformats.org/officeDocument/2006/relationships/hyperlink" Target="file:///\\192.168.11.15\Elmdale-Root\Accounting\pages\CommonAccount.aspx%3fsJump=5310-0000&amp;c.ChartCode=&amp;hAccount=&amp;hAccount2=&amp;DbCrd=Either&amp;AcTyp=Any&amp;RpTyp=Either" TargetMode="External" Id="rId1065"/><Relationship Type="http://schemas.openxmlformats.org/officeDocument/2006/relationships/hyperlink" Target="file:///\\192.168.11.15\Elmdale-Root\Accounting\pages\CommonAccount.aspx%3fsJump=5320-0000&amp;c.ChartCode=&amp;hAccount=&amp;hAccount2=&amp;DbCrd=Either&amp;AcTyp=Any&amp;RpTyp=Either" TargetMode="External" Id="rId1066"/><Relationship Type="http://schemas.openxmlformats.org/officeDocument/2006/relationships/hyperlink" Target="file:///\\192.168.11.15\Elmdale-Root\Accounting\pages\CommonAccount.aspx%3fsJump=5320-0001&amp;c.ChartCode=&amp;hAccount=&amp;hAccount2=&amp;DbCrd=Either&amp;AcTyp=Any&amp;RpTyp=Either" TargetMode="External" Id="rId1067"/><Relationship Type="http://schemas.openxmlformats.org/officeDocument/2006/relationships/hyperlink" Target="file:///\\192.168.11.15\Elmdale-Root\Accounting\pages\CommonAccount.aspx%3fsJump=5350-0000&amp;c.ChartCode=&amp;hAccount=&amp;hAccount2=&amp;DbCrd=Either&amp;AcTyp=Any&amp;RpTyp=Either" TargetMode="External" Id="rId1068"/><Relationship Type="http://schemas.openxmlformats.org/officeDocument/2006/relationships/hyperlink" Target="file:///\\192.168.11.15\Elmdale-Root\Accounting\pages\CommonAccount.aspx%3fsJump=5350-0001&amp;c.ChartCode=&amp;hAccount=&amp;hAccount2=&amp;DbCrd=Either&amp;AcTyp=Any&amp;RpTyp=Either" TargetMode="External" Id="rId1069"/><Relationship Type="http://schemas.openxmlformats.org/officeDocument/2006/relationships/hyperlink" Target="file:///\\192.168.11.15\Elmdale-Root\Accounting\pages\CommonAccount.aspx%3fsJump=5350-0002&amp;c.ChartCode=&amp;hAccount=&amp;hAccount2=&amp;DbCrd=Either&amp;AcTyp=Any&amp;RpTyp=Either" TargetMode="External" Id="rId1070"/><Relationship Type="http://schemas.openxmlformats.org/officeDocument/2006/relationships/hyperlink" Target="file:///\\192.168.11.15\Elmdale-Root\Accounting\pages\CommonAccount.aspx%3fsJump=5400-0000&amp;c.ChartCode=&amp;hAccount=&amp;hAccount2=&amp;DbCrd=Either&amp;AcTyp=Any&amp;RpTyp=Either" TargetMode="External" Id="rId1071"/><Relationship Type="http://schemas.openxmlformats.org/officeDocument/2006/relationships/hyperlink" Target="file:///\\192.168.11.15\Elmdale-Root\Accounting\pages\CommonAccount.aspx%3fsJump=5410-0000&amp;c.ChartCode=&amp;hAccount=&amp;hAccount2=&amp;DbCrd=Either&amp;AcTyp=Any&amp;RpTyp=Either" TargetMode="External" Id="rId1072"/><Relationship Type="http://schemas.openxmlformats.org/officeDocument/2006/relationships/hyperlink" Target="file:///\\192.168.11.15\Elmdale-Root\Accounting\pages\CommonAccount.aspx%3fsJump=5415-0000&amp;c.ChartCode=&amp;hAccount=&amp;hAccount2=&amp;DbCrd=Either&amp;AcTyp=Any&amp;RpTyp=Either" TargetMode="External" Id="rId1073"/><Relationship Type="http://schemas.openxmlformats.org/officeDocument/2006/relationships/hyperlink" Target="file:///\\192.168.11.15\Elmdale-Root\Accounting\pages\CommonAccount.aspx%3fsJump=5420-0000&amp;c.ChartCode=&amp;hAccount=&amp;hAccount2=&amp;DbCrd=Either&amp;AcTyp=Any&amp;RpTyp=Either" TargetMode="External" Id="rId1074"/><Relationship Type="http://schemas.openxmlformats.org/officeDocument/2006/relationships/hyperlink" Target="file:///\\192.168.11.15\Elmdale-Root\Accounting\pages\CommonAccount.aspx%3fsJump=5430-0000&amp;c.ChartCode=&amp;hAccount=&amp;hAccount2=&amp;DbCrd=Either&amp;AcTyp=Any&amp;RpTyp=Either" TargetMode="External" Id="rId1075"/><Relationship Type="http://schemas.openxmlformats.org/officeDocument/2006/relationships/hyperlink" Target="file:///\\192.168.11.15\Elmdale-Root\Accounting\pages\CommonAccount.aspx%3fsJump=5432-0000&amp;c.ChartCode=&amp;hAccount=&amp;hAccount2=&amp;DbCrd=Either&amp;AcTyp=Any&amp;RpTyp=Either" TargetMode="External" Id="rId1076"/><Relationship Type="http://schemas.openxmlformats.org/officeDocument/2006/relationships/hyperlink" Target="file:///\\192.168.11.15\Elmdale-Root\Accounting\pages\CommonAccount.aspx%3fsJump=5434-0000&amp;c.ChartCode=&amp;hAccount=&amp;hAccount2=&amp;DbCrd=Either&amp;AcTyp=Any&amp;RpTyp=Either" TargetMode="External" Id="rId1077"/><Relationship Type="http://schemas.openxmlformats.org/officeDocument/2006/relationships/hyperlink" Target="file:///\\192.168.11.15\Elmdale-Root\Accounting\pages\CommonAccount.aspx%3fsJump=5435-0000&amp;c.ChartCode=&amp;hAccount=&amp;hAccount2=&amp;DbCrd=Either&amp;AcTyp=Any&amp;RpTyp=Either" TargetMode="External" Id="rId1078"/><Relationship Type="http://schemas.openxmlformats.org/officeDocument/2006/relationships/hyperlink" Target="file:///\\192.168.11.15\Elmdale-Root\Accounting\pages\CommonAccount.aspx%3fsJump=5450-0000&amp;c.ChartCode=&amp;hAccount=&amp;hAccount2=&amp;DbCrd=Either&amp;AcTyp=Any&amp;RpTyp=Either" TargetMode="External" Id="rId1079"/><Relationship Type="http://schemas.openxmlformats.org/officeDocument/2006/relationships/hyperlink" Target="file:///\\192.168.11.15\Elmdale-Root\Accounting\pages\CommonAccount.aspx%3fsJump=5460-0000&amp;c.ChartCode=&amp;hAccount=&amp;hAccount2=&amp;DbCrd=Either&amp;AcTyp=Any&amp;RpTyp=Either" TargetMode="External" Id="rId1080"/><Relationship Type="http://schemas.openxmlformats.org/officeDocument/2006/relationships/hyperlink" Target="file:///\\192.168.11.15\Elmdale-Root\Accounting\pages\CommonAccount.aspx%3fsJump=5465-0000&amp;c.ChartCode=&amp;hAccount=&amp;hAccount2=&amp;DbCrd=Either&amp;AcTyp=Any&amp;RpTyp=Either" TargetMode="External" Id="rId1081"/><Relationship Type="http://schemas.openxmlformats.org/officeDocument/2006/relationships/hyperlink" Target="file:///\\192.168.11.15\Elmdale-Root\Accounting\pages\CommonAccount.aspx%3fsJump=5470-0000&amp;c.ChartCode=&amp;hAccount=&amp;hAccount2=&amp;DbCrd=Either&amp;AcTyp=Any&amp;RpTyp=Either" TargetMode="External" Id="rId1082"/><Relationship Type="http://schemas.openxmlformats.org/officeDocument/2006/relationships/hyperlink" Target="file:///\\192.168.11.15\Elmdale-Root\Accounting\pages\CommonAccount.aspx%3fsJump=5470-0001&amp;c.ChartCode=&amp;hAccount=&amp;hAccount2=&amp;DbCrd=Either&amp;AcTyp=Any&amp;RpTyp=Either" TargetMode="External" Id="rId1083"/><Relationship Type="http://schemas.openxmlformats.org/officeDocument/2006/relationships/hyperlink" Target="file:///\\192.168.11.15\Elmdale-Root\Accounting\pages\CommonAccount.aspx%3fsJump=5470-0002&amp;c.ChartCode=&amp;hAccount=&amp;hAccount2=&amp;DbCrd=Either&amp;AcTyp=Any&amp;RpTyp=Either" TargetMode="External" Id="rId1084"/><Relationship Type="http://schemas.openxmlformats.org/officeDocument/2006/relationships/hyperlink" Target="file:///\\192.168.11.15\Elmdale-Root\Accounting\pages\CommonAccount.aspx%3fsJump=5470-0003&amp;c.ChartCode=&amp;hAccount=&amp;hAccount2=&amp;DbCrd=Either&amp;AcTyp=Any&amp;RpTyp=Either" TargetMode="External" Id="rId1085"/><Relationship Type="http://schemas.openxmlformats.org/officeDocument/2006/relationships/hyperlink" Target="file:///\\192.168.11.15\Elmdale-Root\Accounting\pages\CommonAccount.aspx%3fsJump=5470-0004&amp;c.ChartCode=&amp;hAccount=&amp;hAccount2=&amp;DbCrd=Either&amp;AcTyp=Any&amp;RpTyp=Either" TargetMode="External" Id="rId1086"/><Relationship Type="http://schemas.openxmlformats.org/officeDocument/2006/relationships/hyperlink" Target="file:///\\192.168.11.15\Elmdale-Root\Accounting\pages\CommonAccount.aspx%3fsJump=5490-0000&amp;c.ChartCode=&amp;hAccount=&amp;hAccount2=&amp;DbCrd=Either&amp;AcTyp=Any&amp;RpTyp=Either" TargetMode="External" Id="rId1087"/><Relationship Type="http://schemas.openxmlformats.org/officeDocument/2006/relationships/hyperlink" Target="file:///\\192.168.11.15\Elmdale-Root\Accounting\pages\CommonAccount.aspx%3fsJump=5500-0000&amp;c.ChartCode=&amp;hAccount=&amp;hAccount2=&amp;DbCrd=Either&amp;AcTyp=Any&amp;RpTyp=Either" TargetMode="External" Id="rId1088"/><Relationship Type="http://schemas.openxmlformats.org/officeDocument/2006/relationships/hyperlink" Target="file:///\\192.168.11.15\Elmdale-Root\Accounting\pages\CommonAccount.aspx%3fsJump=5510-0000&amp;c.ChartCode=&amp;hAccount=&amp;hAccount2=&amp;DbCrd=Either&amp;AcTyp=Any&amp;RpTyp=Either" TargetMode="External" Id="rId1089"/><Relationship Type="http://schemas.openxmlformats.org/officeDocument/2006/relationships/hyperlink" Target="file:///\\192.168.11.15\Elmdale-Root\Accounting\pages\CommonAccount.aspx%3fsJump=5520-0000&amp;c.ChartCode=&amp;hAccount=&amp;hAccount2=&amp;DbCrd=Either&amp;AcTyp=Any&amp;RpTyp=Either" TargetMode="External" Id="rId1090"/><Relationship Type="http://schemas.openxmlformats.org/officeDocument/2006/relationships/hyperlink" Target="file:///\\192.168.11.15\Elmdale-Root\Accounting\pages\CommonAccount.aspx%3fsJump=5550-0000&amp;c.ChartCode=&amp;hAccount=&amp;hAccount2=&amp;DbCrd=Either&amp;AcTyp=Any&amp;RpTyp=Either" TargetMode="External" Id="rId1091"/><Relationship Type="http://schemas.openxmlformats.org/officeDocument/2006/relationships/hyperlink" Target="file:///\\192.168.11.15\Elmdale-Root\Accounting\pages\CommonAccount.aspx%3fsJump=5590-0000&amp;c.ChartCode=&amp;hAccount=&amp;hAccount2=&amp;DbCrd=Either&amp;AcTyp=Any&amp;RpTyp=Either" TargetMode="External" Id="rId1092"/><Relationship Type="http://schemas.openxmlformats.org/officeDocument/2006/relationships/hyperlink" Target="file:///\\192.168.11.15\Elmdale-Root\Accounting\pages\CommonAccount.aspx%3fsJump=5600-0000&amp;c.ChartCode=&amp;hAccount=&amp;hAccount2=&amp;DbCrd=Either&amp;AcTyp=Any&amp;RpTyp=Either" TargetMode="External" Id="rId1093"/><Relationship Type="http://schemas.openxmlformats.org/officeDocument/2006/relationships/hyperlink" Target="file:///\\192.168.11.15\Elmdale-Root\Accounting\pages\CommonAccount.aspx%3fsJump=5610-0000&amp;c.ChartCode=&amp;hAccount=&amp;hAccount2=&amp;DbCrd=Either&amp;AcTyp=Any&amp;RpTyp=Either" TargetMode="External" Id="rId1094"/><Relationship Type="http://schemas.openxmlformats.org/officeDocument/2006/relationships/hyperlink" Target="file:///\\192.168.11.15\Elmdale-Root\Accounting\pages\CommonAccount.aspx%3fsJump=5620-0000&amp;c.ChartCode=&amp;hAccount=&amp;hAccount2=&amp;DbCrd=Either&amp;AcTyp=Any&amp;RpTyp=Either" TargetMode="External" Id="rId1095"/><Relationship Type="http://schemas.openxmlformats.org/officeDocument/2006/relationships/hyperlink" Target="file:///\\192.168.11.15\Elmdale-Root\Accounting\pages\CommonAccount.aspx%3fsJump=5620-0001&amp;c.ChartCode=&amp;hAccount=&amp;hAccount2=&amp;DbCrd=Either&amp;AcTyp=Any&amp;RpTyp=Either" TargetMode="External" Id="rId1096"/><Relationship Type="http://schemas.openxmlformats.org/officeDocument/2006/relationships/hyperlink" Target="file:///\\192.168.11.15\Elmdale-Root\Accounting\pages\CommonAccount.aspx%3fsJump=5650-0000&amp;c.ChartCode=&amp;hAccount=&amp;hAccount2=&amp;DbCrd=Either&amp;AcTyp=Any&amp;RpTyp=Either" TargetMode="External" Id="rId1097"/><Relationship Type="http://schemas.openxmlformats.org/officeDocument/2006/relationships/hyperlink" Target="file:///\\192.168.11.15\Elmdale-Root\Accounting\pages\CommonAccount.aspx%3fsJump=5660-0000&amp;c.ChartCode=&amp;hAccount=&amp;hAccount2=&amp;DbCrd=Either&amp;AcTyp=Any&amp;RpTyp=Either" TargetMode="External" Id="rId1098"/><Relationship Type="http://schemas.openxmlformats.org/officeDocument/2006/relationships/hyperlink" Target="file:///\\192.168.11.15\Elmdale-Root\Accounting\pages\CommonAccount.aspx%3fsJump=5700-0000&amp;c.ChartCode=&amp;hAccount=&amp;hAccount2=&amp;DbCrd=Either&amp;AcTyp=Any&amp;RpTyp=Either" TargetMode="External" Id="rId1099"/><Relationship Type="http://schemas.openxmlformats.org/officeDocument/2006/relationships/hyperlink" Target="file:///\\192.168.11.15\Elmdale-Root\Accounting\pages\CommonAccount.aspx%3fsJump=5700-0001&amp;c.ChartCode=&amp;hAccount=&amp;hAccount2=&amp;DbCrd=Either&amp;AcTyp=Any&amp;RpTyp=Either" TargetMode="External" Id="rId1100"/><Relationship Type="http://schemas.openxmlformats.org/officeDocument/2006/relationships/hyperlink" Target="file:///\\192.168.11.15\Elmdale-Root\Accounting\pages\CommonAccount.aspx%3fsJump=5710-0000&amp;c.ChartCode=&amp;hAccount=&amp;hAccount2=&amp;DbCrd=Either&amp;AcTyp=Any&amp;RpTyp=Either" TargetMode="External" Id="rId1101"/><Relationship Type="http://schemas.openxmlformats.org/officeDocument/2006/relationships/hyperlink" Target="file:///\\192.168.11.15\Elmdale-Root\Accounting\pages\CommonAccount.aspx%3fsJump=5730-0000&amp;c.ChartCode=&amp;hAccount=&amp;hAccount2=&amp;DbCrd=Either&amp;AcTyp=Any&amp;RpTyp=Either" TargetMode="External" Id="rId1102"/><Relationship Type="http://schemas.openxmlformats.org/officeDocument/2006/relationships/hyperlink" Target="file:///\\192.168.11.15\Elmdale-Root\Accounting\pages\CommonAccount.aspx%3fsJump=5735-0000&amp;c.ChartCode=&amp;hAccount=&amp;hAccount2=&amp;DbCrd=Either&amp;AcTyp=Any&amp;RpTyp=Either" TargetMode="External" Id="rId1103"/><Relationship Type="http://schemas.openxmlformats.org/officeDocument/2006/relationships/hyperlink" Target="file:///\\192.168.11.15\Elmdale-Root\Accounting\pages\CommonAccount.aspx%3fsJump=5739-0000&amp;c.ChartCode=&amp;hAccount=&amp;hAccount2=&amp;DbCrd=Either&amp;AcTyp=Any&amp;RpTyp=Either" TargetMode="External" Id="rId1104"/><Relationship Type="http://schemas.openxmlformats.org/officeDocument/2006/relationships/hyperlink" Target="file:///\\192.168.11.15\Elmdale-Root\Accounting\pages\CommonAccount.aspx%3fsJump=5740-0000&amp;c.ChartCode=&amp;hAccount=&amp;hAccount2=&amp;DbCrd=Either&amp;AcTyp=Any&amp;RpTyp=Either" TargetMode="External" Id="rId1105"/><Relationship Type="http://schemas.openxmlformats.org/officeDocument/2006/relationships/hyperlink" Target="file:///\\192.168.11.15\Elmdale-Root\Accounting\pages\CommonAccount.aspx%3fsJump=5770-1001&amp;c.ChartCode=&amp;hAccount=&amp;hAccount2=&amp;DbCrd=Either&amp;AcTyp=Any&amp;RpTyp=Either" TargetMode="External" Id="rId1106"/><Relationship Type="http://schemas.openxmlformats.org/officeDocument/2006/relationships/hyperlink" Target="file:///\\192.168.11.15\Elmdale-Root\Accounting\pages\CommonAccount.aspx%3fsJump=5770-1002&amp;c.ChartCode=&amp;hAccount=&amp;hAccount2=&amp;DbCrd=Either&amp;AcTyp=Any&amp;RpTyp=Either" TargetMode="External" Id="rId1107"/><Relationship Type="http://schemas.openxmlformats.org/officeDocument/2006/relationships/hyperlink" Target="file:///\\192.168.11.15\Elmdale-Root\Accounting\pages\CommonAccount.aspx%3fsJump=5800-0000&amp;c.ChartCode=&amp;hAccount=&amp;hAccount2=&amp;DbCrd=Either&amp;AcTyp=Any&amp;RpTyp=Either" TargetMode="External" Id="rId1108"/><Relationship Type="http://schemas.openxmlformats.org/officeDocument/2006/relationships/hyperlink" Target="file:///\\192.168.11.15\Elmdale-Root\Accounting\pages\CommonAccount.aspx%3fsJump=5805-0000&amp;c.ChartCode=&amp;hAccount=&amp;hAccount2=&amp;DbCrd=Either&amp;AcTyp=Any&amp;RpTyp=Either" TargetMode="External" Id="rId1109"/><Relationship Type="http://schemas.openxmlformats.org/officeDocument/2006/relationships/hyperlink" Target="file:///\\192.168.11.15\Elmdale-Root\Accounting\pages\CommonAccount.aspx%3fsJump=5810-0000&amp;c.ChartCode=&amp;hAccount=&amp;hAccount2=&amp;DbCrd=Either&amp;AcTyp=Any&amp;RpTyp=Either" TargetMode="External" Id="rId1110"/><Relationship Type="http://schemas.openxmlformats.org/officeDocument/2006/relationships/hyperlink" Target="file:///\\192.168.11.15\Elmdale-Root\Accounting\pages\CommonAccount.aspx%3fsJump=5815-0000&amp;c.ChartCode=&amp;hAccount=&amp;hAccount2=&amp;DbCrd=Either&amp;AcTyp=Any&amp;RpTyp=Either" TargetMode="External" Id="rId1111"/><Relationship Type="http://schemas.openxmlformats.org/officeDocument/2006/relationships/hyperlink" Target="file:///\\192.168.11.15\Elmdale-Root\Accounting\pages\CommonAccount.aspx%3fsJump=5890-0000&amp;c.ChartCode=&amp;hAccount=&amp;hAccount2=&amp;DbCrd=Either&amp;AcTyp=Any&amp;RpTyp=Either" TargetMode="External" Id="rId1112"/><Relationship Type="http://schemas.openxmlformats.org/officeDocument/2006/relationships/hyperlink" Target="file:///\\192.168.11.15\Elmdale-Root\Accounting\pages\CommonAccount.aspx%3fsJump=5990-0000&amp;c.ChartCode=&amp;hAccount=&amp;hAccount2=&amp;DbCrd=Either&amp;AcTyp=Any&amp;RpTyp=Either" TargetMode="External" Id="rId1113"/><Relationship Type="http://schemas.openxmlformats.org/officeDocument/2006/relationships/hyperlink" Target="file:///\\192.168.11.15\Elmdale-Root\Accounting\pages\CommonAccount.aspx%3fsJump=6000-0000&amp;c.ChartCode=&amp;hAccount=&amp;hAccount2=&amp;DbCrd=Either&amp;AcTyp=Any&amp;RpTyp=Either" TargetMode="External" Id="rId1114"/><Relationship Type="http://schemas.openxmlformats.org/officeDocument/2006/relationships/hyperlink" Target="file:///\\192.168.11.15\Elmdale-Root\Accounting\pages\CommonAccount.aspx%3fsJump=6001-0000&amp;c.ChartCode=&amp;hAccount=&amp;hAccount2=&amp;DbCrd=Either&amp;AcTyp=Any&amp;RpTyp=Either" TargetMode="External" Id="rId1115"/><Relationship Type="http://schemas.openxmlformats.org/officeDocument/2006/relationships/hyperlink" Target="file:///\\192.168.11.15\Elmdale-Root\Accounting\pages\CommonAccount.aspx%3fsJump=6002-0000&amp;c.ChartCode=&amp;hAccount=&amp;hAccount2=&amp;DbCrd=Either&amp;AcTyp=Any&amp;RpTyp=Either" TargetMode="External" Id="rId1116"/><Relationship Type="http://schemas.openxmlformats.org/officeDocument/2006/relationships/hyperlink" Target="file:///\\192.168.11.15\Elmdale-Root\Accounting\pages\CommonAccount.aspx%3fsJump=6050-0000&amp;c.ChartCode=&amp;hAccount=&amp;hAccount2=&amp;DbCrd=Either&amp;AcTyp=Any&amp;RpTyp=Either" TargetMode="External" Id="rId1117"/><Relationship Type="http://schemas.openxmlformats.org/officeDocument/2006/relationships/hyperlink" Target="file:///\\192.168.11.15\Elmdale-Root\Accounting\pages\CommonAccount.aspx%3fsJump=6050-0010&amp;c.ChartCode=&amp;hAccount=&amp;hAccount2=&amp;DbCrd=Either&amp;AcTyp=Any&amp;RpTyp=Either" TargetMode="External" Id="rId1118"/><Relationship Type="http://schemas.openxmlformats.org/officeDocument/2006/relationships/hyperlink" Target="file:///\\192.168.11.15\Elmdale-Root\Accounting\pages\CommonAccount.aspx%3fsJump=6050-0015&amp;c.ChartCode=&amp;hAccount=&amp;hAccount2=&amp;DbCrd=Either&amp;AcTyp=Any&amp;RpTyp=Either" TargetMode="External" Id="rId1119"/><Relationship Type="http://schemas.openxmlformats.org/officeDocument/2006/relationships/hyperlink" Target="file:///\\192.168.11.15\Elmdale-Root\Accounting\pages\CommonAccount.aspx%3fsJump=6050-0020&amp;c.ChartCode=&amp;hAccount=&amp;hAccount2=&amp;DbCrd=Either&amp;AcTyp=Any&amp;RpTyp=Either" TargetMode="External" Id="rId1120"/><Relationship Type="http://schemas.openxmlformats.org/officeDocument/2006/relationships/hyperlink" Target="file:///\\192.168.11.15\Elmdale-Root\Accounting\pages\CommonAccount.aspx%3fsJump=6050-0025&amp;c.ChartCode=&amp;hAccount=&amp;hAccount2=&amp;DbCrd=Either&amp;AcTyp=Any&amp;RpTyp=Either" TargetMode="External" Id="rId1121"/><Relationship Type="http://schemas.openxmlformats.org/officeDocument/2006/relationships/hyperlink" Target="file:///\\192.168.11.15\Elmdale-Root\Accounting\pages\CommonAccount.aspx%3fsJump=6050-0026&amp;c.ChartCode=&amp;hAccount=&amp;hAccount2=&amp;DbCrd=Either&amp;AcTyp=Any&amp;RpTyp=Either" TargetMode="External" Id="rId1122"/><Relationship Type="http://schemas.openxmlformats.org/officeDocument/2006/relationships/hyperlink" Target="file:///\\192.168.11.15\Elmdale-Root\Accounting\pages\CommonAccount.aspx%3fsJump=6050-0027&amp;c.ChartCode=&amp;hAccount=&amp;hAccount2=&amp;DbCrd=Either&amp;AcTyp=Any&amp;RpTyp=Either" TargetMode="External" Id="rId1123"/><Relationship Type="http://schemas.openxmlformats.org/officeDocument/2006/relationships/hyperlink" Target="file:///\\192.168.11.15\Elmdale-Root\Accounting\pages\CommonAccount.aspx%3fsJump=6050-0028&amp;c.ChartCode=&amp;hAccount=&amp;hAccount2=&amp;DbCrd=Either&amp;AcTyp=Any&amp;RpTyp=Either" TargetMode="External" Id="rId1124"/><Relationship Type="http://schemas.openxmlformats.org/officeDocument/2006/relationships/hyperlink" Target="file:///\\192.168.11.15\Elmdale-Root\Accounting\pages\CommonAccount.aspx%3fsJump=6050-0030&amp;c.ChartCode=&amp;hAccount=&amp;hAccount2=&amp;DbCrd=Either&amp;AcTyp=Any&amp;RpTyp=Either" TargetMode="External" Id="rId1125"/><Relationship Type="http://schemas.openxmlformats.org/officeDocument/2006/relationships/hyperlink" Target="file:///\\192.168.11.15\Elmdale-Root\Accounting\pages\CommonAccount.aspx%3fsJump=6050-9999&amp;c.ChartCode=&amp;hAccount=&amp;hAccount2=&amp;DbCrd=Either&amp;AcTyp=Any&amp;RpTyp=Either" TargetMode="External" Id="rId1126"/><Relationship Type="http://schemas.openxmlformats.org/officeDocument/2006/relationships/hyperlink" Target="file:///\\192.168.11.15\Elmdale-Root\Accounting\pages\CommonAccount.aspx%3fsJump=6100-0000&amp;c.ChartCode=&amp;hAccount=&amp;hAccount2=&amp;DbCrd=Either&amp;AcTyp=Any&amp;RpTyp=Either" TargetMode="External" Id="rId1127"/><Relationship Type="http://schemas.openxmlformats.org/officeDocument/2006/relationships/hyperlink" Target="file:///\\192.168.11.15\Elmdale-Root\Accounting\pages\CommonAccount.aspx%3fsJump=6110-0000&amp;c.ChartCode=&amp;hAccount=&amp;hAccount2=&amp;DbCrd=Either&amp;AcTyp=Any&amp;RpTyp=Either" TargetMode="External" Id="rId1128"/><Relationship Type="http://schemas.openxmlformats.org/officeDocument/2006/relationships/hyperlink" Target="file:///\\192.168.11.15\Elmdale-Root\Accounting\pages\CommonAccount.aspx%3fsJump=6110-0005&amp;c.ChartCode=&amp;hAccount=&amp;hAccount2=&amp;DbCrd=Either&amp;AcTyp=Any&amp;RpTyp=Either" TargetMode="External" Id="rId1129"/><Relationship Type="http://schemas.openxmlformats.org/officeDocument/2006/relationships/hyperlink" Target="file:///\\192.168.11.15\Elmdale-Root\Accounting\pages\CommonAccount.aspx%3fsJump=6110-0006&amp;c.ChartCode=&amp;hAccount=&amp;hAccount2=&amp;DbCrd=Either&amp;AcTyp=Any&amp;RpTyp=Either" TargetMode="External" Id="rId1130"/><Relationship Type="http://schemas.openxmlformats.org/officeDocument/2006/relationships/hyperlink" Target="file:///\\192.168.11.15\Elmdale-Root\Accounting\pages\CommonAccount.aspx%3fsJump=6110-0010&amp;c.ChartCode=&amp;hAccount=&amp;hAccount2=&amp;DbCrd=Either&amp;AcTyp=Any&amp;RpTyp=Either" TargetMode="External" Id="rId1131"/><Relationship Type="http://schemas.openxmlformats.org/officeDocument/2006/relationships/hyperlink" Target="file:///\\192.168.11.15\Elmdale-Root\Accounting\pages\CommonAccount.aspx%3fsJump=6110-0015&amp;c.ChartCode=&amp;hAccount=&amp;hAccount2=&amp;DbCrd=Either&amp;AcTyp=Any&amp;RpTyp=Either" TargetMode="External" Id="rId1132"/><Relationship Type="http://schemas.openxmlformats.org/officeDocument/2006/relationships/hyperlink" Target="file:///\\192.168.11.15\Elmdale-Root\Accounting\pages\CommonAccount.aspx%3fsJump=6110-0020&amp;c.ChartCode=&amp;hAccount=&amp;hAccount2=&amp;DbCrd=Either&amp;AcTyp=Any&amp;RpTyp=Either" TargetMode="External" Id="rId1133"/><Relationship Type="http://schemas.openxmlformats.org/officeDocument/2006/relationships/hyperlink" Target="file:///\\192.168.11.15\Elmdale-Root\Accounting\pages\CommonAccount.aspx%3fsJump=6110-0025&amp;c.ChartCode=&amp;hAccount=&amp;hAccount2=&amp;DbCrd=Either&amp;AcTyp=Any&amp;RpTyp=Either" TargetMode="External" Id="rId1134"/><Relationship Type="http://schemas.openxmlformats.org/officeDocument/2006/relationships/hyperlink" Target="file:///\\192.168.11.15\Elmdale-Root\Accounting\pages\CommonAccount.aspx%3fsJump=6110-0027&amp;c.ChartCode=&amp;hAccount=&amp;hAccount2=&amp;DbCrd=Either&amp;AcTyp=Any&amp;RpTyp=Either" TargetMode="External" Id="rId1135"/><Relationship Type="http://schemas.openxmlformats.org/officeDocument/2006/relationships/hyperlink" Target="file:///\\192.168.11.15\Elmdale-Root\Accounting\pages\CommonAccount.aspx%3fsJump=6110-0030&amp;c.ChartCode=&amp;hAccount=&amp;hAccount2=&amp;DbCrd=Either&amp;AcTyp=Any&amp;RpTyp=Either" TargetMode="External" Id="rId1136"/><Relationship Type="http://schemas.openxmlformats.org/officeDocument/2006/relationships/hyperlink" Target="file:///\\192.168.11.15\Elmdale-Root\Accounting\pages\CommonAccount.aspx%3fsJump=6110-0035&amp;c.ChartCode=&amp;hAccount=&amp;hAccount2=&amp;DbCrd=Either&amp;AcTyp=Any&amp;RpTyp=Either" TargetMode="External" Id="rId1137"/><Relationship Type="http://schemas.openxmlformats.org/officeDocument/2006/relationships/hyperlink" Target="file:///\\192.168.11.15\Elmdale-Root\Accounting\pages\CommonAccount.aspx%3fsJump=6110-0040&amp;c.ChartCode=&amp;hAccount=&amp;hAccount2=&amp;DbCrd=Either&amp;AcTyp=Any&amp;RpTyp=Either" TargetMode="External" Id="rId1138"/><Relationship Type="http://schemas.openxmlformats.org/officeDocument/2006/relationships/hyperlink" Target="file:///\\192.168.11.15\Elmdale-Root\Accounting\pages\CommonAccount.aspx%3fsJump=6110-0045&amp;c.ChartCode=&amp;hAccount=&amp;hAccount2=&amp;DbCrd=Either&amp;AcTyp=Any&amp;RpTyp=Either" TargetMode="External" Id="rId1139"/><Relationship Type="http://schemas.openxmlformats.org/officeDocument/2006/relationships/hyperlink" Target="file:///\\192.168.11.15\Elmdale-Root\Accounting\pages\CommonAccount.aspx%3fsJump=6110-0050&amp;c.ChartCode=&amp;hAccount=&amp;hAccount2=&amp;DbCrd=Either&amp;AcTyp=Any&amp;RpTyp=Either" TargetMode="External" Id="rId1140"/><Relationship Type="http://schemas.openxmlformats.org/officeDocument/2006/relationships/hyperlink" Target="file:///\\192.168.11.15\Elmdale-Root\Accounting\pages\CommonAccount.aspx%3fsJump=6110-0085&amp;c.ChartCode=&amp;hAccount=&amp;hAccount2=&amp;DbCrd=Either&amp;AcTyp=Any&amp;RpTyp=Either" TargetMode="External" Id="rId1141"/><Relationship Type="http://schemas.openxmlformats.org/officeDocument/2006/relationships/hyperlink" Target="file:///\\192.168.11.15\Elmdale-Root\Accounting\pages\CommonAccount.aspx%3fsJump=6110-1000&amp;c.ChartCode=&amp;hAccount=&amp;hAccount2=&amp;DbCrd=Either&amp;AcTyp=Any&amp;RpTyp=Either" TargetMode="External" Id="rId1142"/><Relationship Type="http://schemas.openxmlformats.org/officeDocument/2006/relationships/hyperlink" Target="file:///\\192.168.11.15\Elmdale-Root\Accounting\pages\CommonAccount.aspx%3fsJump=6110-1005&amp;c.ChartCode=&amp;hAccount=&amp;hAccount2=&amp;DbCrd=Either&amp;AcTyp=Any&amp;RpTyp=Either" TargetMode="External" Id="rId1143"/><Relationship Type="http://schemas.openxmlformats.org/officeDocument/2006/relationships/hyperlink" Target="file:///\\192.168.11.15\Elmdale-Root\Accounting\pages\CommonAccount.aspx%3fsJump=6110-1050&amp;c.ChartCode=&amp;hAccount=&amp;hAccount2=&amp;DbCrd=Either&amp;AcTyp=Any&amp;RpTyp=Either" TargetMode="External" Id="rId1144"/><Relationship Type="http://schemas.openxmlformats.org/officeDocument/2006/relationships/hyperlink" Target="file:///\\192.168.11.15\Elmdale-Root\Accounting\pages\CommonAccount.aspx%3fsJump=6110-1055&amp;c.ChartCode=&amp;hAccount=&amp;hAccount2=&amp;DbCrd=Either&amp;AcTyp=Any&amp;RpTyp=Either" TargetMode="External" Id="rId1145"/><Relationship Type="http://schemas.openxmlformats.org/officeDocument/2006/relationships/hyperlink" Target="file:///\\192.168.11.15\Elmdale-Root\Accounting\pages\CommonAccount.aspx%3fsJump=6110-1060&amp;c.ChartCode=&amp;hAccount=&amp;hAccount2=&amp;DbCrd=Either&amp;AcTyp=Any&amp;RpTyp=Either" TargetMode="External" Id="rId1146"/><Relationship Type="http://schemas.openxmlformats.org/officeDocument/2006/relationships/hyperlink" Target="file:///\\192.168.11.15\Elmdale-Root\Accounting\pages\CommonAccount.aspx%3fsJump=6110-1062&amp;c.ChartCode=&amp;hAccount=&amp;hAccount2=&amp;DbCrd=Either&amp;AcTyp=Any&amp;RpTyp=Either" TargetMode="External" Id="rId1147"/><Relationship Type="http://schemas.openxmlformats.org/officeDocument/2006/relationships/hyperlink" Target="file:///\\192.168.11.15\Elmdale-Root\Accounting\pages\CommonAccount.aspx%3fsJump=6110-1065&amp;c.ChartCode=&amp;hAccount=&amp;hAccount2=&amp;DbCrd=Either&amp;AcTyp=Any&amp;RpTyp=Either" TargetMode="External" Id="rId1148"/><Relationship Type="http://schemas.openxmlformats.org/officeDocument/2006/relationships/hyperlink" Target="file:///\\192.168.11.15\Elmdale-Root\Accounting\pages\CommonAccount.aspx%3fsJump=6110-1066&amp;c.ChartCode=&amp;hAccount=&amp;hAccount2=&amp;DbCrd=Either&amp;AcTyp=Any&amp;RpTyp=Either" TargetMode="External" Id="rId1149"/><Relationship Type="http://schemas.openxmlformats.org/officeDocument/2006/relationships/hyperlink" Target="file:///\\192.168.11.15\Elmdale-Root\Accounting\pages\CommonAccount.aspx%3fsJump=6110-1067&amp;c.ChartCode=&amp;hAccount=&amp;hAccount2=&amp;DbCrd=Either&amp;AcTyp=Any&amp;RpTyp=Either" TargetMode="External" Id="rId1150"/><Relationship Type="http://schemas.openxmlformats.org/officeDocument/2006/relationships/hyperlink" Target="file:///\\192.168.11.15\Elmdale-Root\Accounting\pages\CommonAccount.aspx%3fsJump=6110-1070&amp;c.ChartCode=&amp;hAccount=&amp;hAccount2=&amp;DbCrd=Either&amp;AcTyp=Any&amp;RpTyp=Either" TargetMode="External" Id="rId1151"/><Relationship Type="http://schemas.openxmlformats.org/officeDocument/2006/relationships/hyperlink" Target="file:///\\192.168.11.15\Elmdale-Root\Accounting\pages\CommonAccount.aspx%3fsJump=6110-1075&amp;c.ChartCode=&amp;hAccount=&amp;hAccount2=&amp;DbCrd=Either&amp;AcTyp=Any&amp;RpTyp=Either" TargetMode="External" Id="rId1152"/><Relationship Type="http://schemas.openxmlformats.org/officeDocument/2006/relationships/hyperlink" Target="file:///\\192.168.11.15\Elmdale-Root\Accounting\pages\CommonAccount.aspx%3fsJump=6110-1100&amp;c.ChartCode=&amp;hAccount=&amp;hAccount2=&amp;DbCrd=Either&amp;AcTyp=Any&amp;RpTyp=Either" TargetMode="External" Id="rId1153"/><Relationship Type="http://schemas.openxmlformats.org/officeDocument/2006/relationships/hyperlink" Target="file:///\\192.168.11.15\Elmdale-Root\Accounting\pages\CommonAccount.aspx%3fsJump=6110-1110&amp;c.ChartCode=&amp;hAccount=&amp;hAccount2=&amp;DbCrd=Either&amp;AcTyp=Any&amp;RpTyp=Either" TargetMode="External" Id="rId1154"/><Relationship Type="http://schemas.openxmlformats.org/officeDocument/2006/relationships/hyperlink" Target="file:///\\192.168.11.15\Elmdale-Root\Accounting\pages\CommonAccount.aspx%3fsJump=6110-1150&amp;c.ChartCode=&amp;hAccount=&amp;hAccount2=&amp;DbCrd=Either&amp;AcTyp=Any&amp;RpTyp=Either" TargetMode="External" Id="rId1155"/><Relationship Type="http://schemas.openxmlformats.org/officeDocument/2006/relationships/hyperlink" Target="file:///\\192.168.11.15\Elmdale-Root\Accounting\pages\CommonAccount.aspx%3fsJump=6110-1175&amp;c.ChartCode=&amp;hAccount=&amp;hAccount2=&amp;DbCrd=Either&amp;AcTyp=Any&amp;RpTyp=Either" TargetMode="External" Id="rId1156"/><Relationship Type="http://schemas.openxmlformats.org/officeDocument/2006/relationships/hyperlink" Target="file:///\\192.168.11.15\Elmdale-Root\Accounting\pages\CommonAccount.aspx%3fsJump=6110-1180&amp;c.ChartCode=&amp;hAccount=&amp;hAccount2=&amp;DbCrd=Either&amp;AcTyp=Any&amp;RpTyp=Either" TargetMode="External" Id="rId1157"/><Relationship Type="http://schemas.openxmlformats.org/officeDocument/2006/relationships/hyperlink" Target="file:///\\192.168.11.15\Elmdale-Root\Accounting\pages\CommonAccount.aspx%3fsJump=6199-9999&amp;c.ChartCode=&amp;hAccount=&amp;hAccount2=&amp;DbCrd=Either&amp;AcTyp=Any&amp;RpTyp=Either" TargetMode="External" Id="rId1158"/><Relationship Type="http://schemas.openxmlformats.org/officeDocument/2006/relationships/hyperlink" Target="file:///\\192.168.11.15\Elmdale-Root\Accounting\pages\CommonAccount.aspx%3fsJump=6200-0000&amp;c.ChartCode=&amp;hAccount=&amp;hAccount2=&amp;DbCrd=Either&amp;AcTyp=Any&amp;RpTyp=Either" TargetMode="External" Id="rId1159"/><Relationship Type="http://schemas.openxmlformats.org/officeDocument/2006/relationships/hyperlink" Target="file:///\\192.168.11.15\Elmdale-Root\Accounting\pages\CommonAccount.aspx%3fsJump=6200-0001&amp;c.ChartCode=&amp;hAccount=&amp;hAccount2=&amp;DbCrd=Either&amp;AcTyp=Any&amp;RpTyp=Either" TargetMode="External" Id="rId1160"/><Relationship Type="http://schemas.openxmlformats.org/officeDocument/2006/relationships/hyperlink" Target="file:///\\192.168.11.15\Elmdale-Root\Accounting\pages\CommonAccount.aspx%3fsJump=6200-0002&amp;c.ChartCode=&amp;hAccount=&amp;hAccount2=&amp;DbCrd=Either&amp;AcTyp=Any&amp;RpTyp=Either" TargetMode="External" Id="rId1161"/><Relationship Type="http://schemas.openxmlformats.org/officeDocument/2006/relationships/hyperlink" Target="file:///\\192.168.11.15\Elmdale-Root\Accounting\pages\CommonAccount.aspx%3fsJump=6200-0010&amp;c.ChartCode=&amp;hAccount=&amp;hAccount2=&amp;DbCrd=Either&amp;AcTyp=Any&amp;RpTyp=Either" TargetMode="External" Id="rId1162"/><Relationship Type="http://schemas.openxmlformats.org/officeDocument/2006/relationships/hyperlink" Target="file:///\\192.168.11.15\Elmdale-Root\Accounting\pages\CommonAccount.aspx%3fsJump=6200-0015&amp;c.ChartCode=&amp;hAccount=&amp;hAccount2=&amp;DbCrd=Either&amp;AcTyp=Any&amp;RpTyp=Either" TargetMode="External" Id="rId1163"/><Relationship Type="http://schemas.openxmlformats.org/officeDocument/2006/relationships/hyperlink" Target="file:///\\192.168.11.15\Elmdale-Root\Accounting\pages\CommonAccount.aspx%3fsJump=6200-0020&amp;c.ChartCode=&amp;hAccount=&amp;hAccount2=&amp;DbCrd=Either&amp;AcTyp=Any&amp;RpTyp=Either" TargetMode="External" Id="rId1164"/><Relationship Type="http://schemas.openxmlformats.org/officeDocument/2006/relationships/hyperlink" Target="file:///\\192.168.11.15\Elmdale-Root\Accounting\pages\CommonAccount.aspx%3fsJump=6200-0030&amp;c.ChartCode=&amp;hAccount=&amp;hAccount2=&amp;DbCrd=Either&amp;AcTyp=Any&amp;RpTyp=Either" TargetMode="External" Id="rId1165"/><Relationship Type="http://schemas.openxmlformats.org/officeDocument/2006/relationships/hyperlink" Target="file:///\\192.168.11.15\Elmdale-Root\Accounting\pages\CommonAccount.aspx%3fsJump=6200-0040&amp;c.ChartCode=&amp;hAccount=&amp;hAccount2=&amp;DbCrd=Either&amp;AcTyp=Any&amp;RpTyp=Either" TargetMode="External" Id="rId1166"/><Relationship Type="http://schemas.openxmlformats.org/officeDocument/2006/relationships/hyperlink" Target="file:///\\192.168.11.15\Elmdale-Root\Accounting\pages\CommonAccount.aspx%3fsJump=6200-0045&amp;c.ChartCode=&amp;hAccount=&amp;hAccount2=&amp;DbCrd=Either&amp;AcTyp=Any&amp;RpTyp=Either" TargetMode="External" Id="rId1167"/><Relationship Type="http://schemas.openxmlformats.org/officeDocument/2006/relationships/hyperlink" Target="file:///\\192.168.11.15\Elmdale-Root\Accounting\pages\CommonAccount.aspx%3fsJump=6200-0050&amp;c.ChartCode=&amp;hAccount=&amp;hAccount2=&amp;DbCrd=Either&amp;AcTyp=Any&amp;RpTyp=Either" TargetMode="External" Id="rId1168"/><Relationship Type="http://schemas.openxmlformats.org/officeDocument/2006/relationships/hyperlink" Target="file:///\\192.168.11.15\Elmdale-Root\Accounting\pages\CommonAccount.aspx%3fsJump=6299-9999&amp;c.ChartCode=&amp;hAccount=&amp;hAccount2=&amp;DbCrd=Either&amp;AcTyp=Any&amp;RpTyp=Either" TargetMode="External" Id="rId1169"/><Relationship Type="http://schemas.openxmlformats.org/officeDocument/2006/relationships/hyperlink" Target="file:///\\192.168.11.15\Elmdale-Root\Accounting\pages\CommonAccount.aspx%3fsJump=6300-0000&amp;c.ChartCode=&amp;hAccount=&amp;hAccount2=&amp;DbCrd=Either&amp;AcTyp=Any&amp;RpTyp=Either" TargetMode="External" Id="rId1170"/><Relationship Type="http://schemas.openxmlformats.org/officeDocument/2006/relationships/hyperlink" Target="file:///\\192.168.11.15\Elmdale-Root\Accounting\pages\CommonAccount.aspx%3fsJump=6300-0005&amp;c.ChartCode=&amp;hAccount=&amp;hAccount2=&amp;DbCrd=Either&amp;AcTyp=Any&amp;RpTyp=Either" TargetMode="External" Id="rId1171"/><Relationship Type="http://schemas.openxmlformats.org/officeDocument/2006/relationships/hyperlink" Target="file:///\\192.168.11.15\Elmdale-Root\Accounting\pages\CommonAccount.aspx%3fsJump=6300-0010&amp;c.ChartCode=&amp;hAccount=&amp;hAccount2=&amp;DbCrd=Either&amp;AcTyp=Any&amp;RpTyp=Either" TargetMode="External" Id="rId1172"/><Relationship Type="http://schemas.openxmlformats.org/officeDocument/2006/relationships/hyperlink" Target="file:///\\192.168.11.15\Elmdale-Root\Accounting\pages\CommonAccount.aspx%3fsJump=6310-0000&amp;c.ChartCode=&amp;hAccount=&amp;hAccount2=&amp;DbCrd=Either&amp;AcTyp=Any&amp;RpTyp=Either" TargetMode="External" Id="rId1173"/><Relationship Type="http://schemas.openxmlformats.org/officeDocument/2006/relationships/hyperlink" Target="file:///\\192.168.11.15\Elmdale-Root\Accounting\pages\CommonAccount.aspx%3fsJump=6310-0001&amp;c.ChartCode=&amp;hAccount=&amp;hAccount2=&amp;DbCrd=Either&amp;AcTyp=Any&amp;RpTyp=Either" TargetMode="External" Id="rId1174"/><Relationship Type="http://schemas.openxmlformats.org/officeDocument/2006/relationships/hyperlink" Target="file:///\\192.168.11.15\Elmdale-Root\Accounting\pages\CommonAccount.aspx%3fsJump=6310-0002&amp;c.ChartCode=&amp;hAccount=&amp;hAccount2=&amp;DbCrd=Either&amp;AcTyp=Any&amp;RpTyp=Either" TargetMode="External" Id="rId1175"/><Relationship Type="http://schemas.openxmlformats.org/officeDocument/2006/relationships/hyperlink" Target="file:///\\192.168.11.15\Elmdale-Root\Accounting\pages\CommonAccount.aspx%3fsJump=6310-0010&amp;c.ChartCode=&amp;hAccount=&amp;hAccount2=&amp;DbCrd=Either&amp;AcTyp=Any&amp;RpTyp=Either" TargetMode="External" Id="rId1176"/><Relationship Type="http://schemas.openxmlformats.org/officeDocument/2006/relationships/hyperlink" Target="file:///\\192.168.11.15\Elmdale-Root\Accounting\pages\CommonAccount.aspx%3fsJump=6375-0000&amp;c.ChartCode=&amp;hAccount=&amp;hAccount2=&amp;DbCrd=Either&amp;AcTyp=Any&amp;RpTyp=Either" TargetMode="External" Id="rId1177"/><Relationship Type="http://schemas.openxmlformats.org/officeDocument/2006/relationships/hyperlink" Target="file:///\\192.168.11.15\Elmdale-Root\Accounting\pages\CommonAccount.aspx%3fsJump=6400-0000&amp;c.ChartCode=&amp;hAccount=&amp;hAccount2=&amp;DbCrd=Either&amp;AcTyp=Any&amp;RpTyp=Either" TargetMode="External" Id="rId1178"/><Relationship Type="http://schemas.openxmlformats.org/officeDocument/2006/relationships/hyperlink" Target="file:///\\192.168.11.15\Elmdale-Root\Accounting\pages\CommonAccount.aspx%3fsJump=6400-0010&amp;c.ChartCode=&amp;hAccount=&amp;hAccount2=&amp;DbCrd=Either&amp;AcTyp=Any&amp;RpTyp=Either" TargetMode="External" Id="rId1179"/><Relationship Type="http://schemas.openxmlformats.org/officeDocument/2006/relationships/hyperlink" Target="file:///\\192.168.11.15\Elmdale-Root\Accounting\pages\CommonAccount.aspx%3fsJump=6400-0015&amp;c.ChartCode=&amp;hAccount=&amp;hAccount2=&amp;DbCrd=Either&amp;AcTyp=Any&amp;RpTyp=Either" TargetMode="External" Id="rId1180"/><Relationship Type="http://schemas.openxmlformats.org/officeDocument/2006/relationships/hyperlink" Target="file:///\\192.168.11.15\Elmdale-Root\Accounting\pages\CommonAccount.aspx%3fsJump=6400-0020&amp;c.ChartCode=&amp;hAccount=&amp;hAccount2=&amp;DbCrd=Either&amp;AcTyp=Any&amp;RpTyp=Either" TargetMode="External" Id="rId1181"/><Relationship Type="http://schemas.openxmlformats.org/officeDocument/2006/relationships/hyperlink" Target="file:///\\192.168.11.15\Elmdale-Root\Accounting\pages\CommonAccount.aspx%3fsJump=6400-0025&amp;c.ChartCode=&amp;hAccount=&amp;hAccount2=&amp;DbCrd=Either&amp;AcTyp=Any&amp;RpTyp=Either" TargetMode="External" Id="rId1182"/><Relationship Type="http://schemas.openxmlformats.org/officeDocument/2006/relationships/hyperlink" Target="file:///\\192.168.11.15\Elmdale-Root\Accounting\pages\CommonAccount.aspx%3fsJump=6400-0030&amp;c.ChartCode=&amp;hAccount=&amp;hAccount2=&amp;DbCrd=Either&amp;AcTyp=Any&amp;RpTyp=Either" TargetMode="External" Id="rId1183"/><Relationship Type="http://schemas.openxmlformats.org/officeDocument/2006/relationships/hyperlink" Target="file:///\\192.168.11.15\Elmdale-Root\Accounting\pages\CommonAccount.aspx%3fsJump=6400-0035&amp;c.ChartCode=&amp;hAccount=&amp;hAccount2=&amp;DbCrd=Either&amp;AcTyp=Any&amp;RpTyp=Either" TargetMode="External" Id="rId1184"/><Relationship Type="http://schemas.openxmlformats.org/officeDocument/2006/relationships/hyperlink" Target="file:///\\192.168.11.15\Elmdale-Root\Accounting\pages\CommonAccount.aspx%3fsJump=6400-0040&amp;c.ChartCode=&amp;hAccount=&amp;hAccount2=&amp;DbCrd=Either&amp;AcTyp=Any&amp;RpTyp=Either" TargetMode="External" Id="rId1185"/><Relationship Type="http://schemas.openxmlformats.org/officeDocument/2006/relationships/hyperlink" Target="file:///\\192.168.11.15\Elmdale-Root\Accounting\pages\CommonAccount.aspx%3fsJump=6400-0045&amp;c.ChartCode=&amp;hAccount=&amp;hAccount2=&amp;DbCrd=Either&amp;AcTyp=Any&amp;RpTyp=Either" TargetMode="External" Id="rId1186"/><Relationship Type="http://schemas.openxmlformats.org/officeDocument/2006/relationships/hyperlink" Target="file:///\\192.168.11.15\Elmdale-Root\Accounting\pages\CommonAccount.aspx%3fsJump=6400-0046&amp;c.ChartCode=&amp;hAccount=&amp;hAccount2=&amp;DbCrd=Either&amp;AcTyp=Any&amp;RpTyp=Either" TargetMode="External" Id="rId1187"/><Relationship Type="http://schemas.openxmlformats.org/officeDocument/2006/relationships/hyperlink" Target="file:///\\192.168.11.15\Elmdale-Root\Accounting\pages\CommonAccount.aspx%3fsJump=6400-0047&amp;c.ChartCode=&amp;hAccount=&amp;hAccount2=&amp;DbCrd=Either&amp;AcTyp=Any&amp;RpTyp=Either" TargetMode="External" Id="rId1188"/><Relationship Type="http://schemas.openxmlformats.org/officeDocument/2006/relationships/hyperlink" Target="file:///\\192.168.11.15\Elmdale-Root\Accounting\pages\CommonAccount.aspx%3fsJump=6425-0000&amp;c.ChartCode=&amp;hAccount=&amp;hAccount2=&amp;DbCrd=Either&amp;AcTyp=Any&amp;RpTyp=Either" TargetMode="External" Id="rId1189"/><Relationship Type="http://schemas.openxmlformats.org/officeDocument/2006/relationships/hyperlink" Target="file:///\\192.168.11.15\Elmdale-Root\Accounting\pages\CommonAccount.aspx%3fsJump=6450-0000&amp;c.ChartCode=&amp;hAccount=&amp;hAccount2=&amp;DbCrd=Either&amp;AcTyp=Any&amp;RpTyp=Either" TargetMode="External" Id="rId1190"/><Relationship Type="http://schemas.openxmlformats.org/officeDocument/2006/relationships/hyperlink" Target="file:///\\192.168.11.15\Elmdale-Root\Accounting\pages\CommonAccount.aspx%3fsJump=6450-0010&amp;c.ChartCode=&amp;hAccount=&amp;hAccount2=&amp;DbCrd=Either&amp;AcTyp=Any&amp;RpTyp=Either" TargetMode="External" Id="rId1191"/><Relationship Type="http://schemas.openxmlformats.org/officeDocument/2006/relationships/hyperlink" Target="file:///\\192.168.11.15\Elmdale-Root\Accounting\pages\CommonAccount.aspx%3fsJump=6450-0020&amp;c.ChartCode=&amp;hAccount=&amp;hAccount2=&amp;DbCrd=Either&amp;AcTyp=Any&amp;RpTyp=Either" TargetMode="External" Id="rId1192"/><Relationship Type="http://schemas.openxmlformats.org/officeDocument/2006/relationships/hyperlink" Target="file:///\\192.168.11.15\Elmdale-Root\Accounting\pages\CommonAccount.aspx%3fsJump=6450-0030&amp;c.ChartCode=&amp;hAccount=&amp;hAccount2=&amp;DbCrd=Either&amp;AcTyp=Any&amp;RpTyp=Either" TargetMode="External" Id="rId1193"/><Relationship Type="http://schemas.openxmlformats.org/officeDocument/2006/relationships/hyperlink" Target="file:///\\192.168.11.15\Elmdale-Root\Accounting\pages\CommonAccount.aspx%3fsJump=6450-0050&amp;c.ChartCode=&amp;hAccount=&amp;hAccount2=&amp;DbCrd=Either&amp;AcTyp=Any&amp;RpTyp=Either" TargetMode="External" Id="rId1194"/><Relationship Type="http://schemas.openxmlformats.org/officeDocument/2006/relationships/hyperlink" Target="file:///\\192.168.11.15\Elmdale-Root\Accounting\pages\CommonAccount.aspx%3fsJump=6450-0070&amp;c.ChartCode=&amp;hAccount=&amp;hAccount2=&amp;DbCrd=Either&amp;AcTyp=Any&amp;RpTyp=Either" TargetMode="External" Id="rId1195"/><Relationship Type="http://schemas.openxmlformats.org/officeDocument/2006/relationships/hyperlink" Target="file:///\\192.168.11.15\Elmdale-Root\Accounting\pages\CommonAccount.aspx%3fsJump=6455-0000&amp;c.ChartCode=&amp;hAccount=&amp;hAccount2=&amp;DbCrd=Either&amp;AcTyp=Any&amp;RpTyp=Either" TargetMode="External" Id="rId1196"/><Relationship Type="http://schemas.openxmlformats.org/officeDocument/2006/relationships/hyperlink" Target="file:///\\192.168.11.15\Elmdale-Root\Accounting\pages\CommonAccount.aspx%3fsJump=6460-0000&amp;c.ChartCode=&amp;hAccount=&amp;hAccount2=&amp;DbCrd=Either&amp;AcTyp=Any&amp;RpTyp=Either" TargetMode="External" Id="rId1197"/><Relationship Type="http://schemas.openxmlformats.org/officeDocument/2006/relationships/hyperlink" Target="file:///\\192.168.11.15\Elmdale-Root\Accounting\pages\CommonAccount.aspx%3fsJump=6461-0000&amp;c.ChartCode=&amp;hAccount=&amp;hAccount2=&amp;DbCrd=Either&amp;AcTyp=Any&amp;RpTyp=Either" TargetMode="External" Id="rId1198"/><Relationship Type="http://schemas.openxmlformats.org/officeDocument/2006/relationships/hyperlink" Target="file:///\\192.168.11.15\Elmdale-Root\Accounting\pages\CommonAccount.aspx%3fsJump=6461-0001&amp;c.ChartCode=&amp;hAccount=&amp;hAccount2=&amp;DbCrd=Either&amp;AcTyp=Any&amp;RpTyp=Either" TargetMode="External" Id="rId1199"/><Relationship Type="http://schemas.openxmlformats.org/officeDocument/2006/relationships/hyperlink" Target="file:///\\192.168.11.15\Elmdale-Root\Accounting\pages\CommonAccount.aspx%3fsJump=6461-0002&amp;c.ChartCode=&amp;hAccount=&amp;hAccount2=&amp;DbCrd=Either&amp;AcTyp=Any&amp;RpTyp=Either" TargetMode="External" Id="rId1200"/><Relationship Type="http://schemas.openxmlformats.org/officeDocument/2006/relationships/hyperlink" Target="file:///\\192.168.11.15\Elmdale-Root\Accounting\pages\CommonAccount.aspx%3fsJump=6461-0998&amp;c.ChartCode=&amp;hAccount=&amp;hAccount2=&amp;DbCrd=Either&amp;AcTyp=Any&amp;RpTyp=Either" TargetMode="External" Id="rId1201"/><Relationship Type="http://schemas.openxmlformats.org/officeDocument/2006/relationships/hyperlink" Target="file:///\\192.168.11.15\Elmdale-Root\Accounting\pages\CommonAccount.aspx%3fsJump=6461-0999&amp;c.ChartCode=&amp;hAccount=&amp;hAccount2=&amp;DbCrd=Either&amp;AcTyp=Any&amp;RpTyp=Either" TargetMode="External" Id="rId1202"/><Relationship Type="http://schemas.openxmlformats.org/officeDocument/2006/relationships/hyperlink" Target="file:///\\192.168.11.15\Elmdale-Root\Accounting\pages\CommonAccount.aspx%3fsJump=6461-1000&amp;c.ChartCode=&amp;hAccount=&amp;hAccount2=&amp;DbCrd=Either&amp;AcTyp=Any&amp;RpTyp=Either" TargetMode="External" Id="rId1203"/><Relationship Type="http://schemas.openxmlformats.org/officeDocument/2006/relationships/hyperlink" Target="file:///\\192.168.11.15\Elmdale-Root\Accounting\pages\CommonAccount.aspx%3fsJump=6461-1001&amp;c.ChartCode=&amp;hAccount=&amp;hAccount2=&amp;DbCrd=Either&amp;AcTyp=Any&amp;RpTyp=Either" TargetMode="External" Id="rId1204"/><Relationship Type="http://schemas.openxmlformats.org/officeDocument/2006/relationships/hyperlink" Target="file:///\\192.168.11.15\Elmdale-Root\Accounting\pages\CommonAccount.aspx%3fsJump=6461-1002&amp;c.ChartCode=&amp;hAccount=&amp;hAccount2=&amp;DbCrd=Either&amp;AcTyp=Any&amp;RpTyp=Either" TargetMode="External" Id="rId1205"/><Relationship Type="http://schemas.openxmlformats.org/officeDocument/2006/relationships/hyperlink" Target="file:///\\192.168.11.15\Elmdale-Root\Accounting\pages\CommonAccount.aspx%3fsJump=6470-0000&amp;c.ChartCode=&amp;hAccount=&amp;hAccount2=&amp;DbCrd=Either&amp;AcTyp=Any&amp;RpTyp=Either" TargetMode="External" Id="rId1206"/><Relationship Type="http://schemas.openxmlformats.org/officeDocument/2006/relationships/hyperlink" Target="file:///\\192.168.11.15\Elmdale-Root\Accounting\pages\CommonAccount.aspx%3fsJump=7000-0000&amp;c.ChartCode=&amp;hAccount=&amp;hAccount2=&amp;DbCrd=Either&amp;AcTyp=Any&amp;RpTyp=Either" TargetMode="External" Id="rId1207"/><Relationship Type="http://schemas.openxmlformats.org/officeDocument/2006/relationships/hyperlink" Target="file:///\\192.168.11.15\Elmdale-Root\Accounting\pages\CommonAccount.aspx%3fsJump=7000-0001&amp;c.ChartCode=&amp;hAccount=&amp;hAccount2=&amp;DbCrd=Either&amp;AcTyp=Any&amp;RpTyp=Either" TargetMode="External" Id="rId1208"/><Relationship Type="http://schemas.openxmlformats.org/officeDocument/2006/relationships/hyperlink" Target="file:///\\192.168.11.15\Elmdale-Root\Accounting\pages\CommonAccount.aspx%3fsJump=7000-0008&amp;c.ChartCode=&amp;hAccount=&amp;hAccount2=&amp;DbCrd=Either&amp;AcTyp=Any&amp;RpTyp=Either" TargetMode="External" Id="rId1209"/><Relationship Type="http://schemas.openxmlformats.org/officeDocument/2006/relationships/hyperlink" Target="file:///\\192.168.11.15\Elmdale-Root\Accounting\pages\CommonAccount.aspx%3fsJump=7000-0009&amp;c.ChartCode=&amp;hAccount=&amp;hAccount2=&amp;DbCrd=Either&amp;AcTyp=Any&amp;RpTyp=Either" TargetMode="External" Id="rId1210"/><Relationship Type="http://schemas.openxmlformats.org/officeDocument/2006/relationships/hyperlink" Target="file:///\\192.168.11.15\Elmdale-Root\Accounting\pages\CommonAccount.aspx%3fsJump=7000-0010&amp;c.ChartCode=&amp;hAccount=&amp;hAccount2=&amp;DbCrd=Either&amp;AcTyp=Any&amp;RpTyp=Either" TargetMode="External" Id="rId1211"/><Relationship Type="http://schemas.openxmlformats.org/officeDocument/2006/relationships/hyperlink" Target="file:///\\192.168.11.15\Elmdale-Root\Accounting\pages\CommonAccount.aspx%3fsJump=7000-0012&amp;c.ChartCode=&amp;hAccount=&amp;hAccount2=&amp;DbCrd=Either&amp;AcTyp=Any&amp;RpTyp=Either" TargetMode="External" Id="rId1212"/><Relationship Type="http://schemas.openxmlformats.org/officeDocument/2006/relationships/hyperlink" Target="file:///\\192.168.11.15\Elmdale-Root\Accounting\pages\CommonAccount.aspx%3fsJump=7000-0013&amp;c.ChartCode=&amp;hAccount=&amp;hAccount2=&amp;DbCrd=Either&amp;AcTyp=Any&amp;RpTyp=Either" TargetMode="External" Id="rId1213"/><Relationship Type="http://schemas.openxmlformats.org/officeDocument/2006/relationships/hyperlink" Target="file:///\\192.168.11.15\Elmdale-Root\Accounting\pages\CommonAccount.aspx%3fsJump=7000-0014&amp;c.ChartCode=&amp;hAccount=&amp;hAccount2=&amp;DbCrd=Either&amp;AcTyp=Any&amp;RpTyp=Either" TargetMode="External" Id="rId1214"/><Relationship Type="http://schemas.openxmlformats.org/officeDocument/2006/relationships/hyperlink" Target="file:///\\192.168.11.15\Elmdale-Root\Accounting\pages\CommonAccount.aspx%3fsJump=7000-0015&amp;c.ChartCode=&amp;hAccount=&amp;hAccount2=&amp;DbCrd=Either&amp;AcTyp=Any&amp;RpTyp=Either" TargetMode="External" Id="rId1215"/><Relationship Type="http://schemas.openxmlformats.org/officeDocument/2006/relationships/hyperlink" Target="file:///\\192.168.11.15\Elmdale-Root\Accounting\pages\CommonAccount.aspx%3fsJump=7000-0020&amp;c.ChartCode=&amp;hAccount=&amp;hAccount2=&amp;DbCrd=Either&amp;AcTyp=Any&amp;RpTyp=Either" TargetMode="External" Id="rId1216"/><Relationship Type="http://schemas.openxmlformats.org/officeDocument/2006/relationships/hyperlink" Target="file:///\\192.168.11.15\Elmdale-Root\Accounting\pages\CommonAccount.aspx%3fsJump=7000-0026&amp;c.ChartCode=&amp;hAccount=&amp;hAccount2=&amp;DbCrd=Either&amp;AcTyp=Any&amp;RpTyp=Either" TargetMode="External" Id="rId1217"/><Relationship Type="http://schemas.openxmlformats.org/officeDocument/2006/relationships/hyperlink" Target="file:///\\192.168.11.15\Elmdale-Root\Accounting\pages\CommonAccount.aspx%3fsJump=7000-0035&amp;c.ChartCode=&amp;hAccount=&amp;hAccount2=&amp;DbCrd=Either&amp;AcTyp=Any&amp;RpTyp=Either" TargetMode="External" Id="rId1218"/><Relationship Type="http://schemas.openxmlformats.org/officeDocument/2006/relationships/hyperlink" Target="file:///\\192.168.11.15\Elmdale-Root\Accounting\pages\CommonAccount.aspx%3fsJump=7000-0040&amp;c.ChartCode=&amp;hAccount=&amp;hAccount2=&amp;DbCrd=Either&amp;AcTyp=Any&amp;RpTyp=Either" TargetMode="External" Id="rId1219"/><Relationship Type="http://schemas.openxmlformats.org/officeDocument/2006/relationships/hyperlink" Target="file:///\\192.168.11.15\Elmdale-Root\Accounting\pages\CommonAccount.aspx%3fsJump=7000-0045&amp;c.ChartCode=&amp;hAccount=&amp;hAccount2=&amp;DbCrd=Either&amp;AcTyp=Any&amp;RpTyp=Either" TargetMode="External" Id="rId1220"/><Relationship Type="http://schemas.openxmlformats.org/officeDocument/2006/relationships/hyperlink" Target="file:///\\192.168.11.15\Elmdale-Root\Accounting\pages\CommonAccount.aspx%3fsJump=7000-0046&amp;c.ChartCode=&amp;hAccount=&amp;hAccount2=&amp;DbCrd=Either&amp;AcTyp=Any&amp;RpTyp=Either" TargetMode="External" Id="rId1221"/><Relationship Type="http://schemas.openxmlformats.org/officeDocument/2006/relationships/hyperlink" Target="file:///\\192.168.11.15\Elmdale-Root\Accounting\pages\CommonAccount.aspx%3fsJump=7000-0047&amp;c.ChartCode=&amp;hAccount=&amp;hAccount2=&amp;DbCrd=Either&amp;AcTyp=Any&amp;RpTyp=Either" TargetMode="External" Id="rId1222"/><Relationship Type="http://schemas.openxmlformats.org/officeDocument/2006/relationships/hyperlink" Target="file:///\\192.168.11.15\Elmdale-Root\Accounting\pages\CommonAccount.aspx%3fsJump=7000-0048&amp;c.ChartCode=&amp;hAccount=&amp;hAccount2=&amp;DbCrd=Either&amp;AcTyp=Any&amp;RpTyp=Either" TargetMode="External" Id="rId1223"/><Relationship Type="http://schemas.openxmlformats.org/officeDocument/2006/relationships/hyperlink" Target="file:///\\192.168.11.15\Elmdale-Root\Accounting\pages\CommonAccount.aspx%3fsJump=7000-0050&amp;c.ChartCode=&amp;hAccount=&amp;hAccount2=&amp;DbCrd=Either&amp;AcTyp=Any&amp;RpTyp=Either" TargetMode="External" Id="rId1224"/><Relationship Type="http://schemas.openxmlformats.org/officeDocument/2006/relationships/hyperlink" Target="file:///\\192.168.11.15\Elmdale-Root\Accounting\pages\CommonAccount.aspx%3fsJump=7000-0054&amp;c.ChartCode=&amp;hAccount=&amp;hAccount2=&amp;DbCrd=Either&amp;AcTyp=Any&amp;RpTyp=Either" TargetMode="External" Id="rId1225"/><Relationship Type="http://schemas.openxmlformats.org/officeDocument/2006/relationships/hyperlink" Target="file:///\\192.168.11.15\Elmdale-Root\Accounting\pages\CommonAccount.aspx%3fsJump=7000-0060&amp;c.ChartCode=&amp;hAccount=&amp;hAccount2=&amp;DbCrd=Either&amp;AcTyp=Any&amp;RpTyp=Either" TargetMode="External" Id="rId1226"/><Relationship Type="http://schemas.openxmlformats.org/officeDocument/2006/relationships/hyperlink" Target="file:///\\192.168.11.15\Elmdale-Root\Accounting\pages\CommonAccount.aspx%3fsJump=7000-0065&amp;c.ChartCode=&amp;hAccount=&amp;hAccount2=&amp;DbCrd=Either&amp;AcTyp=Any&amp;RpTyp=Either" TargetMode="External" Id="rId1227"/><Relationship Type="http://schemas.openxmlformats.org/officeDocument/2006/relationships/hyperlink" Target="file:///\\192.168.11.15\Elmdale-Root\Accounting\pages\CommonAccount.aspx%3fsJump=7000-0070&amp;c.ChartCode=&amp;hAccount=&amp;hAccount2=&amp;DbCrd=Either&amp;AcTyp=Any&amp;RpTyp=Either" TargetMode="External" Id="rId1228"/><Relationship Type="http://schemas.openxmlformats.org/officeDocument/2006/relationships/hyperlink" Target="file:///\\192.168.11.15\Elmdale-Root\Accounting\pages\CommonAccount.aspx%3fsJump=7000-0075&amp;c.ChartCode=&amp;hAccount=&amp;hAccount2=&amp;DbCrd=Either&amp;AcTyp=Any&amp;RpTyp=Either" TargetMode="External" Id="rId1229"/><Relationship Type="http://schemas.openxmlformats.org/officeDocument/2006/relationships/hyperlink" Target="file:///\\192.168.11.15\Elmdale-Root\Accounting\pages\CommonAccount.aspx%3fsJump=7000-0999&amp;c.ChartCode=&amp;hAccount=&amp;hAccount2=&amp;DbCrd=Either&amp;AcTyp=Any&amp;RpTyp=Either" TargetMode="External" Id="rId1230"/><Relationship Type="http://schemas.openxmlformats.org/officeDocument/2006/relationships/hyperlink" Target="file:///\\192.168.11.15\Elmdale-Root\Accounting\pages\CommonAccount.aspx%3fsJump=7000-1000&amp;c.ChartCode=&amp;hAccount=&amp;hAccount2=&amp;DbCrd=Either&amp;AcTyp=Any&amp;RpTyp=Either" TargetMode="External" Id="rId1231"/><Relationship Type="http://schemas.openxmlformats.org/officeDocument/2006/relationships/hyperlink" Target="file:///\\192.168.11.15\Elmdale-Root\Accounting\pages\CommonAccount.aspx%3fsJump=7200-0000&amp;c.ChartCode=&amp;hAccount=&amp;hAccount2=&amp;DbCrd=Either&amp;AcTyp=Any&amp;RpTyp=Either" TargetMode="External" Id="rId1232"/><Relationship Type="http://schemas.openxmlformats.org/officeDocument/2006/relationships/hyperlink" Target="file:///\\192.168.11.15\Elmdale-Root\Accounting\pages\CommonAccount.aspx%3fsJump=7200-0001&amp;c.ChartCode=&amp;hAccount=&amp;hAccount2=&amp;DbCrd=Either&amp;AcTyp=Any&amp;RpTyp=Either" TargetMode="External" Id="rId1233"/><Relationship Type="http://schemas.openxmlformats.org/officeDocument/2006/relationships/hyperlink" Target="file:///\\192.168.11.15\Elmdale-Root\Accounting\pages\CommonAccount.aspx%3fsJump=7200-0002&amp;c.ChartCode=&amp;hAccount=&amp;hAccount2=&amp;DbCrd=Either&amp;AcTyp=Any&amp;RpTyp=Either" TargetMode="External" Id="rId1234"/><Relationship Type="http://schemas.openxmlformats.org/officeDocument/2006/relationships/hyperlink" Target="file:///\\192.168.11.15\Elmdale-Root\Accounting\pages\CommonAccount.aspx%3fsJump=7200-0015&amp;c.ChartCode=&amp;hAccount=&amp;hAccount2=&amp;DbCrd=Either&amp;AcTyp=Any&amp;RpTyp=Either" TargetMode="External" Id="rId1235"/><Relationship Type="http://schemas.openxmlformats.org/officeDocument/2006/relationships/hyperlink" Target="file:///\\192.168.11.15\Elmdale-Root\Accounting\pages\CommonAccount.aspx%3fsJump=7200-0020&amp;c.ChartCode=&amp;hAccount=&amp;hAccount2=&amp;DbCrd=Either&amp;AcTyp=Any&amp;RpTyp=Either" TargetMode="External" Id="rId1236"/><Relationship Type="http://schemas.openxmlformats.org/officeDocument/2006/relationships/hyperlink" Target="file:///\\192.168.11.15\Elmdale-Root\Accounting\pages\CommonAccount.aspx%3fsJump=7200-0100&amp;c.ChartCode=&amp;hAccount=&amp;hAccount2=&amp;DbCrd=Either&amp;AcTyp=Any&amp;RpTyp=Either" TargetMode="External" Id="rId1237"/><Relationship Type="http://schemas.openxmlformats.org/officeDocument/2006/relationships/hyperlink" Target="file:///\\192.168.11.15\Elmdale-Root\Accounting\pages\CommonAccount.aspx%3fsJump=7300-0000&amp;c.ChartCode=&amp;hAccount=&amp;hAccount2=&amp;DbCrd=Either&amp;AcTyp=Any&amp;RpTyp=Either" TargetMode="External" Id="rId1238"/><Relationship Type="http://schemas.openxmlformats.org/officeDocument/2006/relationships/hyperlink" Target="file:///\\192.168.11.15\Elmdale-Root\Accounting\pages\CommonAccount.aspx%3fsJump=7310-0000&amp;c.ChartCode=&amp;hAccount=&amp;hAccount2=&amp;DbCrd=Either&amp;AcTyp=Any&amp;RpTyp=Either" TargetMode="External" Id="rId1239"/><Relationship Type="http://schemas.openxmlformats.org/officeDocument/2006/relationships/hyperlink" Target="file:///\\192.168.11.15\Elmdale-Root\Accounting\pages\CommonAccount.aspx%3fsJump=7310-0005&amp;c.ChartCode=&amp;hAccount=&amp;hAccount2=&amp;DbCrd=Either&amp;AcTyp=Any&amp;RpTyp=Either" TargetMode="External" Id="rId1240"/><Relationship Type="http://schemas.openxmlformats.org/officeDocument/2006/relationships/hyperlink" Target="file:///\\192.168.11.15\Elmdale-Root\Accounting\pages\CommonAccount.aspx%3fsJump=7310-0010&amp;c.ChartCode=&amp;hAccount=&amp;hAccount2=&amp;DbCrd=Either&amp;AcTyp=Any&amp;RpTyp=Either" TargetMode="External" Id="rId1241"/><Relationship Type="http://schemas.openxmlformats.org/officeDocument/2006/relationships/hyperlink" Target="file:///\\192.168.11.15\Elmdale-Root\Accounting\pages\CommonAccount.aspx%3fsJump=7310-0100&amp;c.ChartCode=&amp;hAccount=&amp;hAccount2=&amp;DbCrd=Either&amp;AcTyp=Any&amp;RpTyp=Either" TargetMode="External" Id="rId1242"/><Relationship Type="http://schemas.openxmlformats.org/officeDocument/2006/relationships/hyperlink" Target="file:///\\192.168.11.15\Elmdale-Root\Accounting\pages\CommonAccount.aspx%3fsJump=7320-0000&amp;c.ChartCode=&amp;hAccount=&amp;hAccount2=&amp;DbCrd=Either&amp;AcTyp=Any&amp;RpTyp=Either" TargetMode="External" Id="rId1243"/><Relationship Type="http://schemas.openxmlformats.org/officeDocument/2006/relationships/hyperlink" Target="file:///\\192.168.11.15\Elmdale-Root\Accounting\pages\CommonAccount.aspx%3fsJump=7330-0000&amp;c.ChartCode=&amp;hAccount=&amp;hAccount2=&amp;DbCrd=Either&amp;AcTyp=Any&amp;RpTyp=Either" TargetMode="External" Id="rId1244"/><Relationship Type="http://schemas.openxmlformats.org/officeDocument/2006/relationships/hyperlink" Target="file:///\\192.168.11.15\Elmdale-Root\Accounting\pages\CommonAccount.aspx%3fsJump=7340-0000&amp;c.ChartCode=&amp;hAccount=&amp;hAccount2=&amp;DbCrd=Either&amp;AcTyp=Any&amp;RpTyp=Either" TargetMode="External" Id="rId1245"/><Relationship Type="http://schemas.openxmlformats.org/officeDocument/2006/relationships/hyperlink" Target="file:///\\192.168.11.15\Elmdale-Root\Accounting\pages\CommonAccount.aspx%3fsJump=7400-0000&amp;c.ChartCode=&amp;hAccount=&amp;hAccount2=&amp;DbCrd=Either&amp;AcTyp=Any&amp;RpTyp=Either" TargetMode="External" Id="rId1246"/><Relationship Type="http://schemas.openxmlformats.org/officeDocument/2006/relationships/hyperlink" Target="file:///\\192.168.11.15\Elmdale-Root\Accounting\pages\CommonAccount.aspx%3fsJump=7400-0001&amp;c.ChartCode=&amp;hAccount=&amp;hAccount2=&amp;DbCrd=Either&amp;AcTyp=Any&amp;RpTyp=Either" TargetMode="External" Id="rId1247"/><Relationship Type="http://schemas.openxmlformats.org/officeDocument/2006/relationships/hyperlink" Target="file:///\\192.168.11.15\Elmdale-Root\Accounting\pages\CommonAccount.aspx%3fsJump=7400-0002&amp;c.ChartCode=&amp;hAccount=&amp;hAccount2=&amp;DbCrd=Either&amp;AcTyp=Any&amp;RpTyp=Either" TargetMode="External" Id="rId1248"/><Relationship Type="http://schemas.openxmlformats.org/officeDocument/2006/relationships/hyperlink" Target="file:///\\192.168.11.15\Elmdale-Root\Accounting\pages\CommonAccount.aspx%3fsJump=7400-0003&amp;c.ChartCode=&amp;hAccount=&amp;hAccount2=&amp;DbCrd=Either&amp;AcTyp=Any&amp;RpTyp=Either" TargetMode="External" Id="rId1249"/><Relationship Type="http://schemas.openxmlformats.org/officeDocument/2006/relationships/hyperlink" Target="file:///\\192.168.11.15\Elmdale-Root\Accounting\pages\CommonAccount.aspx%3fsJump=7400-0010&amp;c.ChartCode=&amp;hAccount=&amp;hAccount2=&amp;DbCrd=Either&amp;AcTyp=Any&amp;RpTyp=Either" TargetMode="External" Id="rId1250"/><Relationship Type="http://schemas.openxmlformats.org/officeDocument/2006/relationships/hyperlink" Target="file:///\\192.168.11.15\Elmdale-Root\Accounting\pages\CommonAccount.aspx%3fsJump=7400-0050&amp;c.ChartCode=&amp;hAccount=&amp;hAccount2=&amp;DbCrd=Either&amp;AcTyp=Any&amp;RpTyp=Either" TargetMode="External" Id="rId1251"/><Relationship Type="http://schemas.openxmlformats.org/officeDocument/2006/relationships/hyperlink" Target="file:///\\192.168.11.15\Elmdale-Root\Accounting\pages\CommonAccount.aspx%3fsJump=7500-0000&amp;c.ChartCode=&amp;hAccount=&amp;hAccount2=&amp;DbCrd=Either&amp;AcTyp=Any&amp;RpTyp=Either" TargetMode="External" Id="rId1252"/><Relationship Type="http://schemas.openxmlformats.org/officeDocument/2006/relationships/hyperlink" Target="file:///\\192.168.11.15\Elmdale-Root\Accounting\pages\CommonAccount.aspx%3fsJump=7999-9000&amp;c.ChartCode=&amp;hAccount=&amp;hAccount2=&amp;DbCrd=Either&amp;AcTyp=Any&amp;RpTyp=Either" TargetMode="External" Id="rId1253"/><Relationship Type="http://schemas.openxmlformats.org/officeDocument/2006/relationships/hyperlink" Target="file:///\\192.168.11.15\Elmdale-Root\Accounting\pages\CommonAccount.aspx%3fsJump=7999-9999&amp;c.ChartCode=&amp;hAccount=&amp;hAccount2=&amp;DbCrd=Either&amp;AcTyp=Any&amp;RpTyp=Either" TargetMode="External" Id="rId1254"/><Relationship Type="http://schemas.openxmlformats.org/officeDocument/2006/relationships/hyperlink" Target="file:///\\192.168.11.15\Elmdale-Root\Accounting\pages\CommonAccount.aspx%3fsJump=8000-0000&amp;c.ChartCode=&amp;hAccount=&amp;hAccount2=&amp;DbCrd=Either&amp;AcTyp=Any&amp;RpTyp=Either" TargetMode="External" Id="rId1255"/><Relationship Type="http://schemas.openxmlformats.org/officeDocument/2006/relationships/hyperlink" Target="file:///\\192.168.11.15\Elmdale-Root\Accounting\pages\CommonAccount.aspx%3fsJump=8000-0001&amp;c.ChartCode=&amp;hAccount=&amp;hAccount2=&amp;DbCrd=Either&amp;AcTyp=Any&amp;RpTyp=Either" TargetMode="External" Id="rId1256"/><Relationship Type="http://schemas.openxmlformats.org/officeDocument/2006/relationships/hyperlink" Target="file:///\\192.168.11.15\Elmdale-Root\Accounting\pages\CommonAccount.aspx%3fsJump=8000-0010&amp;c.ChartCode=&amp;hAccount=&amp;hAccount2=&amp;DbCrd=Either&amp;AcTyp=Any&amp;RpTyp=Either" TargetMode="External" Id="rId1257"/><Relationship Type="http://schemas.openxmlformats.org/officeDocument/2006/relationships/hyperlink" Target="file:///\\192.168.11.15\Elmdale-Root\Accounting\pages\CommonAccount.aspx%3fsJump=8100-0000&amp;c.ChartCode=&amp;hAccount=&amp;hAccount2=&amp;DbCrd=Either&amp;AcTyp=Any&amp;RpTyp=Either" TargetMode="External" Id="rId1258"/><Relationship Type="http://schemas.openxmlformats.org/officeDocument/2006/relationships/hyperlink" Target="file:///\\192.168.11.15\Elmdale-Root\Accounting\pages\CommonAccount.aspx%3fsJump=8100-1000&amp;c.ChartCode=&amp;hAccount=&amp;hAccount2=&amp;DbCrd=Either&amp;AcTyp=Any&amp;RpTyp=Either" TargetMode="External" Id="rId1259"/><Relationship Type="http://schemas.openxmlformats.org/officeDocument/2006/relationships/hyperlink" Target="file:///\\192.168.11.15\Elmdale-Root\Accounting\pages\CommonAccount.aspx%3fsJump=8100-1001&amp;c.ChartCode=&amp;hAccount=&amp;hAccount2=&amp;DbCrd=Either&amp;AcTyp=Any&amp;RpTyp=Either" TargetMode="External" Id="rId1260"/><Relationship Type="http://schemas.openxmlformats.org/officeDocument/2006/relationships/hyperlink" Target="file:///\\192.168.11.15\Elmdale-Root\Accounting\pages\CommonAccount.aspx%3fsJump=8100-1002&amp;c.ChartCode=&amp;hAccount=&amp;hAccount2=&amp;DbCrd=Either&amp;AcTyp=Any&amp;RpTyp=Either" TargetMode="External" Id="rId1261"/><Relationship Type="http://schemas.openxmlformats.org/officeDocument/2006/relationships/hyperlink" Target="file:///\\192.168.11.15\Elmdale-Root\Accounting\pages\CommonAccount.aspx%3fsJump=8100-1003&amp;c.ChartCode=&amp;hAccount=&amp;hAccount2=&amp;DbCrd=Either&amp;AcTyp=Any&amp;RpTyp=Either" TargetMode="External" Id="rId1262"/><Relationship Type="http://schemas.openxmlformats.org/officeDocument/2006/relationships/hyperlink" Target="file:///\\192.168.11.15\Elmdale-Root\Accounting\pages\CommonAccount.aspx%3fsJump=8110-0000&amp;c.ChartCode=&amp;hAccount=&amp;hAccount2=&amp;DbCrd=Either&amp;AcTyp=Any&amp;RpTyp=Either" TargetMode="External" Id="rId1263"/><Relationship Type="http://schemas.openxmlformats.org/officeDocument/2006/relationships/hyperlink" Target="file:///\\192.168.11.15\Elmdale-Root\Accounting\pages\CommonAccount.aspx%3fsJump=8150-0000&amp;c.ChartCode=&amp;hAccount=&amp;hAccount2=&amp;DbCrd=Either&amp;AcTyp=Any&amp;RpTyp=Either" TargetMode="External" Id="rId1264"/><Relationship Type="http://schemas.openxmlformats.org/officeDocument/2006/relationships/hyperlink" Target="file:///\\192.168.11.15\Elmdale-Root\Accounting\pages\CommonAccount.aspx%3fsJump=8160-0000&amp;c.ChartCode=&amp;hAccount=&amp;hAccount2=&amp;DbCrd=Either&amp;AcTyp=Any&amp;RpTyp=Either" TargetMode="External" Id="rId1265"/><Relationship Type="http://schemas.openxmlformats.org/officeDocument/2006/relationships/hyperlink" Target="file:///\\192.168.11.15\Elmdale-Root\Accounting\pages\CommonAccount.aspx%3fsJump=8161-0000&amp;c.ChartCode=&amp;hAccount=&amp;hAccount2=&amp;DbCrd=Either&amp;AcTyp=Any&amp;RpTyp=Either" TargetMode="External" Id="rId1266"/><Relationship Type="http://schemas.openxmlformats.org/officeDocument/2006/relationships/hyperlink" Target="file:///\\192.168.11.15\Elmdale-Root\Accounting\pages\CommonAccount.aspx%3fsJump=8170-0000&amp;c.ChartCode=&amp;hAccount=&amp;hAccount2=&amp;DbCrd=Either&amp;AcTyp=Any&amp;RpTyp=Either" TargetMode="External" Id="rId1267"/><Relationship Type="http://schemas.openxmlformats.org/officeDocument/2006/relationships/hyperlink" Target="file:///\\192.168.11.15\Elmdale-Root\Accounting\pages\CommonAccount.aspx%3fsJump=8179-9999&amp;c.ChartCode=&amp;hAccount=&amp;hAccount2=&amp;DbCrd=Either&amp;AcTyp=Any&amp;RpTyp=Either" TargetMode="External" Id="rId1268"/><Relationship Type="http://schemas.openxmlformats.org/officeDocument/2006/relationships/hyperlink" Target="file:///\\192.168.11.15\Elmdale-Root\Accounting\pages\CommonAccount.aspx%3fsJump=8180-0000&amp;c.ChartCode=&amp;hAccount=&amp;hAccount2=&amp;DbCrd=Either&amp;AcTyp=Any&amp;RpTyp=Either" TargetMode="External" Id="rId1269"/><Relationship Type="http://schemas.openxmlformats.org/officeDocument/2006/relationships/hyperlink" Target="file:///\\192.168.11.15\Elmdale-Root\Accounting\pages\CommonAccount.aspx%3fsJump=8180-0001&amp;c.ChartCode=&amp;hAccount=&amp;hAccount2=&amp;DbCrd=Either&amp;AcTyp=Any&amp;RpTyp=Either" TargetMode="External" Id="rId1270"/><Relationship Type="http://schemas.openxmlformats.org/officeDocument/2006/relationships/hyperlink" Target="file:///\\192.168.11.15\Elmdale-Root\Accounting\pages\CommonAccount.aspx%3fsJump=8180-0002&amp;c.ChartCode=&amp;hAccount=&amp;hAccount2=&amp;DbCrd=Either&amp;AcTyp=Any&amp;RpTyp=Either" TargetMode="External" Id="rId1271"/><Relationship Type="http://schemas.openxmlformats.org/officeDocument/2006/relationships/hyperlink" Target="file:///\\192.168.11.15\Elmdale-Root\Accounting\pages\CommonAccount.aspx%3fsJump=8180-0003&amp;c.ChartCode=&amp;hAccount=&amp;hAccount2=&amp;DbCrd=Either&amp;AcTyp=Any&amp;RpTyp=Either" TargetMode="External" Id="rId1272"/><Relationship Type="http://schemas.openxmlformats.org/officeDocument/2006/relationships/hyperlink" Target="file:///\\192.168.11.15\Elmdale-Root\Accounting\pages\CommonAccount.aspx%3fsJump=8180-0004&amp;c.ChartCode=&amp;hAccount=&amp;hAccount2=&amp;DbCrd=Either&amp;AcTyp=Any&amp;RpTyp=Either" TargetMode="External" Id="rId1273"/><Relationship Type="http://schemas.openxmlformats.org/officeDocument/2006/relationships/hyperlink" Target="file:///\\192.168.11.15\Elmdale-Root\Accounting\pages\CommonAccount.aspx%3fsJump=8180-0005&amp;c.ChartCode=&amp;hAccount=&amp;hAccount2=&amp;DbCrd=Either&amp;AcTyp=Any&amp;RpTyp=Either" TargetMode="External" Id="rId1274"/><Relationship Type="http://schemas.openxmlformats.org/officeDocument/2006/relationships/hyperlink" Target="file:///\\192.168.11.15\Elmdale-Root\Accounting\pages\CommonAccount.aspx%3fsJump=8180-0009&amp;c.ChartCode=&amp;hAccount=&amp;hAccount2=&amp;DbCrd=Either&amp;AcTyp=Any&amp;RpTyp=Either" TargetMode="External" Id="rId1275"/><Relationship Type="http://schemas.openxmlformats.org/officeDocument/2006/relationships/hyperlink" Target="file:///\\192.168.11.15\Elmdale-Root\Accounting\pages\CommonAccount.aspx%3fsJump=8180-0010&amp;c.ChartCode=&amp;hAccount=&amp;hAccount2=&amp;DbCrd=Either&amp;AcTyp=Any&amp;RpTyp=Either" TargetMode="External" Id="rId1276"/><Relationship Type="http://schemas.openxmlformats.org/officeDocument/2006/relationships/hyperlink" Target="file:///\\192.168.11.15\Elmdale-Root\Accounting\pages\CommonAccount.aspx%3fsJump=8180-0011&amp;c.ChartCode=&amp;hAccount=&amp;hAccount2=&amp;DbCrd=Either&amp;AcTyp=Any&amp;RpTyp=Either" TargetMode="External" Id="rId1277"/><Relationship Type="http://schemas.openxmlformats.org/officeDocument/2006/relationships/hyperlink" Target="file:///\\192.168.11.15\Elmdale-Root\Accounting\pages\CommonAccount.aspx%3fsJump=8180-0012&amp;c.ChartCode=&amp;hAccount=&amp;hAccount2=&amp;DbCrd=Either&amp;AcTyp=Any&amp;RpTyp=Either" TargetMode="External" Id="rId1278"/><Relationship Type="http://schemas.openxmlformats.org/officeDocument/2006/relationships/hyperlink" Target="file:///\\192.168.11.15\Elmdale-Root\Accounting\pages\CommonAccount.aspx%3fsJump=8180-0013&amp;c.ChartCode=&amp;hAccount=&amp;hAccount2=&amp;DbCrd=Either&amp;AcTyp=Any&amp;RpTyp=Either" TargetMode="External" Id="rId1279"/><Relationship Type="http://schemas.openxmlformats.org/officeDocument/2006/relationships/hyperlink" Target="file:///\\192.168.11.15\Elmdale-Root\Accounting\pages\CommonAccount.aspx%3fsJump=8180-0014&amp;c.ChartCode=&amp;hAccount=&amp;hAccount2=&amp;DbCrd=Either&amp;AcTyp=Any&amp;RpTyp=Either" TargetMode="External" Id="rId1280"/><Relationship Type="http://schemas.openxmlformats.org/officeDocument/2006/relationships/hyperlink" Target="file:///\\192.168.11.15\Elmdale-Root\Accounting\pages\CommonAccount.aspx%3fsJump=8180-0015&amp;c.ChartCode=&amp;hAccount=&amp;hAccount2=&amp;DbCrd=Either&amp;AcTyp=Any&amp;RpTyp=Either" TargetMode="External" Id="rId1281"/><Relationship Type="http://schemas.openxmlformats.org/officeDocument/2006/relationships/hyperlink" Target="file:///\\192.168.11.15\Elmdale-Root\Accounting\pages\CommonAccount.aspx%3fsJump=8180-0016&amp;c.ChartCode=&amp;hAccount=&amp;hAccount2=&amp;DbCrd=Either&amp;AcTyp=Any&amp;RpTyp=Either" TargetMode="External" Id="rId1282"/><Relationship Type="http://schemas.openxmlformats.org/officeDocument/2006/relationships/hyperlink" Target="file:///\\192.168.11.15\Elmdale-Root\Accounting\pages\CommonAccount.aspx%3fsJump=8180-0017&amp;c.ChartCode=&amp;hAccount=&amp;hAccount2=&amp;DbCrd=Either&amp;AcTyp=Any&amp;RpTyp=Either" TargetMode="External" Id="rId1283"/><Relationship Type="http://schemas.openxmlformats.org/officeDocument/2006/relationships/hyperlink" Target="file:///\\192.168.11.15\Elmdale-Root\Accounting\pages\CommonAccount.aspx%3fsJump=8180-0105&amp;c.ChartCode=&amp;hAccount=&amp;hAccount2=&amp;DbCrd=Either&amp;AcTyp=Any&amp;RpTyp=Either" TargetMode="External" Id="rId1284"/><Relationship Type="http://schemas.openxmlformats.org/officeDocument/2006/relationships/hyperlink" Target="file:///\\192.168.11.15\Elmdale-Root\Accounting\pages\CommonAccount.aspx%3fsJump=8180-0200&amp;c.ChartCode=&amp;hAccount=&amp;hAccount2=&amp;DbCrd=Either&amp;AcTyp=Any&amp;RpTyp=Either" TargetMode="External" Id="rId1285"/><Relationship Type="http://schemas.openxmlformats.org/officeDocument/2006/relationships/hyperlink" Target="file:///\\192.168.11.15\Elmdale-Root\Accounting\pages\CommonAccount.aspx%3fsJump=8180-0201&amp;c.ChartCode=&amp;hAccount=&amp;hAccount2=&amp;DbCrd=Either&amp;AcTyp=Any&amp;RpTyp=Either" TargetMode="External" Id="rId1286"/><Relationship Type="http://schemas.openxmlformats.org/officeDocument/2006/relationships/hyperlink" Target="file:///\\192.168.11.15\Elmdale-Root\Accounting\pages\CommonAccount.aspx%3fsJump=8180-1001&amp;c.ChartCode=&amp;hAccount=&amp;hAccount2=&amp;DbCrd=Either&amp;AcTyp=Any&amp;RpTyp=Either" TargetMode="External" Id="rId1287"/><Relationship Type="http://schemas.openxmlformats.org/officeDocument/2006/relationships/hyperlink" Target="file:///\\192.168.11.15\Elmdale-Root\Accounting\pages\CommonAccount.aspx%3fsJump=8181-0000&amp;c.ChartCode=&amp;hAccount=&amp;hAccount2=&amp;DbCrd=Either&amp;AcTyp=Any&amp;RpTyp=Either" TargetMode="External" Id="rId1288"/><Relationship Type="http://schemas.openxmlformats.org/officeDocument/2006/relationships/hyperlink" Target="file:///\\192.168.11.15\Elmdale-Root\Accounting\pages\CommonAccount.aspx%3fsJump=8181-0100&amp;c.ChartCode=&amp;hAccount=&amp;hAccount2=&amp;DbCrd=Either&amp;AcTyp=Any&amp;RpTyp=Either" TargetMode="External" Id="rId1289"/><Relationship Type="http://schemas.openxmlformats.org/officeDocument/2006/relationships/hyperlink" Target="file:///\\192.168.11.15\Elmdale-Root\Accounting\pages\CommonAccount.aspx%3fsJump=8181-0101&amp;c.ChartCode=&amp;hAccount=&amp;hAccount2=&amp;DbCrd=Either&amp;AcTyp=Any&amp;RpTyp=Either" TargetMode="External" Id="rId1290"/><Relationship Type="http://schemas.openxmlformats.org/officeDocument/2006/relationships/hyperlink" Target="file:///\\192.168.11.15\Elmdale-Root\Accounting\pages\CommonAccount.aspx%3fsJump=8181-0102&amp;c.ChartCode=&amp;hAccount=&amp;hAccount2=&amp;DbCrd=Either&amp;AcTyp=Any&amp;RpTyp=Either" TargetMode="External" Id="rId1291"/><Relationship Type="http://schemas.openxmlformats.org/officeDocument/2006/relationships/hyperlink" Target="file:///\\192.168.11.15\Elmdale-Root\Accounting\pages\CommonAccount.aspx%3fsJump=8181-0103&amp;c.ChartCode=&amp;hAccount=&amp;hAccount2=&amp;DbCrd=Either&amp;AcTyp=Any&amp;RpTyp=Either" TargetMode="External" Id="rId1292"/><Relationship Type="http://schemas.openxmlformats.org/officeDocument/2006/relationships/hyperlink" Target="file:///\\192.168.11.15\Elmdale-Root\Accounting\pages\CommonAccount.aspx%3fsJump=8181-0104&amp;c.ChartCode=&amp;hAccount=&amp;hAccount2=&amp;DbCrd=Either&amp;AcTyp=Any&amp;RpTyp=Either" TargetMode="External" Id="rId1293"/><Relationship Type="http://schemas.openxmlformats.org/officeDocument/2006/relationships/hyperlink" Target="file:///\\192.168.11.15\Elmdale-Root\Accounting\pages\CommonAccount.aspx%3fsJump=8181-0105&amp;c.ChartCode=&amp;hAccount=&amp;hAccount2=&amp;DbCrd=Either&amp;AcTyp=Any&amp;RpTyp=Either" TargetMode="External" Id="rId1294"/><Relationship Type="http://schemas.openxmlformats.org/officeDocument/2006/relationships/hyperlink" Target="file:///\\192.168.11.15\Elmdale-Root\Accounting\pages\CommonAccount.aspx%3fsJump=8181-0110&amp;c.ChartCode=&amp;hAccount=&amp;hAccount2=&amp;DbCrd=Either&amp;AcTyp=Any&amp;RpTyp=Either" TargetMode="External" Id="rId1295"/><Relationship Type="http://schemas.openxmlformats.org/officeDocument/2006/relationships/hyperlink" Target="file:///\\192.168.11.15\Elmdale-Root\Accounting\pages\CommonAccount.aspx%3fsJump=8181-0112&amp;c.ChartCode=&amp;hAccount=&amp;hAccount2=&amp;DbCrd=Either&amp;AcTyp=Any&amp;RpTyp=Either" TargetMode="External" Id="rId1296"/><Relationship Type="http://schemas.openxmlformats.org/officeDocument/2006/relationships/hyperlink" Target="file:///\\192.168.11.15\Elmdale-Root\Accounting\pages\CommonAccount.aspx%3fsJump=8181-0113&amp;c.ChartCode=&amp;hAccount=&amp;hAccount2=&amp;DbCrd=Either&amp;AcTyp=Any&amp;RpTyp=Either" TargetMode="External" Id="rId1297"/><Relationship Type="http://schemas.openxmlformats.org/officeDocument/2006/relationships/hyperlink" Target="file:///\\192.168.11.15\Elmdale-Root\Accounting\pages\CommonAccount.aspx%3fsJump=8181-0114&amp;c.ChartCode=&amp;hAccount=&amp;hAccount2=&amp;DbCrd=Either&amp;AcTyp=Any&amp;RpTyp=Either" TargetMode="External" Id="rId1298"/><Relationship Type="http://schemas.openxmlformats.org/officeDocument/2006/relationships/hyperlink" Target="file:///\\192.168.11.15\Elmdale-Root\Accounting\pages\CommonAccount.aspx%3fsJump=8181-1000&amp;c.ChartCode=&amp;hAccount=&amp;hAccount2=&amp;DbCrd=Either&amp;AcTyp=Any&amp;RpTyp=Either" TargetMode="External" Id="rId1299"/><Relationship Type="http://schemas.openxmlformats.org/officeDocument/2006/relationships/hyperlink" Target="file:///\\192.168.11.15\Elmdale-Root\Accounting\pages\CommonAccount.aspx%3fsJump=8181-1500&amp;c.ChartCode=&amp;hAccount=&amp;hAccount2=&amp;DbCrd=Either&amp;AcTyp=Any&amp;RpTyp=Either" TargetMode="External" Id="rId1300"/><Relationship Type="http://schemas.openxmlformats.org/officeDocument/2006/relationships/hyperlink" Target="file:///\\192.168.11.15\Elmdale-Root\Accounting\pages\CommonAccount.aspx%3fsJump=8181-2000&amp;c.ChartCode=&amp;hAccount=&amp;hAccount2=&amp;DbCrd=Either&amp;AcTyp=Any&amp;RpTyp=Either" TargetMode="External" Id="rId1301"/><Relationship Type="http://schemas.openxmlformats.org/officeDocument/2006/relationships/hyperlink" Target="file:///\\192.168.11.15\Elmdale-Root\Accounting\pages\CommonAccount.aspx%3fsJump=8181-2001&amp;c.ChartCode=&amp;hAccount=&amp;hAccount2=&amp;DbCrd=Either&amp;AcTyp=Any&amp;RpTyp=Either" TargetMode="External" Id="rId1302"/><Relationship Type="http://schemas.openxmlformats.org/officeDocument/2006/relationships/hyperlink" Target="file:///\\192.168.11.15\Elmdale-Root\Accounting\pages\CommonAccount.aspx%3fsJump=8389-9999&amp;c.ChartCode=&amp;hAccount=&amp;hAccount2=&amp;DbCrd=Either&amp;AcTyp=Any&amp;RpTyp=Either" TargetMode="External" Id="rId1303"/><Relationship Type="http://schemas.openxmlformats.org/officeDocument/2006/relationships/hyperlink" Target="file:///\\192.168.11.15\Elmdale-Root\Accounting\pages\CommonAccount.aspx%3fsJump=8390-0000&amp;c.ChartCode=&amp;hAccount=&amp;hAccount2=&amp;DbCrd=Either&amp;AcTyp=Any&amp;RpTyp=Either" TargetMode="External" Id="rId1304"/><Relationship Type="http://schemas.openxmlformats.org/officeDocument/2006/relationships/hyperlink" Target="file:///\\192.168.11.15\Elmdale-Root\Accounting\pages\CommonAccount.aspx%3fsJump=8500-0000&amp;c.ChartCode=&amp;hAccount=&amp;hAccount2=&amp;DbCrd=Either&amp;AcTyp=Any&amp;RpTyp=Either" TargetMode="External" Id="rId1305"/><Relationship Type="http://schemas.openxmlformats.org/officeDocument/2006/relationships/hyperlink" Target="file:///\\192.168.11.15\Elmdale-Root\Accounting\pages\CommonAccount.aspx%3fsJump=8510-0000&amp;c.ChartCode=&amp;hAccount=&amp;hAccount2=&amp;DbCrd=Either&amp;AcTyp=Any&amp;RpTyp=Either" TargetMode="External" Id="rId1306"/><Relationship Type="http://schemas.openxmlformats.org/officeDocument/2006/relationships/hyperlink" Target="file:///\\192.168.11.15\Elmdale-Root\Accounting\pages\CommonAccount.aspx%3fsJump=8520-0000&amp;c.ChartCode=&amp;hAccount=&amp;hAccount2=&amp;DbCrd=Either&amp;AcTyp=Any&amp;RpTyp=Either" TargetMode="External" Id="rId1307"/><Relationship Type="http://schemas.openxmlformats.org/officeDocument/2006/relationships/hyperlink" Target="file:///\\192.168.11.15\Elmdale-Root\Accounting\pages\CommonAccount.aspx%3fsJump=8530-0000&amp;c.ChartCode=&amp;hAccount=&amp;hAccount2=&amp;DbCrd=Either&amp;AcTyp=Any&amp;RpTyp=Either" TargetMode="External" Id="rId1308"/><Relationship Type="http://schemas.openxmlformats.org/officeDocument/2006/relationships/hyperlink" Target="file:///\\192.168.11.15\Elmdale-Root\Accounting\pages\CommonAccount.aspx%3fsJump=8540-0000&amp;c.ChartCode=&amp;hAccount=&amp;hAccount2=&amp;DbCrd=Either&amp;AcTyp=Any&amp;RpTyp=Either" TargetMode="External" Id="rId1309"/><Relationship Type="http://schemas.openxmlformats.org/officeDocument/2006/relationships/hyperlink" Target="file:///\\192.168.11.15\Elmdale-Root\Accounting\pages\CommonAccount.aspx%3fsJump=8590-0000&amp;c.ChartCode=&amp;hAccount=&amp;hAccount2=&amp;DbCrd=Either&amp;AcTyp=Any&amp;RpTyp=Either" TargetMode="External" Id="rId1310"/><Relationship Type="http://schemas.openxmlformats.org/officeDocument/2006/relationships/hyperlink" Target="file:///\\192.168.11.15\Elmdale-Root\Accounting\pages\CommonAccount.aspx%3fsJump=8590-0001&amp;c.ChartCode=&amp;hAccount=&amp;hAccount2=&amp;DbCrd=Either&amp;AcTyp=Any&amp;RpTyp=Either" TargetMode="External" Id="rId1311"/><Relationship Type="http://schemas.openxmlformats.org/officeDocument/2006/relationships/hyperlink" Target="file:///\\192.168.11.15\Elmdale-Root\Accounting\pages\CommonAccount.aspx%3fsJump=8590-0002&amp;c.ChartCode=&amp;hAccount=&amp;hAccount2=&amp;DbCrd=Either&amp;AcTyp=Any&amp;RpTyp=Either" TargetMode="External" Id="rId1312"/><Relationship Type="http://schemas.openxmlformats.org/officeDocument/2006/relationships/hyperlink" Target="file:///\\192.168.11.15\Elmdale-Root\Accounting\pages\CommonAccount.aspx%3fsJump=8590-0003&amp;c.ChartCode=&amp;hAccount=&amp;hAccount2=&amp;DbCrd=Either&amp;AcTyp=Any&amp;RpTyp=Either" TargetMode="External" Id="rId1313"/><Relationship Type="http://schemas.openxmlformats.org/officeDocument/2006/relationships/hyperlink" Target="file:///\\192.168.11.15\Elmdale-Root\Accounting\pages\CommonAccount.aspx%3fsJump=8590-0004&amp;c.ChartCode=&amp;hAccount=&amp;hAccount2=&amp;DbCrd=Either&amp;AcTyp=Any&amp;RpTyp=Either" TargetMode="External" Id="rId1314"/><Relationship Type="http://schemas.openxmlformats.org/officeDocument/2006/relationships/hyperlink" Target="file:///\\192.168.11.15\Elmdale-Root\Accounting\pages\CommonAccount.aspx%3fsJump=8590-0005&amp;c.ChartCode=&amp;hAccount=&amp;hAccount2=&amp;DbCrd=Either&amp;AcTyp=Any&amp;RpTyp=Either" TargetMode="External" Id="rId1315"/><Relationship Type="http://schemas.openxmlformats.org/officeDocument/2006/relationships/hyperlink" Target="file:///\\192.168.11.15\Elmdale-Root\Accounting\pages\CommonAccount.aspx%3fsJump=8590-0006&amp;c.ChartCode=&amp;hAccount=&amp;hAccount2=&amp;DbCrd=Either&amp;AcTyp=Any&amp;RpTyp=Either" TargetMode="External" Id="rId1316"/><Relationship Type="http://schemas.openxmlformats.org/officeDocument/2006/relationships/hyperlink" Target="file:///\\192.168.11.15\Elmdale-Root\Accounting\pages\CommonAccount.aspx%3fsJump=8600-0000&amp;c.ChartCode=&amp;hAccount=&amp;hAccount2=&amp;DbCrd=Either&amp;AcTyp=Any&amp;RpTyp=Either" TargetMode="External" Id="rId1317"/><Relationship Type="http://schemas.openxmlformats.org/officeDocument/2006/relationships/hyperlink" Target="file:///\\192.168.11.15\Elmdale-Root\Accounting\pages\CommonAccount.aspx%3fsJump=8990-0000&amp;c.ChartCode=&amp;hAccount=&amp;hAccount2=&amp;DbCrd=Either&amp;AcTyp=Any&amp;RpTyp=Either" TargetMode="External" Id="rId1318"/><Relationship Type="http://schemas.openxmlformats.org/officeDocument/2006/relationships/hyperlink" Target="file:///\\192.168.11.15\Elmdale-Root\Accounting\pages\CommonAccount.aspx%3fsJump=9000-0000&amp;c.ChartCode=&amp;hAccount=&amp;hAccount2=&amp;DbCrd=Either&amp;AcTyp=Any&amp;RpTyp=Either" TargetMode="External" Id="rId1319"/><Relationship Type="http://schemas.openxmlformats.org/officeDocument/2006/relationships/hyperlink" Target="file:///\\192.168.11.15\Elmdale-Root\Accounting\pages\CommonAccount.aspx%3fsJump=9000-1000&amp;c.ChartCode=&amp;hAccount=&amp;hAccount2=&amp;DbCrd=Either&amp;AcTyp=Any&amp;RpTyp=Either" TargetMode="External" Id="rId1320"/><Relationship Type="http://schemas.openxmlformats.org/officeDocument/2006/relationships/hyperlink" Target="file:///\\192.168.11.15\Elmdale-Root\Accounting\pages\CommonAccount.aspx%3fsJump=9000-1001&amp;c.ChartCode=&amp;hAccount=&amp;hAccount2=&amp;DbCrd=Either&amp;AcTyp=Any&amp;RpTyp=Either" TargetMode="External" Id="rId1321"/><Relationship Type="http://schemas.openxmlformats.org/officeDocument/2006/relationships/hyperlink" Target="file:///\\192.168.11.15\Elmdale-Root\Accounting\pages\CommonAccount.aspx%3fsJump=9000-1002&amp;c.ChartCode=&amp;hAccount=&amp;hAccount2=&amp;DbCrd=Either&amp;AcTyp=Any&amp;RpTyp=Either" TargetMode="External" Id="rId1322"/><Relationship Type="http://schemas.openxmlformats.org/officeDocument/2006/relationships/hyperlink" Target="file:///\\192.168.11.15\Elmdale-Root\Accounting\pages\CommonAccount.aspx%3fsJump=9000-1003&amp;c.ChartCode=&amp;hAccount=&amp;hAccount2=&amp;DbCrd=Either&amp;AcTyp=Any&amp;RpTyp=Either" TargetMode="External" Id="rId1323"/><Relationship Type="http://schemas.openxmlformats.org/officeDocument/2006/relationships/hyperlink" Target="file:///\\192.168.11.15\Elmdale-Root\Accounting\pages\CommonAccount.aspx%3fsJump=9000-1004&amp;c.ChartCode=&amp;hAccount=&amp;hAccount2=&amp;DbCrd=Either&amp;AcTyp=Any&amp;RpTyp=Either" TargetMode="External" Id="rId1324"/><Relationship Type="http://schemas.openxmlformats.org/officeDocument/2006/relationships/hyperlink" Target="file:///\\192.168.11.15\Elmdale-Root\Accounting\pages\CommonAccount.aspx%3fsJump=9000-2000&amp;c.ChartCode=&amp;hAccount=&amp;hAccount2=&amp;DbCrd=Either&amp;AcTyp=Any&amp;RpTyp=Either" TargetMode="External" Id="rId1325"/><Relationship Type="http://schemas.openxmlformats.org/officeDocument/2006/relationships/hyperlink" Target="file:///\\192.168.11.15\Elmdale-Root\Accounting\pages\CommonAccount.aspx%3fsJump=9090-0000&amp;c.ChartCode=&amp;hAccount=&amp;hAccount2=&amp;DbCrd=Either&amp;AcTyp=Any&amp;RpTyp=Either" TargetMode="External" Id="rId1326"/><Relationship Type="http://schemas.openxmlformats.org/officeDocument/2006/relationships/hyperlink" Target="file:///\\192.168.11.15\Elmdale-Root\Accounting\pages\CommonAccount.aspx%3fsJump=9990-0000&amp;c.ChartCode=&amp;hAccount=&amp;hAccount2=&amp;DbCrd=Either&amp;AcTyp=Any&amp;RpTyp=Either" TargetMode="External" Id="rId13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zoomScale="205" zoomScaleNormal="205" workbookViewId="0">
      <selection activeCell="B21" sqref="B21"/>
    </sheetView>
  </sheetViews>
  <sheetFormatPr baseColWidth="8" defaultRowHeight="12.75"/>
  <cols>
    <col width="23.140625" bestFit="1" customWidth="1" style="50" min="1" max="1"/>
    <col width="15.7109375" customWidth="1" style="50" min="2" max="5"/>
  </cols>
  <sheetData>
    <row r="1" ht="15.75" customHeight="1" s="50">
      <c r="A1" s="45">
        <f>'Yardi Report'!A1</f>
        <v/>
      </c>
    </row>
    <row r="2">
      <c r="A2" t="inlineStr">
        <is>
          <t>Date</t>
        </is>
      </c>
      <c r="B2" s="3" t="n">
        <v>45900</v>
      </c>
    </row>
    <row r="5">
      <c r="A5" t="inlineStr">
        <is>
          <t>G/L Description</t>
        </is>
      </c>
      <c r="B5" t="inlineStr">
        <is>
          <t>Amount</t>
        </is>
      </c>
      <c r="C5" t="inlineStr">
        <is>
          <t>Reconciled?</t>
        </is>
      </c>
      <c r="D5" t="inlineStr">
        <is>
          <t>Notes</t>
        </is>
      </c>
    </row>
    <row r="6">
      <c r="A6" t="inlineStr">
        <is>
          <t>Pre-Paid Insurance</t>
        </is>
      </c>
      <c r="B6" s="73">
        <f t="array" ref="B6">INDIRECT("'"&amp;A6&amp;"'!G5")</f>
        <v/>
      </c>
      <c r="C6">
        <f t="array" ref="C6">IF(INDIRECT("'"&amp;A6&amp;"'!H5")="","Yes",INDIRECT("'"&amp;A6&amp;"'!H5"))</f>
        <v/>
      </c>
    </row>
    <row r="7">
      <c r="A7" t="inlineStr">
        <is>
          <t>Pre-Paid Association Fees</t>
        </is>
      </c>
      <c r="B7" s="73">
        <f t="array" ref="B7">INDIRECT("'"&amp;A7&amp;"'!G5")</f>
        <v/>
      </c>
      <c r="C7">
        <f t="array" ref="C7">IF(INDIRECT("'"&amp;A7&amp;"'!H5")="","Yes",INDIRECT("'"&amp;A7&amp;"'!H5"))</f>
        <v/>
      </c>
    </row>
    <row r="8" hidden="1" s="50">
      <c r="A8" t="inlineStr">
        <is>
          <t>Pre-Paid Expenses - Other</t>
        </is>
      </c>
      <c r="B8" s="73">
        <f t="array" ref="B8">INDIRECT("'"&amp;A8&amp;"'!G5")</f>
        <v/>
      </c>
      <c r="C8">
        <f t="array" ref="C8">IF(INDIRECT("'"&amp;A8&amp;"'!H5")="","Yes",INDIRECT("'"&amp;A8&amp;"'!H5"))</f>
        <v/>
      </c>
    </row>
    <row r="9">
      <c r="A9" t="inlineStr">
        <is>
          <t>Real Estate Tax Accrual</t>
        </is>
      </c>
      <c r="B9" s="73">
        <f t="array" ref="B9">INDIRECT("'"&amp;A9&amp;"'!G5")</f>
        <v/>
      </c>
      <c r="C9">
        <f t="array" ref="C9">IF(INDIRECT("'"&amp;A9&amp;"'!H5")="","Yes",INDIRECT("'"&amp;A9&amp;"'!H5"))</f>
        <v/>
      </c>
    </row>
    <row r="10">
      <c r="A10" t="inlineStr">
        <is>
          <t>Sales Tax Collected</t>
        </is>
      </c>
      <c r="B10" s="73">
        <f t="array" ref="B10">INDIRECT("'"&amp;A10&amp;"'!G5")</f>
        <v/>
      </c>
      <c r="C10">
        <f t="array" ref="C10">IF(INDIRECT("'"&amp;A10&amp;"'!H5")="","Yes",INDIRECT("'"&amp;A10&amp;"'!H5"))</f>
        <v/>
      </c>
    </row>
    <row r="11">
      <c r="A11" t="inlineStr">
        <is>
          <t>Sales Tax Payable</t>
        </is>
      </c>
      <c r="B11" s="73">
        <f t="array" ref="B11">INDIRECT("'"&amp;A11&amp;"'!G5")</f>
        <v/>
      </c>
      <c r="C11">
        <f t="array" ref="C11">IF(INDIRECT("'"&amp;A11&amp;"'!H5")="","Yes",INDIRECT("'"&amp;A11&amp;"'!H5"))</f>
        <v/>
      </c>
    </row>
    <row r="12">
      <c r="A12" t="inlineStr">
        <is>
          <t>Interest Accrual</t>
        </is>
      </c>
      <c r="B12" s="73">
        <f t="array" ref="B12">INDIRECT("'"&amp;A12&amp;"'!G5")</f>
        <v/>
      </c>
      <c r="C12">
        <f t="array" ref="C12">IF(INDIRECT("'"&amp;A12&amp;"'!H5")="","Yes",INDIRECT("'"&amp;A12&amp;"'!H5"))</f>
        <v/>
      </c>
    </row>
    <row r="13">
      <c r="A13" t="inlineStr">
        <is>
          <t>Expense Accrual</t>
        </is>
      </c>
      <c r="B13" s="73">
        <f t="array" ref="B13">INDIRECT("'"&amp;A13&amp;"'!G5")</f>
        <v/>
      </c>
      <c r="C13">
        <f t="array" ref="C13">IF(INDIRECT("'"&amp;A13&amp;"'!H5")="","Yes",INDIRECT("'"&amp;A13&amp;"'!H5"))</f>
        <v/>
      </c>
    </row>
    <row r="14">
      <c r="B14" s="73" t="n"/>
    </row>
    <row r="15">
      <c r="B15" s="73" t="n"/>
    </row>
    <row r="16">
      <c r="B16" s="73" t="n"/>
    </row>
    <row r="17">
      <c r="B17" s="73" t="n"/>
    </row>
    <row r="18">
      <c r="B18" s="73" t="n"/>
    </row>
    <row r="19">
      <c r="A19" t="inlineStr">
        <is>
          <t>Completed by:</t>
        </is>
      </c>
      <c r="B19" s="73" t="inlineStr">
        <is>
          <t>RM</t>
        </is>
      </c>
    </row>
    <row r="20">
      <c r="A20" t="inlineStr">
        <is>
          <t>Date Completed:</t>
        </is>
      </c>
      <c r="B20" s="36" t="n">
        <v>45944</v>
      </c>
    </row>
  </sheetData>
  <mergeCells count="1">
    <mergeCell ref="A1:E1"/>
  </mergeCells>
  <conditionalFormatting sqref="A6:B6">
    <cfRule type="expression" priority="3" dxfId="17">
      <formula>$C$6="Out of Balance"</formula>
    </cfRule>
    <cfRule type="expression" priority="4" dxfId="16">
      <formula>$C$6="Yes"</formula>
    </cfRule>
  </conditionalFormatting>
  <conditionalFormatting sqref="A7:B7">
    <cfRule type="expression" priority="5" dxfId="17">
      <formula>$C$7="Out of Balance"</formula>
    </cfRule>
    <cfRule type="expression" priority="16" dxfId="16">
      <formula>$C$7="Yes"</formula>
    </cfRule>
  </conditionalFormatting>
  <conditionalFormatting sqref="A8:B8">
    <cfRule type="expression" priority="12" dxfId="17">
      <formula>$C$8="Out of Balance"</formula>
    </cfRule>
    <cfRule type="expression" priority="15" dxfId="16">
      <formula>$C$8="Yes"</formula>
    </cfRule>
  </conditionalFormatting>
  <conditionalFormatting sqref="A9:B9">
    <cfRule type="expression" priority="13" dxfId="17">
      <formula>$C$9="Out of Balance"</formula>
    </cfRule>
    <cfRule type="expression" priority="14" dxfId="16">
      <formula>$C$9="Yes"</formula>
    </cfRule>
  </conditionalFormatting>
  <conditionalFormatting sqref="A10:B10">
    <cfRule type="expression" priority="10" dxfId="17">
      <formula>$C$10="Out of Balance"</formula>
    </cfRule>
    <cfRule type="expression" priority="11" dxfId="16">
      <formula>$C$10="Yes"</formula>
    </cfRule>
  </conditionalFormatting>
  <conditionalFormatting sqref="A11:B11">
    <cfRule type="expression" priority="1" dxfId="17">
      <formula>$C$11="Out of Balance"</formula>
    </cfRule>
    <cfRule type="expression" priority="2" dxfId="16">
      <formula>$C$11="Yes"</formula>
    </cfRule>
  </conditionalFormatting>
  <conditionalFormatting sqref="A12:B12">
    <cfRule type="expression" priority="8" dxfId="17">
      <formula>$C$12="Out of Balance"</formula>
    </cfRule>
    <cfRule type="expression" priority="9" dxfId="16">
      <formula>$C$12="Yes"</formula>
    </cfRule>
  </conditionalFormatting>
  <conditionalFormatting sqref="A13:B13">
    <cfRule type="expression" priority="6" dxfId="17">
      <formula>$C$13="Out of Balance"</formula>
    </cfRule>
    <cfRule type="expression" priority="7" dxfId="16">
      <formula>$C$13="Yes"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topLeftCell="B1" zoomScale="190" zoomScaleNormal="190" workbookViewId="0">
      <pane ySplit="7" topLeftCell="A38" activePane="bottomLeft" state="frozen"/>
      <selection pane="bottomLeft" activeCell="F17" sqref="F17"/>
    </sheetView>
  </sheetViews>
  <sheetFormatPr baseColWidth="8" defaultRowHeight="12.75"/>
  <cols>
    <col width="3.5703125" customWidth="1" style="50" min="1" max="1"/>
    <col width="1.5703125" customWidth="1" style="50" min="4" max="4"/>
    <col width="19.42578125" bestFit="1" customWidth="1" style="50" min="5" max="5"/>
    <col width="15.85546875" customWidth="1" style="50" min="6" max="6"/>
    <col width="13.7109375" customWidth="1" style="50" min="7" max="7"/>
    <col width="33" customWidth="1" style="50" min="8" max="8"/>
    <col width="13.28515625" bestFit="1" customWidth="1" style="73" min="9" max="9"/>
    <col width="14.140625" bestFit="1" customWidth="1" style="50" min="10" max="10"/>
    <col width="20.140625" customWidth="1" style="50" min="11" max="11"/>
  </cols>
  <sheetData>
    <row r="1" ht="15.75" customHeight="1" s="50">
      <c r="A1" s="45">
        <f>Cover!A1</f>
        <v/>
      </c>
      <c r="H1" s="21" t="n"/>
      <c r="I1" s="21" t="n"/>
    </row>
    <row r="2" ht="15.75" customHeight="1" s="50">
      <c r="A2" s="74">
        <f>Cover!B2</f>
        <v/>
      </c>
      <c r="H2" s="21" t="n"/>
      <c r="I2" s="21" t="n"/>
    </row>
    <row r="3">
      <c r="A3" s="47" t="inlineStr">
        <is>
          <t>1350-0001  Pre-Paid Insurance</t>
        </is>
      </c>
      <c r="H3" s="22" t="n"/>
      <c r="I3" s="22" t="n"/>
    </row>
    <row r="5">
      <c r="E5" t="inlineStr">
        <is>
          <t>Account Balance</t>
        </is>
      </c>
      <c r="G5" s="73">
        <f>INDEX('Yardi Report'!A:E,MATCH(LEFT(A3,9),'Yardi Report'!A:A,0),3)</f>
        <v/>
      </c>
      <c r="H5">
        <f>IF(G49=0,"","Out of Balance")</f>
        <v/>
      </c>
    </row>
    <row r="7" ht="13.5" customHeight="1" s="50" thickBot="1">
      <c r="B7" s="18" t="inlineStr">
        <is>
          <t>Date</t>
        </is>
      </c>
      <c r="C7" s="18" t="inlineStr">
        <is>
          <t>Period</t>
        </is>
      </c>
      <c r="D7" s="18" t="n"/>
      <c r="E7" s="18" t="inlineStr">
        <is>
          <t>G/L Description</t>
        </is>
      </c>
      <c r="F7" s="18" t="n"/>
      <c r="G7" s="75" t="inlineStr">
        <is>
          <t>Amount</t>
        </is>
      </c>
      <c r="H7" s="25" t="inlineStr">
        <is>
          <t>Notes</t>
        </is>
      </c>
    </row>
    <row r="8" ht="13.5" customHeight="1" s="50" thickTop="1">
      <c r="G8" s="73" t="n"/>
      <c r="J8" t="n">
        <v>760.58</v>
      </c>
    </row>
    <row r="9">
      <c r="B9" s="76" t="n">
        <v>45715</v>
      </c>
      <c r="C9" s="28">
        <f>B9</f>
        <v/>
      </c>
      <c r="E9" s="17" t="inlineStr">
        <is>
          <t>Storable Insurance payment</t>
        </is>
      </c>
      <c r="F9" s="77" t="n">
        <v>32024.01</v>
      </c>
      <c r="G9" s="73" t="n"/>
    </row>
    <row r="10">
      <c r="B10" s="76" t="n">
        <v>45747</v>
      </c>
      <c r="C10" s="28">
        <f>B10</f>
        <v/>
      </c>
      <c r="E10" s="17" t="inlineStr">
        <is>
          <t>Expense Distribution</t>
        </is>
      </c>
      <c r="F10" s="77" t="n">
        <v>-2668.67</v>
      </c>
      <c r="G10" s="73" t="n"/>
    </row>
    <row r="11">
      <c r="B11" s="76" t="n">
        <v>45777</v>
      </c>
      <c r="C11" s="28">
        <f>B11</f>
        <v/>
      </c>
      <c r="E11" s="17" t="inlineStr">
        <is>
          <t>Expense Distribution</t>
        </is>
      </c>
      <c r="F11" s="77" t="n">
        <v>-2668.67</v>
      </c>
    </row>
    <row r="12">
      <c r="B12" s="76" t="n">
        <v>45808</v>
      </c>
      <c r="C12" s="28" t="n">
        <v>45778</v>
      </c>
      <c r="E12" s="17" t="inlineStr">
        <is>
          <t>Expense Distribution</t>
        </is>
      </c>
      <c r="F12" s="77" t="n">
        <v>-2668.67</v>
      </c>
    </row>
    <row r="13">
      <c r="B13" s="76" t="n">
        <v>45838</v>
      </c>
      <c r="C13" s="28" t="n">
        <v>45809</v>
      </c>
      <c r="E13" s="17" t="inlineStr">
        <is>
          <t>Expense Distribution</t>
        </is>
      </c>
      <c r="F13" s="77" t="n">
        <v>-2668.67</v>
      </c>
    </row>
    <row r="14">
      <c r="B14" s="76" t="n">
        <v>45869</v>
      </c>
      <c r="C14" s="28" t="n">
        <v>45839</v>
      </c>
      <c r="E14" s="17" t="inlineStr">
        <is>
          <t>Expense Distribution</t>
        </is>
      </c>
      <c r="F14" s="77" t="n">
        <v>-2668.67</v>
      </c>
    </row>
    <row r="15">
      <c r="B15" s="76" t="n">
        <v>45897</v>
      </c>
      <c r="C15" s="28" t="n">
        <v>45870</v>
      </c>
      <c r="E15" s="17" t="inlineStr">
        <is>
          <t>Expense Distribution</t>
        </is>
      </c>
      <c r="F15" s="77" t="n">
        <v>-2668.67</v>
      </c>
    </row>
    <row r="16">
      <c r="B16" s="76" t="n">
        <v>45929</v>
      </c>
      <c r="C16" s="28" t="n">
        <v>45901</v>
      </c>
      <c r="E16" s="17" t="inlineStr">
        <is>
          <t>Expense Distribution</t>
        </is>
      </c>
      <c r="F16" s="77" t="n">
        <v>-2668.67</v>
      </c>
    </row>
    <row r="17">
      <c r="B17" s="76" t="n"/>
      <c r="C17" s="28" t="n"/>
      <c r="E17" s="17" t="inlineStr">
        <is>
          <t>Expense Distribution</t>
        </is>
      </c>
      <c r="F17" s="77" t="n">
        <v>0</v>
      </c>
    </row>
    <row r="18">
      <c r="B18" s="76" t="n"/>
      <c r="C18" s="28" t="n"/>
      <c r="E18" s="17" t="inlineStr">
        <is>
          <t>Expense Distribution</t>
        </is>
      </c>
      <c r="F18" s="77" t="n">
        <v>0</v>
      </c>
    </row>
    <row r="19">
      <c r="B19" s="76" t="n"/>
      <c r="C19" s="28" t="n"/>
      <c r="E19" s="17" t="inlineStr">
        <is>
          <t>Expense Distribution</t>
        </is>
      </c>
      <c r="F19" s="77" t="n">
        <v>0</v>
      </c>
    </row>
    <row r="20">
      <c r="B20" s="76" t="n"/>
      <c r="C20" s="28" t="n"/>
      <c r="E20" s="17" t="inlineStr">
        <is>
          <t>Expense Distribution</t>
        </is>
      </c>
      <c r="F20" s="77" t="n">
        <v>0</v>
      </c>
    </row>
    <row r="21">
      <c r="B21" s="76" t="n"/>
      <c r="C21" s="28" t="n"/>
      <c r="E21" s="17" t="inlineStr">
        <is>
          <t>Expense Distribution</t>
        </is>
      </c>
      <c r="F21" s="77" t="n">
        <v>0</v>
      </c>
    </row>
    <row r="22">
      <c r="B22" s="76" t="n"/>
      <c r="C22" s="28" t="n"/>
      <c r="E22" s="17" t="inlineStr">
        <is>
          <t>Left to Distribute</t>
        </is>
      </c>
      <c r="F22" s="77" t="n"/>
      <c r="G22" s="78">
        <f>SUM(F9:F21)</f>
        <v/>
      </c>
    </row>
    <row r="23">
      <c r="B23" s="76" t="n"/>
      <c r="C23" s="28" t="n"/>
      <c r="E23" s="17" t="n"/>
      <c r="F23" s="77" t="n"/>
      <c r="G23" s="78" t="n"/>
    </row>
    <row r="24">
      <c r="B24" s="76" t="n">
        <v>45747</v>
      </c>
      <c r="C24" s="28">
        <f>B24</f>
        <v/>
      </c>
      <c r="E24" s="17" t="inlineStr">
        <is>
          <t xml:space="preserve">PFG Insurance </t>
        </is>
      </c>
      <c r="F24" s="77" t="n">
        <v>24353.23</v>
      </c>
      <c r="G24" s="73" t="n"/>
      <c r="H24" t="inlineStr">
        <is>
          <t>Endorsement</t>
        </is>
      </c>
    </row>
    <row r="25">
      <c r="B25" s="76" t="n">
        <v>45747</v>
      </c>
      <c r="C25" s="28">
        <f>B25</f>
        <v/>
      </c>
      <c r="E25" s="17" t="inlineStr">
        <is>
          <t>Expense Distribution</t>
        </is>
      </c>
      <c r="F25" s="77" t="n">
        <v>-2029.44</v>
      </c>
      <c r="G25" s="73" t="n"/>
    </row>
    <row r="26">
      <c r="B26" s="76" t="n">
        <v>45777</v>
      </c>
      <c r="C26" s="28">
        <f>B26</f>
        <v/>
      </c>
      <c r="E26" s="17" t="inlineStr">
        <is>
          <t>Expense Distribution</t>
        </is>
      </c>
      <c r="F26" s="77" t="n">
        <v>-2029.44</v>
      </c>
    </row>
    <row r="27">
      <c r="B27" s="76" t="n">
        <v>45808</v>
      </c>
      <c r="C27" s="28" t="n">
        <v>45778</v>
      </c>
      <c r="E27" s="17" t="inlineStr">
        <is>
          <t>Expense Distribution</t>
        </is>
      </c>
      <c r="F27" s="77" t="n">
        <v>-2029.44</v>
      </c>
    </row>
    <row r="28">
      <c r="B28" s="76" t="n">
        <v>45808</v>
      </c>
      <c r="C28" s="28" t="n">
        <v>45778</v>
      </c>
      <c r="D28" s="17" t="inlineStr">
        <is>
          <t>Insurance Reimbursement</t>
        </is>
      </c>
      <c r="E28" s="17" t="n"/>
      <c r="F28" s="77" t="n">
        <v>-326.7</v>
      </c>
    </row>
    <row r="29">
      <c r="B29" s="76" t="n">
        <v>45838</v>
      </c>
      <c r="C29" s="28" t="n">
        <v>45809</v>
      </c>
      <c r="E29" s="17" t="inlineStr">
        <is>
          <t>Expense Distribution</t>
        </is>
      </c>
      <c r="F29" s="77" t="n">
        <v>-2029.44</v>
      </c>
    </row>
    <row r="30">
      <c r="B30" s="76" t="n">
        <v>45869</v>
      </c>
      <c r="C30" s="28" t="n">
        <v>45839</v>
      </c>
      <c r="E30" s="17" t="inlineStr">
        <is>
          <t>Expense Distribution</t>
        </is>
      </c>
      <c r="F30" s="77" t="n">
        <v>-2029.44</v>
      </c>
    </row>
    <row r="31">
      <c r="B31" s="76" t="n">
        <v>45897</v>
      </c>
      <c r="C31" s="28" t="n">
        <v>45870</v>
      </c>
      <c r="E31" s="17" t="inlineStr">
        <is>
          <t>Expense Distribution</t>
        </is>
      </c>
      <c r="F31" s="77" t="n">
        <v>-2029.44</v>
      </c>
    </row>
    <row r="32">
      <c r="B32" s="76" t="n">
        <v>45929</v>
      </c>
      <c r="C32" s="28" t="n">
        <v>45901</v>
      </c>
      <c r="E32" s="17" t="inlineStr">
        <is>
          <t>Expense Distribution</t>
        </is>
      </c>
      <c r="F32" s="77" t="n">
        <v>-2029.44</v>
      </c>
    </row>
    <row r="33">
      <c r="B33" s="76" t="n"/>
      <c r="C33" s="28" t="n"/>
      <c r="E33" s="17" t="inlineStr">
        <is>
          <t>Expense Distribution</t>
        </is>
      </c>
      <c r="F33" s="77" t="n">
        <v>0</v>
      </c>
    </row>
    <row r="34">
      <c r="B34" s="76" t="n"/>
      <c r="C34" s="28" t="n"/>
      <c r="E34" s="17" t="inlineStr">
        <is>
          <t>Expense Distribution</t>
        </is>
      </c>
      <c r="F34" s="77" t="n">
        <v>0</v>
      </c>
    </row>
    <row r="35">
      <c r="B35" s="76" t="n"/>
      <c r="C35" s="28" t="n"/>
      <c r="E35" s="17" t="inlineStr">
        <is>
          <t>Expense Distribution</t>
        </is>
      </c>
      <c r="F35" s="77" t="n">
        <v>0</v>
      </c>
    </row>
    <row r="36">
      <c r="B36" s="76" t="n"/>
      <c r="C36" s="28" t="n"/>
      <c r="E36" s="17" t="inlineStr">
        <is>
          <t>Expense Distribution</t>
        </is>
      </c>
      <c r="F36" s="77" t="n">
        <v>0</v>
      </c>
    </row>
    <row r="37">
      <c r="B37" s="76" t="n"/>
      <c r="C37" s="28" t="n"/>
      <c r="E37" s="17" t="inlineStr">
        <is>
          <t>Expense Distribution</t>
        </is>
      </c>
      <c r="F37" s="77" t="n">
        <v>0</v>
      </c>
    </row>
    <row r="38">
      <c r="B38" s="76" t="n"/>
      <c r="C38" s="28" t="n"/>
      <c r="E38" s="17" t="n"/>
      <c r="F38" s="77" t="n"/>
    </row>
    <row r="39">
      <c r="B39" s="76" t="n"/>
      <c r="C39" s="28" t="n"/>
      <c r="E39" s="17" t="inlineStr">
        <is>
          <t>Left to Distribute</t>
        </is>
      </c>
      <c r="F39" s="77" t="n"/>
      <c r="G39" s="78">
        <f>SUM(F24:F37)</f>
        <v/>
      </c>
    </row>
    <row r="40">
      <c r="B40" s="76" t="n"/>
      <c r="C40" s="28" t="n"/>
      <c r="E40" s="17" t="n"/>
      <c r="F40" s="77" t="n"/>
      <c r="G40" s="78" t="n"/>
    </row>
    <row r="41">
      <c r="B41" s="76" t="n"/>
      <c r="C41" s="28" t="n"/>
      <c r="E41" s="17" t="n"/>
      <c r="F41" s="77" t="n"/>
      <c r="G41" s="78" t="n"/>
    </row>
    <row r="42">
      <c r="B42" s="76" t="n"/>
      <c r="C42" s="28" t="n"/>
      <c r="E42" s="17" t="n"/>
      <c r="F42" s="77" t="n"/>
      <c r="G42" s="78" t="n"/>
    </row>
    <row r="43">
      <c r="B43" s="76" t="n"/>
      <c r="C43" s="28" t="n"/>
      <c r="E43" s="17" t="inlineStr">
        <is>
          <t>P1 Finance Holding</t>
        </is>
      </c>
      <c r="F43" s="77" t="n"/>
      <c r="G43" s="78" t="n">
        <v>18401.72</v>
      </c>
    </row>
    <row r="44">
      <c r="B44" s="76" t="n"/>
      <c r="C44" s="28" t="n"/>
      <c r="E44" s="17" t="inlineStr">
        <is>
          <t>Venice Insurance Reimbursment</t>
        </is>
      </c>
      <c r="F44" s="77" t="n"/>
      <c r="G44" s="78" t="n">
        <v>2965.68</v>
      </c>
    </row>
    <row r="45">
      <c r="B45" s="76" t="n">
        <v>45894</v>
      </c>
      <c r="C45" s="28" t="n">
        <v>45870</v>
      </c>
      <c r="E45" s="17" t="inlineStr">
        <is>
          <t>Property First G</t>
        </is>
      </c>
      <c r="F45" s="77" t="n"/>
      <c r="G45" s="78" t="n">
        <v>8283.25</v>
      </c>
    </row>
    <row r="46">
      <c r="B46" s="76" t="n">
        <v>45900</v>
      </c>
      <c r="C46" s="28" t="n">
        <v>45870</v>
      </c>
      <c r="E46" s="17" t="inlineStr">
        <is>
          <t>Property First G</t>
        </is>
      </c>
      <c r="F46" s="77" t="n"/>
      <c r="G46" s="78" t="n">
        <v>938.5</v>
      </c>
    </row>
    <row r="47">
      <c r="B47" s="76" t="n"/>
      <c r="C47" s="76" t="n"/>
      <c r="E47" s="17" t="n"/>
      <c r="F47" s="77" t="n"/>
      <c r="G47" s="78" t="n"/>
    </row>
    <row r="48" ht="13.5" customFormat="1" customHeight="1" s="73" thickBot="1"/>
    <row r="49" ht="13.5" customFormat="1" customHeight="1" s="73" thickTop="1">
      <c r="B49" s="23" t="n"/>
      <c r="C49" s="23" t="n"/>
      <c r="D49" s="23" t="n"/>
      <c r="E49" s="23" t="inlineStr">
        <is>
          <t>Variance</t>
        </is>
      </c>
      <c r="F49" s="23" t="n"/>
      <c r="G49" s="79">
        <f>ROUND(G5-SUM(G9:G48),2)</f>
        <v/>
      </c>
      <c r="H49">
        <f>IF(G49=0,"","Out of Balance")</f>
        <v/>
      </c>
    </row>
  </sheetData>
  <mergeCells count="3">
    <mergeCell ref="A3:G3"/>
    <mergeCell ref="A2:G2"/>
    <mergeCell ref="A1:G1"/>
  </mergeCells>
  <conditionalFormatting sqref="H5">
    <cfRule type="expression" priority="1" dxfId="0">
      <formula>$G$49&lt;&gt;0</formula>
    </cfRule>
  </conditionalFormatting>
  <conditionalFormatting sqref="H49">
    <cfRule type="expression" priority="2" dxfId="0">
      <formula>$G$49&lt;&gt;0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235" zoomScaleNormal="235" workbookViewId="0">
      <pane ySplit="7" topLeftCell="A14" activePane="bottomLeft" state="frozen"/>
      <selection pane="bottomLeft" activeCell="F19" sqref="F19"/>
    </sheetView>
  </sheetViews>
  <sheetFormatPr baseColWidth="8" defaultRowHeight="12.75"/>
  <cols>
    <col width="3.5703125" customWidth="1" style="50" min="1" max="1"/>
    <col width="1.5703125" customWidth="1" style="50" min="4" max="4"/>
    <col width="23.28515625" customWidth="1" style="50" min="5" max="5"/>
    <col width="15.85546875" customWidth="1" style="50" min="6" max="6"/>
    <col width="13.7109375" customWidth="1" style="50" min="7" max="7"/>
    <col width="43.28515625" bestFit="1" customWidth="1" style="50" min="8" max="8"/>
    <col width="13.28515625" bestFit="1" customWidth="1" style="73" min="9" max="9"/>
    <col width="14.140625" bestFit="1" customWidth="1" style="50" min="10" max="10"/>
    <col width="20.140625" customWidth="1" style="50" min="11" max="11"/>
  </cols>
  <sheetData>
    <row r="1" ht="15.75" customHeight="1" s="50">
      <c r="A1" s="45">
        <f>Cover!A1</f>
        <v/>
      </c>
      <c r="H1" s="21" t="n"/>
      <c r="I1" s="21" t="n"/>
    </row>
    <row r="2" ht="15.75" customHeight="1" s="50">
      <c r="A2" s="74">
        <f>Cover!B2</f>
        <v/>
      </c>
      <c r="H2" s="21" t="n"/>
      <c r="I2" s="21" t="n"/>
    </row>
    <row r="3">
      <c r="A3" s="47" t="inlineStr">
        <is>
          <t>1350-0002  Pre-Paid Association Fees</t>
        </is>
      </c>
      <c r="H3" s="22" t="n"/>
      <c r="I3" s="22" t="n"/>
    </row>
    <row r="5">
      <c r="E5" t="inlineStr">
        <is>
          <t>Account Balance</t>
        </is>
      </c>
      <c r="G5" s="73">
        <f>INDEX('Yardi Report'!A:E,MATCH(LEFT(A3,9),'Yardi Report'!A:A,0),3)</f>
        <v/>
      </c>
      <c r="H5">
        <f>IF(G25=0,"","Out of Balance")</f>
        <v/>
      </c>
    </row>
    <row r="7" ht="13.5" customHeight="1" s="50" thickBot="1">
      <c r="B7" s="18" t="inlineStr">
        <is>
          <t>Date</t>
        </is>
      </c>
      <c r="C7" s="18" t="inlineStr">
        <is>
          <t>Period</t>
        </is>
      </c>
      <c r="D7" s="18" t="n"/>
      <c r="E7" s="18" t="inlineStr">
        <is>
          <t>G/L Description</t>
        </is>
      </c>
      <c r="F7" s="18" t="n"/>
      <c r="G7" s="75" t="inlineStr">
        <is>
          <t>Amount</t>
        </is>
      </c>
      <c r="H7" s="25" t="inlineStr">
        <is>
          <t>Notes</t>
        </is>
      </c>
    </row>
    <row r="8" ht="14.25" customHeight="1" s="50" thickBot="1" thickTop="1">
      <c r="G8" s="73" t="n"/>
    </row>
    <row r="9" ht="31.5" customHeight="1" s="50">
      <c r="B9" s="76" t="n">
        <v>45730</v>
      </c>
      <c r="C9" s="28">
        <f>B9</f>
        <v/>
      </c>
      <c r="E9" s="31" t="inlineStr">
        <is>
          <t xml:space="preserve"> Warm Springs Commercial Property Owners Association Inc 2025 Assoc dues</t>
        </is>
      </c>
      <c r="F9" s="77" t="n">
        <v>2766</v>
      </c>
      <c r="G9" s="73" t="n"/>
    </row>
    <row r="10">
      <c r="B10" s="76" t="n">
        <v>45684</v>
      </c>
      <c r="C10" s="28">
        <f>B10</f>
        <v/>
      </c>
      <c r="E10" s="17" t="inlineStr">
        <is>
          <t>Expense Distribution</t>
        </is>
      </c>
      <c r="F10" s="77" t="n">
        <v>-230.5</v>
      </c>
      <c r="H10" s="37" t="n"/>
    </row>
    <row r="11">
      <c r="B11" s="76" t="n">
        <v>45716</v>
      </c>
      <c r="C11" s="28">
        <f>B11</f>
        <v/>
      </c>
      <c r="E11" s="17" t="inlineStr">
        <is>
          <t>Expense Distribution</t>
        </is>
      </c>
      <c r="F11" s="77" t="n">
        <v>-230.5</v>
      </c>
    </row>
    <row r="12">
      <c r="B12" s="76" t="n">
        <v>45747</v>
      </c>
      <c r="C12" s="28">
        <f>B12</f>
        <v/>
      </c>
      <c r="E12" s="17" t="inlineStr">
        <is>
          <t>Expense Distribution</t>
        </is>
      </c>
      <c r="F12" s="77" t="n">
        <v>-230.5</v>
      </c>
      <c r="H12" s="78" t="n"/>
    </row>
    <row r="13">
      <c r="B13" s="76" t="n">
        <v>45777</v>
      </c>
      <c r="C13" s="28">
        <f>B13</f>
        <v/>
      </c>
      <c r="E13" s="17" t="inlineStr">
        <is>
          <t>Expense Distribution</t>
        </is>
      </c>
      <c r="F13" s="77" t="n">
        <v>-230.5</v>
      </c>
    </row>
    <row r="14">
      <c r="B14" s="76" t="n">
        <v>45808</v>
      </c>
      <c r="C14" s="28">
        <f>B14</f>
        <v/>
      </c>
      <c r="E14" s="17" t="inlineStr">
        <is>
          <t>Expense Distribution</t>
        </is>
      </c>
      <c r="F14" s="77" t="n">
        <v>-230.5</v>
      </c>
    </row>
    <row r="15">
      <c r="B15" s="76" t="n">
        <v>45838</v>
      </c>
      <c r="C15" s="28" t="n">
        <v>45809</v>
      </c>
      <c r="E15" s="17" t="inlineStr">
        <is>
          <t>Expense Distribution</t>
        </is>
      </c>
      <c r="F15" s="77" t="n">
        <v>-230.5</v>
      </c>
    </row>
    <row r="16">
      <c r="B16" s="76" t="n">
        <v>45869</v>
      </c>
      <c r="C16" s="28" t="n">
        <v>45839</v>
      </c>
      <c r="E16" s="17" t="inlineStr">
        <is>
          <t>Expense Distribution</t>
        </is>
      </c>
      <c r="F16" s="77" t="n">
        <v>-230.5</v>
      </c>
    </row>
    <row r="17">
      <c r="B17" s="76" t="n">
        <v>45900</v>
      </c>
      <c r="C17" s="28" t="n">
        <v>45870</v>
      </c>
      <c r="E17" s="17" t="inlineStr">
        <is>
          <t>Expense Distribution</t>
        </is>
      </c>
      <c r="F17" s="77" t="n">
        <v>-230.5</v>
      </c>
    </row>
    <row r="18">
      <c r="B18" s="76" t="n">
        <v>45929</v>
      </c>
      <c r="C18" s="28" t="n">
        <v>45901</v>
      </c>
      <c r="E18" s="17" t="inlineStr">
        <is>
          <t>Expense Distribution</t>
        </is>
      </c>
      <c r="F18" s="77" t="n">
        <v>-230.5</v>
      </c>
    </row>
    <row r="19">
      <c r="B19" s="76" t="n"/>
      <c r="C19" s="28" t="n"/>
      <c r="E19" s="17" t="inlineStr">
        <is>
          <t>Expense Distribution</t>
        </is>
      </c>
      <c r="F19" s="77" t="n"/>
    </row>
    <row r="20">
      <c r="B20" s="76" t="n"/>
      <c r="C20" s="28" t="n"/>
      <c r="E20" s="17" t="inlineStr">
        <is>
          <t>Expense Distribution</t>
        </is>
      </c>
      <c r="F20" s="77" t="n"/>
    </row>
    <row r="21">
      <c r="B21" s="76" t="n"/>
      <c r="C21" s="28" t="n"/>
      <c r="E21" s="17" t="inlineStr">
        <is>
          <t>Expense Distribution</t>
        </is>
      </c>
      <c r="F21" s="77" t="n"/>
    </row>
    <row r="22">
      <c r="B22" s="76" t="n"/>
      <c r="C22" s="28" t="n"/>
      <c r="E22" s="17" t="inlineStr">
        <is>
          <t>Left to Distribute</t>
        </is>
      </c>
      <c r="F22" s="77" t="n"/>
      <c r="G22" s="78">
        <f>SUM(F9:F21)</f>
        <v/>
      </c>
    </row>
    <row r="23">
      <c r="B23" s="76" t="n"/>
      <c r="C23" s="76" t="n"/>
      <c r="E23" s="17" t="n"/>
      <c r="F23" s="77" t="n"/>
      <c r="G23" s="78" t="n"/>
    </row>
    <row r="24" ht="13.5" customFormat="1" customHeight="1" s="73" thickBot="1"/>
    <row r="25" ht="13.5" customFormat="1" customHeight="1" s="73" thickTop="1">
      <c r="B25" s="23" t="n"/>
      <c r="C25" s="23" t="n"/>
      <c r="D25" s="23" t="n"/>
      <c r="E25" s="23" t="inlineStr">
        <is>
          <t>Variance</t>
        </is>
      </c>
      <c r="F25" s="23" t="n"/>
      <c r="G25" s="79">
        <f>ROUND(G5-SUM(G9:G24),2)</f>
        <v/>
      </c>
      <c r="H25">
        <f>IF(G25=0,"","Out of Balance")</f>
        <v/>
      </c>
    </row>
  </sheetData>
  <mergeCells count="3">
    <mergeCell ref="A3:G3"/>
    <mergeCell ref="A2:G2"/>
    <mergeCell ref="A1:G1"/>
  </mergeCells>
  <conditionalFormatting sqref="H5">
    <cfRule type="expression" priority="1" dxfId="0">
      <formula>$G$25&lt;&gt;0</formula>
    </cfRule>
  </conditionalFormatting>
  <conditionalFormatting sqref="H25">
    <cfRule type="expression" priority="2" dxfId="0">
      <formula>$G$25&lt;&gt;0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opLeftCell="C1" zoomScale="205" zoomScaleNormal="205" workbookViewId="0">
      <pane ySplit="7" topLeftCell="A8" activePane="bottomLeft" state="frozen"/>
      <selection pane="bottomLeft" activeCell="G10" sqref="G10"/>
    </sheetView>
  </sheetViews>
  <sheetFormatPr baseColWidth="8" defaultRowHeight="12.75"/>
  <cols>
    <col width="3.5703125" customWidth="1" style="50" min="1" max="1"/>
    <col width="1.5703125" customWidth="1" style="50" min="4" max="4"/>
    <col width="18.28515625" customWidth="1" style="50" min="5" max="5"/>
    <col width="15.85546875" customWidth="1" style="50" min="6" max="6"/>
    <col width="13.7109375" customWidth="1" style="50" min="7" max="7"/>
    <col width="43.28515625" bestFit="1" customWidth="1" style="50" min="8" max="8"/>
    <col width="13.28515625" bestFit="1" customWidth="1" style="73" min="9" max="9"/>
    <col width="14.140625" bestFit="1" customWidth="1" style="50" min="10" max="10"/>
    <col width="20.140625" customWidth="1" style="50" min="11" max="11"/>
  </cols>
  <sheetData>
    <row r="1" ht="15.75" customHeight="1" s="50">
      <c r="A1" s="45">
        <f>Cover!A1</f>
        <v/>
      </c>
      <c r="H1" s="21" t="n"/>
      <c r="I1" s="21" t="n"/>
    </row>
    <row r="2" ht="15.75" customHeight="1" s="50">
      <c r="A2" s="74">
        <f>Cover!B2</f>
        <v/>
      </c>
      <c r="H2" s="21" t="n"/>
      <c r="I2" s="21" t="n"/>
    </row>
    <row r="3">
      <c r="A3" s="47" t="inlineStr">
        <is>
          <t>1350-9000  Pre-Paid Expenses - Other</t>
        </is>
      </c>
      <c r="H3" s="22" t="n"/>
      <c r="I3" s="22" t="n"/>
    </row>
    <row r="5">
      <c r="E5" t="inlineStr">
        <is>
          <t>Account Balance</t>
        </is>
      </c>
      <c r="G5" s="73">
        <f>INDEX('Yardi Report'!A:E,MATCH(LEFT(A3,9),'Yardi Report'!A:A,0),3)</f>
        <v/>
      </c>
      <c r="H5">
        <f>IF(G25=0,"","Out of Balance")</f>
        <v/>
      </c>
    </row>
    <row r="7" ht="13.5" customHeight="1" s="50" thickBot="1">
      <c r="B7" s="18" t="inlineStr">
        <is>
          <t>Date</t>
        </is>
      </c>
      <c r="C7" s="18" t="inlineStr">
        <is>
          <t>Period</t>
        </is>
      </c>
      <c r="D7" s="18" t="n"/>
      <c r="E7" s="18" t="inlineStr">
        <is>
          <t>G/L Description</t>
        </is>
      </c>
      <c r="F7" s="18" t="n"/>
      <c r="G7" s="75" t="inlineStr">
        <is>
          <t>Amount</t>
        </is>
      </c>
      <c r="H7" s="25" t="inlineStr">
        <is>
          <t>Notes</t>
        </is>
      </c>
    </row>
    <row r="8" ht="13.5" customHeight="1" s="50" thickTop="1">
      <c r="G8" s="73" t="n"/>
    </row>
    <row r="9">
      <c r="B9" s="76" t="n">
        <v>45068</v>
      </c>
      <c r="C9" s="28" t="n"/>
      <c r="E9" s="17" t="n"/>
      <c r="F9" s="77" t="n"/>
      <c r="G9" s="73" t="n"/>
    </row>
    <row r="10">
      <c r="B10" s="76" t="n">
        <v>45017</v>
      </c>
      <c r="C10" s="28" t="n"/>
      <c r="E10" s="17" t="n"/>
      <c r="F10" s="77" t="n"/>
    </row>
    <row r="11">
      <c r="B11" s="76" t="n"/>
      <c r="C11" s="28" t="n"/>
      <c r="E11" s="17" t="n"/>
      <c r="F11" s="77" t="n"/>
    </row>
    <row r="12">
      <c r="B12" s="76" t="n">
        <v>45107</v>
      </c>
      <c r="C12" s="28" t="n"/>
      <c r="E12" s="17" t="n"/>
      <c r="F12" s="77" t="n"/>
    </row>
    <row r="13">
      <c r="B13" s="76" t="n">
        <v>45137</v>
      </c>
      <c r="C13" s="28" t="n"/>
      <c r="E13" s="17" t="n"/>
      <c r="F13" s="77" t="n"/>
    </row>
    <row r="14">
      <c r="B14" s="76" t="n">
        <v>45168</v>
      </c>
      <c r="C14" s="28" t="n"/>
      <c r="E14" s="17" t="n"/>
      <c r="F14" s="77" t="n"/>
    </row>
    <row r="15">
      <c r="B15" s="76" t="n">
        <v>45199</v>
      </c>
      <c r="C15" s="28" t="n"/>
      <c r="E15" s="17" t="n"/>
      <c r="F15" s="77" t="n"/>
    </row>
    <row r="16">
      <c r="B16" s="76" t="n">
        <v>45229</v>
      </c>
      <c r="C16" s="28" t="n"/>
      <c r="E16" s="17" t="n"/>
      <c r="F16" s="77" t="n"/>
    </row>
    <row r="17">
      <c r="B17" s="76" t="n">
        <v>45260</v>
      </c>
      <c r="C17" s="28" t="n"/>
      <c r="E17" s="17" t="n"/>
      <c r="F17" s="77" t="n"/>
    </row>
    <row r="18">
      <c r="B18" s="76" t="n">
        <v>45290</v>
      </c>
      <c r="C18" s="28" t="n"/>
      <c r="E18" s="17" t="n"/>
      <c r="F18" s="77" t="n"/>
    </row>
    <row r="19">
      <c r="B19" s="76" t="n">
        <v>45321</v>
      </c>
      <c r="C19" s="28" t="n"/>
      <c r="E19" s="17" t="n"/>
      <c r="F19" s="77" t="n"/>
    </row>
    <row r="20">
      <c r="B20" s="76" t="n">
        <v>45351</v>
      </c>
      <c r="C20" s="28" t="n"/>
      <c r="E20" s="17" t="n"/>
      <c r="F20" s="77" t="n"/>
    </row>
    <row r="21">
      <c r="B21" s="76" t="n">
        <v>45381</v>
      </c>
      <c r="C21" s="28" t="n"/>
      <c r="E21" s="17" t="n"/>
      <c r="F21" s="77" t="n"/>
    </row>
    <row r="22">
      <c r="B22" s="76" t="n"/>
      <c r="C22" s="28" t="n"/>
      <c r="E22" s="17" t="n"/>
      <c r="F22" s="77" t="n"/>
      <c r="G22" s="78" t="n"/>
    </row>
    <row r="23">
      <c r="B23" s="76" t="n"/>
      <c r="C23" s="76" t="n"/>
      <c r="E23" s="17" t="n"/>
      <c r="F23" s="77" t="n"/>
      <c r="G23" s="78" t="n"/>
    </row>
    <row r="24" ht="13.5" customFormat="1" customHeight="1" s="73" thickBot="1"/>
    <row r="25" ht="13.5" customFormat="1" customHeight="1" s="73" thickTop="1">
      <c r="B25" s="23" t="n"/>
      <c r="C25" s="23" t="n"/>
      <c r="D25" s="23" t="n"/>
      <c r="E25" s="23" t="inlineStr">
        <is>
          <t>Variance</t>
        </is>
      </c>
      <c r="F25" s="23" t="n"/>
      <c r="G25" s="79">
        <f>ROUND(G5-SUM(G9:G24),2)</f>
        <v/>
      </c>
      <c r="H25">
        <f>IF(G25=0,"","Out of Balance")</f>
        <v/>
      </c>
    </row>
  </sheetData>
  <mergeCells count="3">
    <mergeCell ref="A3:G3"/>
    <mergeCell ref="A2:G2"/>
    <mergeCell ref="A1:G1"/>
  </mergeCells>
  <conditionalFormatting sqref="H5">
    <cfRule type="expression" priority="1" dxfId="0">
      <formula>$G$25&lt;&gt;0</formula>
    </cfRule>
  </conditionalFormatting>
  <conditionalFormatting sqref="H25">
    <cfRule type="expression" priority="2" dxfId="0">
      <formula>$G$25&lt;&gt;0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zoomScale="205" zoomScaleNormal="205" workbookViewId="0">
      <pane ySplit="7" topLeftCell="A44" activePane="bottomLeft" state="frozen"/>
      <selection pane="bottomLeft" activeCell="G50" sqref="G50"/>
    </sheetView>
  </sheetViews>
  <sheetFormatPr baseColWidth="8" defaultRowHeight="12.75"/>
  <cols>
    <col width="3.5703125" customWidth="1" style="50" min="1" max="1"/>
    <col width="1.5703125" customWidth="1" style="50" min="4" max="4"/>
    <col width="25.28515625" bestFit="1" customWidth="1" style="50" min="5" max="5"/>
    <col width="15.85546875" customWidth="1" style="50" min="6" max="6"/>
    <col width="13.7109375" customWidth="1" style="50" min="7" max="7"/>
    <col width="33" customWidth="1" style="50" min="8" max="8"/>
    <col width="13.28515625" bestFit="1" customWidth="1" style="73" min="9" max="9"/>
    <col width="14.140625" bestFit="1" customWidth="1" style="50" min="10" max="10"/>
    <col width="20.140625" customWidth="1" style="50" min="11" max="11"/>
  </cols>
  <sheetData>
    <row r="1" ht="15.75" customHeight="1" s="50">
      <c r="A1" s="45">
        <f>Cover!A1</f>
        <v/>
      </c>
      <c r="H1" s="21" t="n"/>
      <c r="I1" s="21" t="n"/>
    </row>
    <row r="2" ht="15.75" customHeight="1" s="50">
      <c r="A2" s="74">
        <f>Cover!B2</f>
        <v/>
      </c>
      <c r="H2" s="21" t="n"/>
      <c r="I2" s="21" t="n"/>
    </row>
    <row r="3">
      <c r="A3" s="47" t="inlineStr">
        <is>
          <t>2305-0000  Real Estate Tax Accrual</t>
        </is>
      </c>
      <c r="H3" s="22" t="n"/>
      <c r="I3" s="22" t="n"/>
    </row>
    <row r="5">
      <c r="E5" t="inlineStr">
        <is>
          <t>Account Balance</t>
        </is>
      </c>
      <c r="G5" s="73">
        <f>-INDEX('Yardi Report'!A:E,MATCH(LEFT(A3,9),'Yardi Report'!A:A,0),3)</f>
        <v/>
      </c>
      <c r="H5">
        <f>IF(G61=0,"","Out of Balance")</f>
        <v/>
      </c>
    </row>
    <row r="7" ht="13.5" customHeight="1" s="50" thickBot="1">
      <c r="B7" s="18" t="inlineStr">
        <is>
          <t>Date</t>
        </is>
      </c>
      <c r="C7" s="18" t="n"/>
      <c r="D7" s="18" t="n"/>
      <c r="E7" s="18" t="inlineStr">
        <is>
          <t>G/L Description</t>
        </is>
      </c>
      <c r="F7" s="18" t="n"/>
      <c r="G7" s="75" t="inlineStr">
        <is>
          <t>Amount</t>
        </is>
      </c>
      <c r="H7" s="25" t="inlineStr">
        <is>
          <t>Notes</t>
        </is>
      </c>
    </row>
    <row r="8" ht="13.5" customHeight="1" s="50" thickTop="1">
      <c r="G8" s="73" t="n"/>
      <c r="J8" t="n">
        <v>760.58</v>
      </c>
    </row>
    <row r="9">
      <c r="B9" s="76" t="n">
        <v>44978</v>
      </c>
      <c r="C9" s="28" t="n">
        <v>44958</v>
      </c>
      <c r="E9" s="17" t="inlineStr">
        <is>
          <t xml:space="preserve"> 2023 Ad Valorem Tax Proration</t>
        </is>
      </c>
      <c r="F9" s="77" t="n">
        <v>-5432.57</v>
      </c>
      <c r="G9" s="73" t="n"/>
      <c r="J9">
        <f>+J8*12</f>
        <v/>
      </c>
    </row>
    <row r="10">
      <c r="B10" s="76" t="n">
        <v>44978</v>
      </c>
      <c r="C10" s="28" t="n">
        <v>44958</v>
      </c>
      <c r="E10" s="17" t="inlineStr">
        <is>
          <t xml:space="preserve"> 2023 Non-Ad Valorem Tax Proration</t>
        </is>
      </c>
      <c r="F10" s="77" t="n">
        <v>19.06</v>
      </c>
      <c r="G10" s="73" t="n"/>
    </row>
    <row r="11">
      <c r="B11" s="76" t="n">
        <v>44985</v>
      </c>
      <c r="C11" s="28" t="n">
        <v>44958</v>
      </c>
      <c r="E11" s="17" t="inlineStr">
        <is>
          <t xml:space="preserve"> 7 days RE Tax expense</t>
        </is>
      </c>
      <c r="F11" s="77" t="n">
        <v>-731.29</v>
      </c>
      <c r="G11" s="73" t="n"/>
    </row>
    <row r="12">
      <c r="B12" s="76" t="n">
        <v>45009</v>
      </c>
      <c r="C12" s="28" t="n">
        <v>44986</v>
      </c>
      <c r="E12" s="17" t="inlineStr">
        <is>
          <t xml:space="preserve"> Monthly RE Tax accrual</t>
        </is>
      </c>
      <c r="F12" s="77" t="n">
        <v>-3177.71</v>
      </c>
      <c r="G12" s="73" t="n"/>
    </row>
    <row r="13">
      <c r="B13" s="76" t="n">
        <v>45041</v>
      </c>
      <c r="C13" s="28" t="n">
        <v>45017</v>
      </c>
      <c r="E13" s="17" t="inlineStr">
        <is>
          <t xml:space="preserve"> Monthly RE Tax accrual</t>
        </is>
      </c>
      <c r="F13" s="77" t="n">
        <v>-3177.71</v>
      </c>
      <c r="G13" s="73" t="n"/>
    </row>
    <row r="14">
      <c r="B14" s="76" t="n">
        <v>45072</v>
      </c>
      <c r="C14" s="28" t="n">
        <v>45047</v>
      </c>
      <c r="E14" s="17" t="inlineStr">
        <is>
          <t xml:space="preserve"> Monthly RE Tax accrual</t>
        </is>
      </c>
      <c r="F14" s="77" t="n">
        <v>-3177.71</v>
      </c>
      <c r="G14" s="73" t="n"/>
    </row>
    <row r="15">
      <c r="B15" s="76" t="n">
        <v>45103</v>
      </c>
      <c r="C15" s="28" t="n">
        <v>45078</v>
      </c>
      <c r="E15" s="17" t="inlineStr">
        <is>
          <t xml:space="preserve"> Monthly RE Tax accrual</t>
        </is>
      </c>
      <c r="F15" s="77" t="n">
        <v>-3177.71</v>
      </c>
      <c r="G15" s="73" t="n"/>
    </row>
    <row r="16">
      <c r="B16" s="76" t="n">
        <v>45138</v>
      </c>
      <c r="C16" s="28" t="n">
        <v>45108</v>
      </c>
      <c r="E16" s="17" t="inlineStr">
        <is>
          <t xml:space="preserve"> Monthly RE Tax accrual</t>
        </is>
      </c>
      <c r="F16" s="77" t="n">
        <v>-3177.71</v>
      </c>
      <c r="G16" s="73" t="n"/>
    </row>
    <row r="17">
      <c r="B17" s="76" t="n">
        <v>45163</v>
      </c>
      <c r="C17" s="28" t="n">
        <v>45139</v>
      </c>
      <c r="E17" s="17" t="inlineStr">
        <is>
          <t xml:space="preserve"> Monthly RE Tax accrual</t>
        </is>
      </c>
      <c r="F17" s="77" t="n">
        <v>-3177.71</v>
      </c>
      <c r="G17" s="73" t="n"/>
    </row>
    <row r="18">
      <c r="B18" s="76" t="n">
        <v>45198</v>
      </c>
      <c r="C18" s="28" t="n">
        <v>45170</v>
      </c>
      <c r="E18" s="17" t="inlineStr">
        <is>
          <t xml:space="preserve"> Monthly RE Tax accrual</t>
        </is>
      </c>
      <c r="F18" s="77" t="n">
        <v>-3177.71</v>
      </c>
      <c r="G18" s="73" t="n"/>
    </row>
    <row r="19">
      <c r="B19" s="76" t="n">
        <v>45226</v>
      </c>
      <c r="C19" s="28" t="n">
        <v>45200</v>
      </c>
      <c r="E19" s="17" t="inlineStr">
        <is>
          <t xml:space="preserve"> Monthly RE Tax accrual</t>
        </is>
      </c>
      <c r="F19" s="77" t="n">
        <v>-3177.71</v>
      </c>
      <c r="J19" t="n">
        <v>560.09</v>
      </c>
    </row>
    <row r="20">
      <c r="B20" s="76" t="n">
        <v>45260</v>
      </c>
      <c r="C20" s="28" t="n">
        <v>45231</v>
      </c>
      <c r="E20" s="17" t="inlineStr">
        <is>
          <t xml:space="preserve"> Monthly RE Tax accrual</t>
        </is>
      </c>
      <c r="F20" s="77" t="n">
        <v>-3177.71</v>
      </c>
      <c r="J20">
        <f>+J19*12</f>
        <v/>
      </c>
    </row>
    <row r="21">
      <c r="B21" s="76" t="n">
        <v>45287</v>
      </c>
      <c r="C21" s="28" t="n">
        <v>45261</v>
      </c>
      <c r="E21" s="17" t="inlineStr">
        <is>
          <t xml:space="preserve"> Monthly RE Tax accrual</t>
        </is>
      </c>
      <c r="F21" s="77" t="n">
        <v>-3177.71</v>
      </c>
    </row>
    <row r="22">
      <c r="B22" s="76" t="n">
        <v>45237</v>
      </c>
      <c r="C22" s="28" t="n">
        <v>45231</v>
      </c>
      <c r="E22" s="17" t="inlineStr">
        <is>
          <t>Tax Payment</t>
        </is>
      </c>
      <c r="F22" s="77" t="n">
        <v>44256.12</v>
      </c>
      <c r="H22" s="72" t="n"/>
    </row>
    <row r="23">
      <c r="B23" s="76" t="n"/>
      <c r="C23" s="28" t="n"/>
      <c r="E23" s="17" t="inlineStr">
        <is>
          <t>Tax Payment</t>
        </is>
      </c>
      <c r="F23" s="77" t="n"/>
      <c r="H23" s="72" t="n"/>
    </row>
    <row r="24">
      <c r="B24" s="76" t="n"/>
      <c r="C24" s="76" t="n"/>
      <c r="E24" s="17" t="inlineStr">
        <is>
          <t>(Over)/Under Accrual</t>
        </is>
      </c>
      <c r="F24" s="77" t="n"/>
      <c r="G24" s="78">
        <f>SUM(F9:F23)</f>
        <v/>
      </c>
      <c r="H24" s="72" t="n"/>
    </row>
    <row r="25">
      <c r="B25" s="76" t="n"/>
      <c r="C25" s="76" t="n"/>
      <c r="E25" s="17" t="n"/>
      <c r="F25" s="77" t="n"/>
      <c r="H25" s="72" t="n"/>
    </row>
    <row r="26">
      <c r="B26" s="76" t="n">
        <v>45322</v>
      </c>
      <c r="C26" s="28" t="n">
        <v>45292</v>
      </c>
      <c r="E26" s="17" t="inlineStr">
        <is>
          <t>Monthly Tax Accrual</t>
        </is>
      </c>
      <c r="F26" s="77" t="n">
        <v>-5657.86</v>
      </c>
    </row>
    <row r="27">
      <c r="B27" s="76" t="n">
        <v>45348</v>
      </c>
      <c r="C27" s="28" t="n">
        <v>45323</v>
      </c>
      <c r="E27" s="17" t="inlineStr">
        <is>
          <t>Monthly Tax Accrual</t>
        </is>
      </c>
      <c r="F27" s="77" t="n">
        <v>-5657.86</v>
      </c>
    </row>
    <row r="28">
      <c r="B28" s="76" t="n">
        <v>45376</v>
      </c>
      <c r="C28" s="28" t="n">
        <v>45352</v>
      </c>
      <c r="E28" s="17" t="inlineStr">
        <is>
          <t>Monthly Tax Accrual</t>
        </is>
      </c>
      <c r="F28" s="77" t="n">
        <v>-5657.86</v>
      </c>
    </row>
    <row r="29">
      <c r="B29" s="76" t="n">
        <v>45412</v>
      </c>
      <c r="C29" s="28" t="n">
        <v>45383</v>
      </c>
      <c r="E29" s="17" t="inlineStr">
        <is>
          <t>Monthly Tax Accrual</t>
        </is>
      </c>
      <c r="F29" s="77" t="n">
        <v>-5657.86</v>
      </c>
    </row>
    <row r="30">
      <c r="B30" s="76" t="n">
        <v>45439</v>
      </c>
      <c r="C30" s="28" t="n">
        <v>45413</v>
      </c>
      <c r="E30" s="17" t="inlineStr">
        <is>
          <t>Monthly Tax Accrual</t>
        </is>
      </c>
      <c r="F30" s="77" t="n">
        <v>-5657.86</v>
      </c>
    </row>
    <row r="31">
      <c r="B31" s="76" t="n">
        <v>45471</v>
      </c>
      <c r="C31" s="28" t="n">
        <v>45444</v>
      </c>
      <c r="E31" s="17" t="inlineStr">
        <is>
          <t>Monthly Tax Accrual</t>
        </is>
      </c>
      <c r="F31" s="77" t="n">
        <v>-5657.86</v>
      </c>
    </row>
    <row r="32">
      <c r="B32" s="76" t="n">
        <v>45502</v>
      </c>
      <c r="C32" s="28" t="n">
        <v>45474</v>
      </c>
      <c r="E32" s="17" t="inlineStr">
        <is>
          <t>Monthly Tax Accrual</t>
        </is>
      </c>
      <c r="F32" s="77" t="n">
        <v>-5657.86</v>
      </c>
    </row>
    <row r="33">
      <c r="B33" s="76" t="n">
        <v>45533</v>
      </c>
      <c r="C33" s="28" t="n">
        <v>45505</v>
      </c>
      <c r="E33" s="17" t="inlineStr">
        <is>
          <t>Monthly Tax Accrual</t>
        </is>
      </c>
      <c r="F33" s="77" t="n">
        <v>-5657.86</v>
      </c>
    </row>
    <row r="34">
      <c r="B34" s="76" t="n">
        <v>45562</v>
      </c>
      <c r="C34" s="28" t="n">
        <v>45536</v>
      </c>
      <c r="E34" s="17" t="inlineStr">
        <is>
          <t>Monthly Tax Accrual</t>
        </is>
      </c>
      <c r="F34" s="77" t="n">
        <v>-5657.86</v>
      </c>
    </row>
    <row r="35">
      <c r="B35" s="76" t="n">
        <v>45593</v>
      </c>
      <c r="C35" s="28" t="n">
        <v>45566</v>
      </c>
      <c r="E35" s="17" t="inlineStr">
        <is>
          <t>Monthly Tax Accrual</t>
        </is>
      </c>
      <c r="F35" s="77" t="n">
        <v>-5657.86</v>
      </c>
    </row>
    <row r="36">
      <c r="B36" s="76" t="n">
        <v>45625</v>
      </c>
      <c r="C36" s="28">
        <f>B36</f>
        <v/>
      </c>
      <c r="E36" s="17" t="inlineStr">
        <is>
          <t>Monthly Tax Accrual</t>
        </is>
      </c>
      <c r="F36" s="77" t="n">
        <v>-5657.86</v>
      </c>
    </row>
    <row r="37">
      <c r="B37" s="76" t="n">
        <v>45657</v>
      </c>
      <c r="C37" s="28">
        <f>B37</f>
        <v/>
      </c>
      <c r="E37" s="17" t="inlineStr">
        <is>
          <t>Monthly Tax Accrual</t>
        </is>
      </c>
      <c r="F37" s="77" t="n">
        <v>-5657.8</v>
      </c>
    </row>
    <row r="38">
      <c r="B38" s="76" t="n">
        <v>45616</v>
      </c>
      <c r="C38" s="28">
        <f>B38</f>
        <v/>
      </c>
      <c r="E38" s="17" t="inlineStr">
        <is>
          <t>Tax Payment</t>
        </is>
      </c>
      <c r="F38" s="77" t="n">
        <v>67894.25999999999</v>
      </c>
      <c r="H38" s="72" t="inlineStr">
        <is>
          <t>Tax payment from escrow</t>
        </is>
      </c>
    </row>
    <row r="39">
      <c r="B39" s="76" t="n"/>
      <c r="C39" s="76" t="n"/>
      <c r="E39" s="17" t="inlineStr">
        <is>
          <t>Tax Payment</t>
        </is>
      </c>
      <c r="F39" s="77" t="n">
        <v>0</v>
      </c>
    </row>
    <row r="40">
      <c r="B40" s="76" t="n"/>
      <c r="C40" s="76" t="n"/>
      <c r="E40" s="17" t="inlineStr">
        <is>
          <t>(Over)/Under Accrual</t>
        </is>
      </c>
      <c r="F40" s="77" t="n"/>
      <c r="G40" s="78">
        <f>SUM(F26:F39)</f>
        <v/>
      </c>
    </row>
    <row r="41">
      <c r="B41" s="76" t="n"/>
      <c r="C41" s="76" t="n"/>
      <c r="E41" s="17" t="n"/>
      <c r="F41" s="77" t="n"/>
      <c r="G41" s="78" t="n"/>
    </row>
    <row r="42">
      <c r="B42" s="76" t="n">
        <v>45688</v>
      </c>
      <c r="C42" s="28">
        <f>B42</f>
        <v/>
      </c>
      <c r="E42" s="17" t="inlineStr">
        <is>
          <t>Monthly Tax Accrual</t>
        </is>
      </c>
      <c r="F42" s="77" t="n">
        <v>-5827.6</v>
      </c>
      <c r="H42" s="78" t="n"/>
    </row>
    <row r="43">
      <c r="B43" s="76" t="n">
        <v>45716</v>
      </c>
      <c r="C43" s="28">
        <f>B43</f>
        <v/>
      </c>
      <c r="E43" s="17" t="inlineStr">
        <is>
          <t>Monthly Tax Accrual</t>
        </is>
      </c>
      <c r="F43" s="77" t="n">
        <v>-5827.6</v>
      </c>
    </row>
    <row r="44">
      <c r="B44" s="76" t="n">
        <v>45747</v>
      </c>
      <c r="C44" s="28">
        <f>B44</f>
        <v/>
      </c>
      <c r="E44" s="17" t="inlineStr">
        <is>
          <t>Monthly Tax Accrual</t>
        </is>
      </c>
      <c r="F44" s="77" t="n">
        <v>-5827.6</v>
      </c>
    </row>
    <row r="45">
      <c r="B45" s="76" t="n">
        <v>45777</v>
      </c>
      <c r="C45" s="28">
        <f>B45</f>
        <v/>
      </c>
      <c r="E45" s="17" t="inlineStr">
        <is>
          <t>Monthly Tax Accrual</t>
        </is>
      </c>
      <c r="F45" s="77" t="n">
        <v>-5827.6</v>
      </c>
    </row>
    <row r="46">
      <c r="B46" s="76" t="n">
        <v>45808</v>
      </c>
      <c r="C46" s="28">
        <f>B46</f>
        <v/>
      </c>
      <c r="E46" s="17" t="inlineStr">
        <is>
          <t>Monthly Tax Accrual</t>
        </is>
      </c>
      <c r="F46" s="77" t="n">
        <v>-5827.6</v>
      </c>
    </row>
    <row r="47">
      <c r="B47" s="76" t="n">
        <v>45838</v>
      </c>
      <c r="C47" s="28">
        <f>B47</f>
        <v/>
      </c>
      <c r="E47" s="17" t="inlineStr">
        <is>
          <t>Monthly Tax Accrual</t>
        </is>
      </c>
      <c r="F47" s="77" t="n">
        <v>-5827.6</v>
      </c>
    </row>
    <row r="48">
      <c r="B48" s="76" t="n">
        <v>45869</v>
      </c>
      <c r="C48" s="28">
        <f>B48</f>
        <v/>
      </c>
      <c r="E48" s="17" t="inlineStr">
        <is>
          <t>Monthly Tax Accrual</t>
        </is>
      </c>
      <c r="F48" s="77" t="n">
        <v>-5827.6</v>
      </c>
    </row>
    <row r="49">
      <c r="B49" s="76" t="n">
        <v>45900</v>
      </c>
      <c r="C49" s="28">
        <f>B49</f>
        <v/>
      </c>
      <c r="E49" s="17" t="inlineStr">
        <is>
          <t>Monthly Tax Accrual</t>
        </is>
      </c>
      <c r="F49" s="77" t="n">
        <v>-5827.6</v>
      </c>
    </row>
    <row r="50">
      <c r="B50" s="76" t="n">
        <v>45929</v>
      </c>
      <c r="C50" s="28">
        <f>B50</f>
        <v/>
      </c>
      <c r="E50" s="17" t="inlineStr">
        <is>
          <t>Monthly Tax Accrual</t>
        </is>
      </c>
      <c r="F50" s="77" t="n">
        <v>-5827.6</v>
      </c>
    </row>
    <row r="51">
      <c r="B51" s="76" t="n"/>
      <c r="C51" s="28" t="n"/>
      <c r="E51" s="17" t="inlineStr">
        <is>
          <t>Monthly Tax Accrual</t>
        </is>
      </c>
      <c r="F51" s="77" t="n">
        <v>0</v>
      </c>
    </row>
    <row r="52">
      <c r="B52" s="76" t="n"/>
      <c r="C52" s="28" t="n"/>
      <c r="E52" s="17" t="inlineStr">
        <is>
          <t>Monthly Tax Accrual</t>
        </is>
      </c>
      <c r="F52" s="77" t="n">
        <v>0</v>
      </c>
    </row>
    <row r="53">
      <c r="B53" s="76" t="n"/>
      <c r="C53" s="28" t="n"/>
      <c r="E53" s="17" t="inlineStr">
        <is>
          <t>Monthly Tax Accrual</t>
        </is>
      </c>
      <c r="F53" s="77" t="n">
        <v>0</v>
      </c>
    </row>
    <row r="54">
      <c r="B54" s="76" t="n"/>
      <c r="C54" s="28" t="n"/>
      <c r="E54" s="17" t="inlineStr">
        <is>
          <t>Tax Payment</t>
        </is>
      </c>
      <c r="F54" s="77" t="n">
        <v>0</v>
      </c>
    </row>
    <row r="55">
      <c r="B55" s="76" t="n"/>
      <c r="C55" s="76" t="n"/>
      <c r="E55" s="17" t="inlineStr">
        <is>
          <t>Tax Payment</t>
        </is>
      </c>
      <c r="F55" s="77" t="n">
        <v>0</v>
      </c>
    </row>
    <row r="56">
      <c r="B56" s="76" t="n"/>
      <c r="C56" s="76" t="n"/>
      <c r="E56" s="17" t="inlineStr">
        <is>
          <t>(Over)/Under Accrual</t>
        </is>
      </c>
      <c r="F56" s="77" t="n"/>
      <c r="G56" s="78">
        <f>SUM(F42:F55)</f>
        <v/>
      </c>
    </row>
    <row r="57">
      <c r="B57" s="76" t="n"/>
      <c r="C57" s="76" t="n"/>
      <c r="E57" s="17" t="n"/>
      <c r="F57" s="77" t="n"/>
      <c r="G57" s="78" t="n"/>
    </row>
    <row r="58">
      <c r="B58" s="76" t="n"/>
      <c r="C58" s="76" t="n"/>
      <c r="E58" s="17" t="n"/>
      <c r="F58" s="77" t="n"/>
      <c r="G58" s="78" t="n"/>
    </row>
    <row r="59">
      <c r="B59" s="76" t="n"/>
      <c r="C59" s="76" t="n"/>
      <c r="E59" s="17" t="n"/>
      <c r="F59" s="77" t="n"/>
      <c r="G59" s="78" t="n"/>
    </row>
    <row r="60" ht="13.5" customFormat="1" customHeight="1" s="73" thickBot="1"/>
    <row r="61" ht="13.5" customFormat="1" customHeight="1" s="73" thickTop="1">
      <c r="B61" s="23" t="n"/>
      <c r="C61" s="23" t="n"/>
      <c r="D61" s="23" t="n"/>
      <c r="E61" s="23" t="inlineStr">
        <is>
          <t>Variance</t>
        </is>
      </c>
      <c r="F61" s="23" t="n"/>
      <c r="G61" s="79">
        <f>ROUND(G5-SUM(G9:G60),2)</f>
        <v/>
      </c>
      <c r="H61">
        <f>IF(G61=0,"","Out of Balance")</f>
        <v/>
      </c>
    </row>
  </sheetData>
  <mergeCells count="3">
    <mergeCell ref="A3:G3"/>
    <mergeCell ref="A2:G2"/>
    <mergeCell ref="A1:G1"/>
  </mergeCells>
  <conditionalFormatting sqref="H5">
    <cfRule type="expression" priority="1" dxfId="0">
      <formula>$G$61&lt;&gt;0</formula>
    </cfRule>
  </conditionalFormatting>
  <conditionalFormatting sqref="H61">
    <cfRule type="expression" priority="2" dxfId="0">
      <formula>$G$61&lt;&gt;0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zoomScale="235" zoomScaleNormal="235" workbookViewId="0">
      <pane ySplit="7" topLeftCell="A41" activePane="bottomLeft" state="frozen"/>
      <selection pane="bottomLeft" activeCell="F49" sqref="F49:F51"/>
    </sheetView>
  </sheetViews>
  <sheetFormatPr baseColWidth="8" defaultRowHeight="12.75"/>
  <cols>
    <col width="3.5703125" customWidth="1" style="50" min="1" max="1"/>
    <col width="1.5703125" customWidth="1" style="50" min="4" max="4"/>
    <col width="14.85546875" bestFit="1" customWidth="1" style="50" min="5" max="5"/>
    <col width="24.5703125" customWidth="1" style="50" min="6" max="6"/>
    <col width="13.7109375" customWidth="1" style="50" min="7" max="7"/>
    <col width="33" customWidth="1" style="50" min="8" max="8"/>
    <col width="13.28515625" bestFit="1" customWidth="1" style="73" min="9" max="9"/>
    <col width="14.140625" bestFit="1" customWidth="1" style="50" min="10" max="10"/>
    <col width="20.140625" customWidth="1" style="50" min="11" max="11"/>
  </cols>
  <sheetData>
    <row r="1" ht="15.75" customHeight="1" s="50">
      <c r="A1" s="45">
        <f>Cover!A1</f>
        <v/>
      </c>
      <c r="H1" s="21" t="n"/>
      <c r="I1" s="21" t="n"/>
    </row>
    <row r="2" ht="15.75" customHeight="1" s="50">
      <c r="A2" s="74">
        <f>Cover!B2</f>
        <v/>
      </c>
      <c r="H2" s="21" t="n"/>
      <c r="I2" s="21" t="n"/>
    </row>
    <row r="3">
      <c r="A3" s="47" t="inlineStr">
        <is>
          <t>2310-0000  Sales Tax Collected</t>
        </is>
      </c>
      <c r="H3" s="22" t="n"/>
      <c r="I3" s="22" t="n"/>
    </row>
    <row r="5">
      <c r="E5" t="inlineStr">
        <is>
          <t>Account Balance</t>
        </is>
      </c>
      <c r="G5" s="73">
        <f>-INDEX('Yardi Report'!A:E,MATCH(LEFT(A3,9),'Yardi Report'!A:A,0),3)</f>
        <v/>
      </c>
      <c r="H5">
        <f>IF(G53=0,"","Out of Balance")</f>
        <v/>
      </c>
    </row>
    <row r="7" ht="13.5" customHeight="1" s="50" thickBot="1">
      <c r="B7" s="18" t="inlineStr">
        <is>
          <t>Date</t>
        </is>
      </c>
      <c r="C7" s="18" t="n"/>
      <c r="D7" s="18" t="n"/>
      <c r="E7" s="18" t="inlineStr">
        <is>
          <t>G/L Description</t>
        </is>
      </c>
      <c r="F7" s="18" t="n"/>
      <c r="G7" s="75" t="inlineStr">
        <is>
          <t>Amount</t>
        </is>
      </c>
      <c r="H7" s="25" t="inlineStr">
        <is>
          <t>Notes</t>
        </is>
      </c>
    </row>
    <row r="8" ht="13.5" customHeight="1" s="50" thickTop="1">
      <c r="G8" s="73" t="n"/>
      <c r="J8" t="n">
        <v>760.58</v>
      </c>
    </row>
    <row r="9">
      <c r="B9" s="32" t="n">
        <v>45626</v>
      </c>
      <c r="C9" s="33" t="n">
        <v>45597</v>
      </c>
      <c r="E9" s="72" t="inlineStr">
        <is>
          <t>11.2024 cc receipts</t>
        </is>
      </c>
      <c r="F9" s="73" t="n">
        <v>-3322.8</v>
      </c>
      <c r="G9" s="73" t="n"/>
    </row>
    <row r="10">
      <c r="B10" s="32" t="n">
        <v>45626</v>
      </c>
      <c r="C10" s="33" t="n">
        <v>45597</v>
      </c>
      <c r="E10" s="72" t="inlineStr">
        <is>
          <t>Tax Payment</t>
        </is>
      </c>
      <c r="F10" s="73" t="n">
        <v>3300.75</v>
      </c>
      <c r="G10" s="73" t="n"/>
    </row>
    <row r="11">
      <c r="B11" s="32" t="n"/>
      <c r="C11" s="33" t="n"/>
      <c r="E11" s="72" t="inlineStr">
        <is>
          <t>(Over)/Under Accrued</t>
        </is>
      </c>
      <c r="F11" s="73" t="n"/>
      <c r="G11" s="73">
        <f>+F10+F9</f>
        <v/>
      </c>
    </row>
    <row r="12">
      <c r="B12" s="32" t="n"/>
      <c r="C12" s="33" t="n"/>
      <c r="E12" s="72" t="n"/>
      <c r="F12" s="73" t="n"/>
      <c r="G12" s="73" t="n"/>
    </row>
    <row r="13">
      <c r="B13" s="32" t="n">
        <v>45657</v>
      </c>
      <c r="C13" s="33">
        <f>B13</f>
        <v/>
      </c>
      <c r="E13" s="72" t="inlineStr">
        <is>
          <t>12.2024 cc receipts</t>
        </is>
      </c>
      <c r="F13" s="73">
        <f>-3360.31+22.05</f>
        <v/>
      </c>
      <c r="G13" s="73" t="n"/>
    </row>
    <row r="14">
      <c r="B14" s="32" t="n">
        <v>45657</v>
      </c>
      <c r="C14" s="33">
        <f>B14</f>
        <v/>
      </c>
      <c r="E14" s="72" t="inlineStr">
        <is>
          <t>Tax Payment</t>
        </is>
      </c>
      <c r="F14" s="73" t="n">
        <v>3311.45</v>
      </c>
      <c r="G14" s="73" t="n"/>
    </row>
    <row r="15">
      <c r="B15" s="32" t="n"/>
      <c r="C15" s="33" t="n"/>
      <c r="E15" s="72" t="inlineStr">
        <is>
          <t>(Over)/Under Accrued</t>
        </is>
      </c>
      <c r="F15" s="73" t="n"/>
      <c r="G15" s="73">
        <f>+F14+F13</f>
        <v/>
      </c>
    </row>
    <row r="16">
      <c r="B16" s="32" t="n"/>
      <c r="C16" s="33" t="n"/>
      <c r="E16" s="72" t="n"/>
      <c r="F16" s="73" t="n"/>
      <c r="G16" s="73" t="n"/>
    </row>
    <row r="17">
      <c r="B17" s="32" t="n">
        <v>45688</v>
      </c>
      <c r="C17" s="33">
        <f>B17</f>
        <v/>
      </c>
      <c r="E17" s="72" t="inlineStr">
        <is>
          <t>01.2025 cc receipts</t>
        </is>
      </c>
      <c r="F17" s="73">
        <f>-3626.3+48.86</f>
        <v/>
      </c>
      <c r="G17" s="73" t="n"/>
    </row>
    <row r="18">
      <c r="B18" s="32" t="n">
        <v>45688</v>
      </c>
      <c r="C18" s="33">
        <f>B18</f>
        <v/>
      </c>
      <c r="E18" s="72" t="inlineStr">
        <is>
          <t>Tax Payment</t>
        </is>
      </c>
      <c r="F18" s="73" t="n">
        <v>3556.11</v>
      </c>
      <c r="G18" s="73" t="n"/>
    </row>
    <row r="19">
      <c r="E19" s="72" t="inlineStr">
        <is>
          <t>(Over)/Under Accrued</t>
        </is>
      </c>
      <c r="G19" s="73">
        <f>F18+F17</f>
        <v/>
      </c>
    </row>
    <row r="20">
      <c r="E20" s="72" t="n"/>
      <c r="G20" s="73" t="n"/>
    </row>
    <row r="21">
      <c r="B21" s="32" t="n">
        <v>45716</v>
      </c>
      <c r="C21" s="33">
        <f>B21</f>
        <v/>
      </c>
      <c r="E21" s="72" t="inlineStr">
        <is>
          <t>02.2025 cc receipts</t>
        </is>
      </c>
      <c r="F21" s="73">
        <f>-3518+70.19</f>
        <v/>
      </c>
      <c r="G21" s="73" t="n"/>
    </row>
    <row r="22">
      <c r="B22" s="32" t="n">
        <v>45716</v>
      </c>
      <c r="C22" s="33">
        <f>B22</f>
        <v/>
      </c>
      <c r="E22" s="72" t="inlineStr">
        <is>
          <t>Tax Payment</t>
        </is>
      </c>
      <c r="F22" s="73" t="n">
        <v>3418.59</v>
      </c>
      <c r="G22" s="73" t="n"/>
    </row>
    <row r="23">
      <c r="E23" s="72" t="inlineStr">
        <is>
          <t>(Over)/Under Accrued</t>
        </is>
      </c>
      <c r="G23" s="73">
        <f>F22+F21</f>
        <v/>
      </c>
    </row>
    <row r="24">
      <c r="E24" s="72" t="n"/>
      <c r="G24" s="73" t="n"/>
    </row>
    <row r="25">
      <c r="B25" s="32" t="n">
        <v>45747</v>
      </c>
      <c r="C25" s="33">
        <f>B25</f>
        <v/>
      </c>
      <c r="E25" s="72" t="inlineStr">
        <is>
          <t>03.2025 cc receipts</t>
        </is>
      </c>
      <c r="F25" s="73">
        <f>-3800.78+99.41</f>
        <v/>
      </c>
      <c r="G25" s="73" t="n"/>
    </row>
    <row r="26">
      <c r="B26" s="32" t="n">
        <v>45747</v>
      </c>
      <c r="C26" s="33">
        <f>B26</f>
        <v/>
      </c>
      <c r="E26" s="72" t="inlineStr">
        <is>
          <t>Tax Payment</t>
        </is>
      </c>
      <c r="F26" s="73" t="n">
        <v>3687.09</v>
      </c>
      <c r="G26" s="73" t="n"/>
    </row>
    <row r="27">
      <c r="E27" s="72" t="inlineStr">
        <is>
          <t>(Over)/Under Accrued</t>
        </is>
      </c>
      <c r="G27" s="73">
        <f>F26+F25</f>
        <v/>
      </c>
    </row>
    <row r="28">
      <c r="E28" s="72" t="n"/>
      <c r="G28" s="73" t="n"/>
    </row>
    <row r="29">
      <c r="B29" s="32" t="n">
        <v>45777</v>
      </c>
      <c r="C29" s="33">
        <f>B29</f>
        <v/>
      </c>
      <c r="E29" s="72" t="inlineStr">
        <is>
          <t>04.2025 cc receipts</t>
        </is>
      </c>
      <c r="F29" s="73">
        <f>-3999.64+113.69</f>
        <v/>
      </c>
      <c r="G29" s="73" t="n"/>
    </row>
    <row r="30">
      <c r="B30" s="32" t="n">
        <v>45777</v>
      </c>
      <c r="C30" s="33">
        <f>B30</f>
        <v/>
      </c>
      <c r="E30" s="72" t="inlineStr">
        <is>
          <t>Tax Payment</t>
        </is>
      </c>
      <c r="F30" s="73" t="n">
        <v>3853.96</v>
      </c>
      <c r="G30" s="73" t="n"/>
    </row>
    <row r="31">
      <c r="E31" s="72" t="inlineStr">
        <is>
          <t>(Over)/Under Accrued</t>
        </is>
      </c>
      <c r="G31" s="73">
        <f>F30+F29</f>
        <v/>
      </c>
    </row>
    <row r="32">
      <c r="E32" s="72" t="n"/>
      <c r="G32" s="73" t="n"/>
    </row>
    <row r="33">
      <c r="B33" s="32" t="n">
        <v>45808</v>
      </c>
      <c r="C33" s="33" t="n">
        <v>45778</v>
      </c>
      <c r="E33" s="72" t="inlineStr">
        <is>
          <t>05.2025 cc receipts</t>
        </is>
      </c>
      <c r="F33" s="73" t="n">
        <v>-4217</v>
      </c>
      <c r="G33" s="73" t="n"/>
    </row>
    <row r="34">
      <c r="B34" s="32" t="n">
        <v>45808</v>
      </c>
      <c r="C34" s="33" t="n">
        <v>45778</v>
      </c>
      <c r="E34" s="72" t="inlineStr">
        <is>
          <t>Tax Payment</t>
        </is>
      </c>
      <c r="F34" s="73" t="n">
        <v>4190.01</v>
      </c>
      <c r="G34" s="73" t="n"/>
    </row>
    <row r="35">
      <c r="E35" s="72" t="inlineStr">
        <is>
          <t>(Over)/Under Accrued</t>
        </is>
      </c>
      <c r="G35" s="73">
        <f>+F33+F34</f>
        <v/>
      </c>
    </row>
    <row r="36">
      <c r="E36" s="72" t="n"/>
      <c r="G36" s="73" t="n"/>
    </row>
    <row r="37">
      <c r="B37" s="32" t="n">
        <v>45838</v>
      </c>
      <c r="C37" s="33" t="n">
        <v>45809</v>
      </c>
      <c r="E37" s="72" t="inlineStr">
        <is>
          <t>06.2025 cc receipts</t>
        </is>
      </c>
      <c r="F37" s="73" t="n">
        <v>-3563.92</v>
      </c>
      <c r="G37" s="73" t="n"/>
    </row>
    <row r="38">
      <c r="B38" s="32" t="n">
        <v>45838</v>
      </c>
      <c r="C38" s="33" t="n">
        <v>45809</v>
      </c>
      <c r="E38" s="72" t="inlineStr">
        <is>
          <t>Tax Payment</t>
        </is>
      </c>
      <c r="F38" s="73" t="n">
        <v>3532.79</v>
      </c>
      <c r="G38" s="73" t="n"/>
    </row>
    <row r="39">
      <c r="E39" s="72" t="inlineStr">
        <is>
          <t>(Over)/Under Accrued</t>
        </is>
      </c>
      <c r="G39" s="73">
        <f>+F37+F38</f>
        <v/>
      </c>
    </row>
    <row r="40">
      <c r="E40" s="72" t="n"/>
      <c r="G40" s="73" t="n"/>
    </row>
    <row r="41">
      <c r="B41" s="32" t="n">
        <v>45869</v>
      </c>
      <c r="C41" s="33" t="n">
        <v>45839</v>
      </c>
      <c r="E41" s="72" t="inlineStr">
        <is>
          <t>07.2025 cc receipts</t>
        </is>
      </c>
      <c r="F41" s="73" t="n">
        <v>-4107.54</v>
      </c>
      <c r="G41" s="73" t="n"/>
    </row>
    <row r="42">
      <c r="B42" s="32" t="n">
        <v>45869</v>
      </c>
      <c r="C42" s="33" t="n">
        <v>45839</v>
      </c>
      <c r="E42" s="72" t="inlineStr">
        <is>
          <t>Tax Payment</t>
        </is>
      </c>
      <c r="F42" s="73" t="n">
        <v>4076.19</v>
      </c>
      <c r="G42" s="73" t="n"/>
    </row>
    <row r="43">
      <c r="E43" s="72" t="inlineStr">
        <is>
          <t>(Over)/Under Accrued</t>
        </is>
      </c>
      <c r="G43" s="73">
        <f>+F41+F42</f>
        <v/>
      </c>
    </row>
    <row r="44">
      <c r="E44" s="72" t="n"/>
      <c r="G44" s="73" t="n"/>
    </row>
    <row r="45">
      <c r="B45" s="32" t="n">
        <v>45900</v>
      </c>
      <c r="C45" s="33" t="n">
        <v>45870</v>
      </c>
      <c r="E45" s="72" t="inlineStr">
        <is>
          <t>08.2025 cc receipts</t>
        </is>
      </c>
      <c r="F45" s="73" t="n">
        <v>-4321.04</v>
      </c>
      <c r="G45" s="73" t="n"/>
    </row>
    <row r="46">
      <c r="B46" s="32" t="n">
        <v>45900</v>
      </c>
      <c r="C46" s="33" t="n">
        <v>45870</v>
      </c>
      <c r="E46" s="72" t="inlineStr">
        <is>
          <t>Tax Payment</t>
        </is>
      </c>
      <c r="F46" s="73" t="n">
        <v>4311.05</v>
      </c>
      <c r="G46" s="73" t="n"/>
    </row>
    <row r="47">
      <c r="E47" s="72" t="inlineStr">
        <is>
          <t>(Over)/Under Accrued</t>
        </is>
      </c>
      <c r="G47" s="73">
        <f>+F45+F46</f>
        <v/>
      </c>
    </row>
    <row r="48">
      <c r="E48" s="72" t="n"/>
      <c r="G48" s="73" t="n"/>
    </row>
    <row r="49">
      <c r="B49" s="32" t="n">
        <v>45900</v>
      </c>
      <c r="C49" s="33" t="n">
        <v>45870</v>
      </c>
      <c r="E49" s="72" t="inlineStr">
        <is>
          <t>09.2025 cc receipts</t>
        </is>
      </c>
      <c r="F49" s="73" t="n">
        <v>-3751.45</v>
      </c>
      <c r="G49" s="73" t="n"/>
    </row>
    <row r="50">
      <c r="B50" s="32" t="n">
        <v>45900</v>
      </c>
      <c r="C50" s="33" t="n">
        <v>45870</v>
      </c>
      <c r="E50" s="72" t="inlineStr">
        <is>
          <t>Tax Payment</t>
        </is>
      </c>
      <c r="F50" s="73" t="n">
        <v>3715.57</v>
      </c>
      <c r="G50" s="73" t="n"/>
    </row>
    <row r="51">
      <c r="E51" s="72" t="inlineStr">
        <is>
          <t>(Over)/Under Accrued</t>
        </is>
      </c>
      <c r="G51" s="73">
        <f>+F49+F50</f>
        <v/>
      </c>
    </row>
    <row r="52" ht="13.5" customHeight="1" s="50" thickBot="1">
      <c r="E52" s="72" t="n"/>
      <c r="G52" s="73" t="n"/>
    </row>
    <row r="53" ht="13.5" customFormat="1" customHeight="1" s="73" thickTop="1">
      <c r="B53" s="23" t="n"/>
      <c r="C53" s="23" t="n"/>
      <c r="D53" s="23" t="n"/>
      <c r="E53" s="23" t="inlineStr">
        <is>
          <t>Variance</t>
        </is>
      </c>
      <c r="F53" s="23" t="n"/>
      <c r="G53" s="79">
        <f>ROUND(G5-SUM(G9:G52),2)</f>
        <v/>
      </c>
      <c r="H53">
        <f>IF(G53=0,"","Out of Balance")</f>
        <v/>
      </c>
    </row>
  </sheetData>
  <mergeCells count="3">
    <mergeCell ref="A3:G3"/>
    <mergeCell ref="A2:G2"/>
    <mergeCell ref="A1:G1"/>
  </mergeCells>
  <conditionalFormatting sqref="H5">
    <cfRule type="expression" priority="1" dxfId="0">
      <formula>$G$53&lt;&gt;0</formula>
    </cfRule>
  </conditionalFormatting>
  <conditionalFormatting sqref="H53">
    <cfRule type="expression" priority="2" dxfId="0">
      <formula>$G$53&lt;&gt;0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9"/>
  <sheetViews>
    <sheetView zoomScale="235" zoomScaleNormal="235" workbookViewId="0">
      <pane ySplit="7" topLeftCell="A26" activePane="bottomLeft" state="frozen"/>
      <selection pane="bottomLeft" activeCell="F14" sqref="F14"/>
    </sheetView>
  </sheetViews>
  <sheetFormatPr baseColWidth="8" defaultRowHeight="12.75"/>
  <cols>
    <col width="3.5703125" customWidth="1" style="50" min="1" max="1"/>
    <col width="1.5703125" customWidth="1" style="50" min="4" max="4"/>
    <col width="18.28515625" customWidth="1" style="50" min="5" max="5"/>
    <col width="15.85546875" customWidth="1" style="50" min="6" max="6"/>
    <col width="13.7109375" customWidth="1" style="50" min="7" max="7"/>
    <col width="33" customWidth="1" style="50" min="8" max="8"/>
    <col width="13.28515625" bestFit="1" customWidth="1" style="73" min="9" max="9"/>
    <col width="14.140625" bestFit="1" customWidth="1" style="50" min="10" max="10"/>
    <col width="20.140625" customWidth="1" style="50" min="11" max="11"/>
  </cols>
  <sheetData>
    <row r="1" ht="15.75" customHeight="1" s="50">
      <c r="A1" s="45">
        <f>Cover!A1</f>
        <v/>
      </c>
      <c r="H1" s="21" t="n"/>
      <c r="I1" s="21" t="n"/>
    </row>
    <row r="2" ht="15.75" customHeight="1" s="50">
      <c r="A2" s="74">
        <f>Cover!B2</f>
        <v/>
      </c>
      <c r="H2" s="21" t="n"/>
      <c r="I2" s="21" t="n"/>
    </row>
    <row r="3">
      <c r="A3" s="47" t="inlineStr">
        <is>
          <t>2310-0001  Sales Tax Payable</t>
        </is>
      </c>
      <c r="H3" s="22" t="n"/>
      <c r="I3" s="22" t="n"/>
    </row>
    <row r="5">
      <c r="E5" t="inlineStr">
        <is>
          <t>Account Balance</t>
        </is>
      </c>
      <c r="G5" s="73">
        <f>-INDEX('Yardi Report'!A:E,MATCH(LEFT(A3,9),'Yardi Report'!A:A,0),3)</f>
        <v/>
      </c>
      <c r="H5">
        <f>IF(G39=0,"","Out of Balance")</f>
        <v/>
      </c>
    </row>
    <row r="7" ht="13.5" customHeight="1" s="50" thickBot="1">
      <c r="B7" s="18" t="inlineStr">
        <is>
          <t>Date</t>
        </is>
      </c>
      <c r="C7" s="18" t="n"/>
      <c r="D7" s="18" t="n"/>
      <c r="E7" s="18" t="inlineStr">
        <is>
          <t>G/L Description</t>
        </is>
      </c>
      <c r="F7" s="18" t="n"/>
      <c r="G7" s="75" t="inlineStr">
        <is>
          <t>Amount</t>
        </is>
      </c>
      <c r="H7" s="25" t="inlineStr">
        <is>
          <t>Notes</t>
        </is>
      </c>
    </row>
    <row r="8" ht="13.5" customHeight="1" s="50" thickTop="1">
      <c r="G8" s="73" t="n"/>
      <c r="J8" t="n">
        <v>760.58</v>
      </c>
    </row>
    <row r="9" ht="21" customHeight="1" s="50">
      <c r="B9" s="32" t="n">
        <v>44985</v>
      </c>
      <c r="C9" s="33" t="n">
        <v>44958</v>
      </c>
      <c r="E9" s="20" t="inlineStr">
        <is>
          <t>Wildwood prorated sales tax EST</t>
        </is>
      </c>
      <c r="G9" s="73" t="n">
        <v>-1177.1</v>
      </c>
    </row>
    <row r="10">
      <c r="B10" s="32" t="n">
        <v>45016</v>
      </c>
      <c r="C10" s="33" t="n">
        <v>44986</v>
      </c>
      <c r="E10" s="20" t="inlineStr">
        <is>
          <t>EST Sales Tax</t>
        </is>
      </c>
      <c r="G10" s="73" t="n">
        <v>-3149.22</v>
      </c>
    </row>
    <row r="11">
      <c r="B11" s="32" t="n">
        <v>45046</v>
      </c>
      <c r="C11" s="33" t="n">
        <v>45017</v>
      </c>
      <c r="E11" s="20" t="inlineStr">
        <is>
          <t>EST Sales Tax</t>
        </is>
      </c>
      <c r="G11" s="73" t="n">
        <v>-2982.79</v>
      </c>
    </row>
    <row r="12">
      <c r="B12" s="32" t="n">
        <v>45077</v>
      </c>
      <c r="C12" s="33" t="n">
        <v>45047</v>
      </c>
      <c r="E12" s="20" t="inlineStr">
        <is>
          <t>7% of rent</t>
        </is>
      </c>
      <c r="G12" s="73" t="n">
        <v>-3940.48</v>
      </c>
    </row>
    <row r="13" ht="21" customHeight="1" s="50">
      <c r="B13" s="32" t="n">
        <v>45107</v>
      </c>
      <c r="C13" s="33" t="n">
        <v>45078</v>
      </c>
      <c r="E13" s="20" t="inlineStr">
        <is>
          <t>Sales or Parking Tax Accrual</t>
        </is>
      </c>
      <c r="G13" s="73" t="n">
        <v>-3088.11</v>
      </c>
    </row>
    <row r="14">
      <c r="B14" s="32" t="n">
        <v>45138</v>
      </c>
      <c r="C14" s="33" t="n">
        <v>45108</v>
      </c>
      <c r="E14" s="20" t="inlineStr">
        <is>
          <t>EST sales tax</t>
        </is>
      </c>
      <c r="G14" s="73" t="n">
        <v>-3672.3</v>
      </c>
    </row>
    <row r="15">
      <c r="B15" s="32" t="n">
        <v>45169</v>
      </c>
      <c r="C15" s="33" t="n">
        <v>45139</v>
      </c>
      <c r="E15" s="20" t="inlineStr">
        <is>
          <t>FL Dept of Revenue</t>
        </is>
      </c>
      <c r="G15" s="73" t="n">
        <v>13031.19</v>
      </c>
    </row>
    <row r="16">
      <c r="B16" s="32" t="n">
        <v>45169</v>
      </c>
      <c r="C16" s="33" t="n">
        <v>45139</v>
      </c>
      <c r="E16" s="20" t="inlineStr">
        <is>
          <t>FL Dept of Revenue</t>
        </is>
      </c>
      <c r="G16" s="73" t="n">
        <v>9793.35</v>
      </c>
    </row>
    <row r="17">
      <c r="B17" s="32" t="n">
        <v>45169</v>
      </c>
      <c r="C17" s="33" t="n">
        <v>45139</v>
      </c>
      <c r="E17" s="20" t="inlineStr">
        <is>
          <t>FL Dept of Revenue</t>
        </is>
      </c>
      <c r="G17" s="73" t="n">
        <v>1056.08</v>
      </c>
    </row>
    <row r="18">
      <c r="B18" s="32" t="n">
        <v>45169</v>
      </c>
      <c r="C18" s="33" t="n">
        <v>45139</v>
      </c>
      <c r="E18" s="20" t="inlineStr">
        <is>
          <t>FL Dept of Revenue</t>
        </is>
      </c>
      <c r="G18" s="73" t="n">
        <v>377.85</v>
      </c>
    </row>
    <row r="19">
      <c r="B19" s="32" t="n">
        <v>45169</v>
      </c>
      <c r="C19" s="33" t="n">
        <v>45139</v>
      </c>
      <c r="E19" s="20" t="inlineStr">
        <is>
          <t>FL Dept of Revenue</t>
        </is>
      </c>
      <c r="G19" s="73" t="n">
        <v>37.79</v>
      </c>
    </row>
    <row r="20" ht="31.5" customHeight="1" s="50">
      <c r="B20" s="32" t="n">
        <v>45169</v>
      </c>
      <c r="C20" s="33" t="n">
        <v>45139</v>
      </c>
      <c r="E20" s="20" t="inlineStr">
        <is>
          <t>Sales/Parking Tax accrual and adj for collected Sales Tax</t>
        </is>
      </c>
      <c r="G20" s="73" t="n">
        <v>-4035.25</v>
      </c>
    </row>
    <row r="21">
      <c r="B21" s="32" t="n">
        <v>45199</v>
      </c>
      <c r="C21" s="33" t="n">
        <v>45170</v>
      </c>
      <c r="E21" s="20" t="inlineStr">
        <is>
          <t>Q3 Sales Tax Payment</t>
        </is>
      </c>
      <c r="G21" s="73" t="n">
        <v>7208.99</v>
      </c>
    </row>
    <row r="22" ht="31.5" customHeight="1" s="50">
      <c r="B22" s="32" t="n">
        <v>45230</v>
      </c>
      <c r="C22" s="33" t="n">
        <v>45200</v>
      </c>
      <c r="E22" s="20" t="inlineStr">
        <is>
          <t>Sales/Parking Tax accrual and adj for collected Sales Tax</t>
        </is>
      </c>
      <c r="G22" s="73" t="n">
        <v>-3053.39</v>
      </c>
    </row>
    <row r="23" ht="31.5" customHeight="1" s="50">
      <c r="B23" s="32" t="n">
        <v>45260</v>
      </c>
      <c r="C23" s="33" t="n">
        <v>45231</v>
      </c>
      <c r="E23" s="20" t="inlineStr">
        <is>
          <t>Sales and Use Tax accrual and adj for collected Tax</t>
        </is>
      </c>
      <c r="G23" s="73" t="n">
        <v>-3062.46</v>
      </c>
    </row>
    <row r="24">
      <c r="B24" s="32" t="n">
        <v>45291</v>
      </c>
      <c r="C24" s="33" t="n">
        <v>45261</v>
      </c>
      <c r="E24" s="20" t="inlineStr">
        <is>
          <t>Sales Tax accrual</t>
        </is>
      </c>
      <c r="G24" s="73" t="n">
        <v>-2647.83</v>
      </c>
    </row>
    <row r="25">
      <c r="B25" s="32" t="n">
        <v>45365</v>
      </c>
      <c r="C25" s="33" t="n">
        <v>45352</v>
      </c>
      <c r="E25" s="20" t="inlineStr">
        <is>
          <t>Sales Tax</t>
        </is>
      </c>
      <c r="G25" s="73" t="n">
        <v>346.64</v>
      </c>
    </row>
    <row r="26">
      <c r="B26" s="32" t="n">
        <v>45365</v>
      </c>
      <c r="C26" s="33" t="n">
        <v>45352</v>
      </c>
      <c r="E26" s="20" t="inlineStr">
        <is>
          <t>Sales Tax</t>
        </is>
      </c>
      <c r="G26" s="73" t="n">
        <v>8975.040000000001</v>
      </c>
    </row>
    <row r="27">
      <c r="B27" s="32" t="n">
        <v>45378</v>
      </c>
      <c r="C27" s="33" t="n">
        <v>45352</v>
      </c>
      <c r="E27" s="20" t="inlineStr">
        <is>
          <t>Sales tax payable</t>
        </is>
      </c>
      <c r="G27" s="73" t="n">
        <v>1050.52</v>
      </c>
    </row>
    <row r="28">
      <c r="B28" s="32" t="n"/>
      <c r="C28" s="33" t="n"/>
      <c r="E28" s="72" t="n"/>
      <c r="G28" s="73" t="n"/>
    </row>
    <row r="29">
      <c r="B29" s="32" t="n"/>
      <c r="C29" s="33" t="n"/>
      <c r="E29" s="72" t="n"/>
      <c r="G29" s="73" t="n"/>
    </row>
    <row r="30">
      <c r="B30" s="32" t="n"/>
      <c r="C30" s="33" t="n"/>
      <c r="E30" s="72" t="n"/>
      <c r="G30" s="73" t="n"/>
    </row>
    <row r="31">
      <c r="B31" s="32" t="n"/>
      <c r="C31" s="33" t="n"/>
      <c r="E31" s="72" t="n"/>
      <c r="G31" s="73" t="n"/>
    </row>
    <row r="32">
      <c r="B32" s="32" t="n"/>
      <c r="C32" s="33" t="n"/>
      <c r="E32" s="72" t="n"/>
      <c r="G32" s="73" t="n"/>
    </row>
    <row r="33">
      <c r="B33" s="32" t="n"/>
      <c r="C33" s="33" t="n"/>
      <c r="E33" s="72" t="n"/>
      <c r="G33" s="73" t="n"/>
    </row>
    <row r="34">
      <c r="B34" s="32" t="n"/>
      <c r="C34" s="33" t="n"/>
      <c r="E34" s="72" t="n"/>
      <c r="G34" s="73" t="n"/>
    </row>
    <row r="35">
      <c r="B35" s="32" t="n"/>
      <c r="C35" s="33" t="n"/>
      <c r="E35" s="72" t="n"/>
      <c r="G35" s="73" t="n"/>
    </row>
    <row r="36">
      <c r="B36" s="32" t="n"/>
      <c r="C36" s="33" t="n"/>
      <c r="E36" s="72" t="n"/>
      <c r="G36" s="73" t="n"/>
    </row>
    <row r="37">
      <c r="G37" s="73" t="n"/>
    </row>
    <row r="38" ht="13.5" customFormat="1" customHeight="1" s="73" thickBot="1"/>
    <row r="39" ht="13.5" customFormat="1" customHeight="1" s="73" thickTop="1">
      <c r="B39" s="23" t="n"/>
      <c r="C39" s="23" t="n"/>
      <c r="D39" s="23" t="n"/>
      <c r="E39" s="23" t="inlineStr">
        <is>
          <t>Variance</t>
        </is>
      </c>
      <c r="F39" s="23" t="n"/>
      <c r="G39" s="79">
        <f>ROUND(G5-SUM(G9:G36),2)</f>
        <v/>
      </c>
      <c r="H39">
        <f>IF(G39=0,"","Out of Balance")</f>
        <v/>
      </c>
    </row>
  </sheetData>
  <mergeCells count="3">
    <mergeCell ref="A3:G3"/>
    <mergeCell ref="A2:G2"/>
    <mergeCell ref="A1:G1"/>
  </mergeCells>
  <conditionalFormatting sqref="H5">
    <cfRule type="expression" priority="1" dxfId="0">
      <formula>$G$39&lt;&gt;0</formula>
    </cfRule>
  </conditionalFormatting>
  <conditionalFormatting sqref="H39">
    <cfRule type="expression" priority="2" dxfId="0">
      <formula>$G$39&lt;&gt;0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zoomScale="235" zoomScaleNormal="235" workbookViewId="0">
      <pane ySplit="7" topLeftCell="A44" activePane="bottomLeft" state="frozen"/>
      <selection pane="bottomLeft" activeCell="G45" sqref="G45"/>
    </sheetView>
  </sheetViews>
  <sheetFormatPr baseColWidth="8" defaultRowHeight="12.75"/>
  <cols>
    <col width="3.5703125" customWidth="1" style="50" min="1" max="1"/>
    <col width="1.5703125" customWidth="1" style="50" min="4" max="4"/>
    <col width="36.5703125" customWidth="1" style="50" min="5" max="5"/>
    <col width="15.85546875" customWidth="1" style="50" min="6" max="6"/>
    <col width="13.7109375" customWidth="1" style="50" min="7" max="7"/>
    <col width="33" customWidth="1" style="50" min="8" max="8"/>
    <col width="13.28515625" bestFit="1" customWidth="1" style="73" min="9" max="9"/>
    <col width="14.140625" bestFit="1" customWidth="1" style="50" min="10" max="10"/>
    <col width="20.140625" customWidth="1" style="50" min="11" max="11"/>
  </cols>
  <sheetData>
    <row r="1" ht="15.75" customHeight="1" s="50">
      <c r="A1" s="45">
        <f>Cover!A1</f>
        <v/>
      </c>
      <c r="H1" s="21" t="n"/>
      <c r="I1" s="21" t="n"/>
    </row>
    <row r="2" ht="15.75" customHeight="1" s="50">
      <c r="A2" s="74">
        <f>Cover!B2</f>
        <v/>
      </c>
      <c r="H2" s="21" t="n"/>
      <c r="I2" s="21" t="n"/>
    </row>
    <row r="3">
      <c r="A3" s="47" t="inlineStr">
        <is>
          <t>2609-0000  Interest Accrual</t>
        </is>
      </c>
      <c r="H3" s="22" t="n"/>
      <c r="I3" s="22" t="n"/>
    </row>
    <row r="5">
      <c r="E5" t="inlineStr">
        <is>
          <t>Account Balance</t>
        </is>
      </c>
      <c r="G5" s="73">
        <f>-INDEX('Yardi Report'!A:E,MATCH(LEFT(A3,9),'Yardi Report'!A:A,0),3)</f>
        <v/>
      </c>
      <c r="H5">
        <f>IF(G48=0,"","Out of Balance")</f>
        <v/>
      </c>
    </row>
    <row r="7" ht="13.5" customHeight="1" s="50" thickBot="1">
      <c r="B7" s="18" t="inlineStr">
        <is>
          <t>Date</t>
        </is>
      </c>
      <c r="C7" s="18" t="inlineStr">
        <is>
          <t>Period</t>
        </is>
      </c>
      <c r="D7" s="18" t="n"/>
      <c r="E7" s="18" t="inlineStr">
        <is>
          <t>G/L Description</t>
        </is>
      </c>
      <c r="F7" s="18" t="n"/>
      <c r="G7" s="75" t="inlineStr">
        <is>
          <t>Amount</t>
        </is>
      </c>
      <c r="H7" s="25" t="inlineStr">
        <is>
          <t>Notes</t>
        </is>
      </c>
    </row>
    <row r="8" ht="13.5" customHeight="1" s="50" thickTop="1">
      <c r="G8" s="73" t="n"/>
      <c r="J8" t="n">
        <v>760.58</v>
      </c>
    </row>
    <row r="9">
      <c r="B9" s="32" t="n">
        <v>44985</v>
      </c>
      <c r="C9" s="33" t="n">
        <v>44958</v>
      </c>
      <c r="E9" s="17" t="inlineStr">
        <is>
          <t>Add'l Feb accrual from April statement</t>
        </is>
      </c>
      <c r="F9" s="80" t="n">
        <v>-1357.72</v>
      </c>
      <c r="G9" s="80" t="n"/>
    </row>
    <row r="10">
      <c r="B10" s="32" t="n">
        <v>45016</v>
      </c>
      <c r="C10" s="33" t="n">
        <v>44986</v>
      </c>
      <c r="E10" s="17" t="inlineStr">
        <is>
          <t>March interest accrual</t>
        </is>
      </c>
      <c r="F10" s="80" t="n">
        <v>-17417.9</v>
      </c>
      <c r="G10" s="80" t="n"/>
    </row>
    <row r="11">
      <c r="B11" s="32" t="n">
        <v>45016</v>
      </c>
      <c r="C11" s="33" t="n">
        <v>44986</v>
      </c>
      <c r="E11" s="17" t="inlineStr">
        <is>
          <t>Add'l Mar accrual from April (1st) statement</t>
        </is>
      </c>
      <c r="F11" s="80" t="n">
        <v>-7913.06</v>
      </c>
      <c r="G11" s="80" t="n"/>
    </row>
    <row r="12">
      <c r="B12" s="32" t="n">
        <v>45046</v>
      </c>
      <c r="C12" s="33" t="n">
        <v>45017</v>
      </c>
      <c r="E12" s="17" t="inlineStr">
        <is>
          <t>Interest Accrual adjustment from April statement</t>
        </is>
      </c>
      <c r="F12" s="80" t="n">
        <v>25956.46</v>
      </c>
      <c r="G12" s="80" t="n"/>
    </row>
    <row r="13">
      <c r="B13" s="32" t="n"/>
      <c r="C13" s="33" t="n"/>
      <c r="E13" s="17" t="n"/>
      <c r="F13" s="80" t="n"/>
      <c r="G13" s="80">
        <f>SUM(F9:F12)</f>
        <v/>
      </c>
    </row>
    <row r="14">
      <c r="B14" s="32" t="n"/>
      <c r="C14" s="33" t="n"/>
      <c r="E14" s="17" t="n"/>
      <c r="F14" s="80" t="n"/>
      <c r="G14" s="80" t="n"/>
    </row>
    <row r="15">
      <c r="B15" s="32" t="n">
        <v>45046</v>
      </c>
      <c r="C15" s="33" t="n">
        <v>45017</v>
      </c>
      <c r="E15" s="17" t="inlineStr">
        <is>
          <t>April Interest accrual (May 5 due date)</t>
        </is>
      </c>
      <c r="F15" s="80" t="n">
        <v>-27810.6</v>
      </c>
      <c r="G15" s="80" t="n"/>
    </row>
    <row r="16" ht="21.75" customHeight="1" s="50">
      <c r="B16" s="32" t="n">
        <v>45046</v>
      </c>
      <c r="C16" s="33" t="n">
        <v>45017</v>
      </c>
      <c r="E16" s="35" t="inlineStr">
        <is>
          <t>Adj April interest - incorrect calculation, daily interest was calculated to previous month</t>
        </is>
      </c>
      <c r="F16" s="80" t="n">
        <v>2468.89</v>
      </c>
      <c r="G16" s="80" t="n"/>
    </row>
    <row r="17" ht="23.45" customHeight="1" s="50">
      <c r="B17" s="32" t="n">
        <v>45077</v>
      </c>
      <c r="C17" s="33" t="n">
        <v>45047</v>
      </c>
      <c r="E17" s="35" t="inlineStr">
        <is>
          <t>Adj interest for 3/20-4/19 - 5/5 payment for 3/20-4/19</t>
        </is>
      </c>
      <c r="F17" s="80" t="n">
        <v>25539.11</v>
      </c>
      <c r="G17" s="80" t="n"/>
    </row>
    <row r="18">
      <c r="B18" s="32" t="n"/>
      <c r="C18" s="33" t="n"/>
      <c r="E18" s="17" t="n"/>
      <c r="F18" s="80" t="n"/>
      <c r="G18" s="80">
        <f>SUM(F15:F17)</f>
        <v/>
      </c>
    </row>
    <row r="19">
      <c r="B19" s="32" t="n"/>
      <c r="C19" s="33" t="n"/>
      <c r="E19" s="17" t="n"/>
      <c r="F19" s="80" t="n"/>
      <c r="G19" s="80" t="n"/>
    </row>
    <row r="20">
      <c r="B20" s="32" t="n">
        <v>45077</v>
      </c>
      <c r="C20" s="33" t="n">
        <v>45047</v>
      </c>
      <c r="E20" s="17" t="inlineStr">
        <is>
          <t>Adj interest for 5/1-5/31 - 5/5 payment for 3/20-4/19</t>
        </is>
      </c>
      <c r="F20" s="80" t="n">
        <v>-26390.41</v>
      </c>
      <c r="G20" s="80" t="n"/>
    </row>
    <row r="21">
      <c r="B21" s="32" t="n">
        <v>45107</v>
      </c>
      <c r="C21" s="33" t="n">
        <v>45078</v>
      </c>
      <c r="E21" s="17" t="inlineStr">
        <is>
          <t>Adj interest. 6/5 payment for 4/20-5/21</t>
        </is>
      </c>
      <c r="F21" s="80" t="n">
        <v>27281.63</v>
      </c>
      <c r="G21" s="80" t="n"/>
    </row>
    <row r="22">
      <c r="B22" s="32" t="n"/>
      <c r="C22" s="33" t="n"/>
      <c r="E22" s="17" t="n"/>
      <c r="F22" s="80" t="n"/>
      <c r="G22" s="80">
        <f>F21+F20</f>
        <v/>
      </c>
    </row>
    <row r="23">
      <c r="B23" s="32" t="n"/>
      <c r="C23" s="33" t="n"/>
      <c r="E23" s="17" t="n"/>
      <c r="F23" s="80" t="n"/>
      <c r="G23" s="80" t="n"/>
    </row>
    <row r="24">
      <c r="B24" s="32" t="n">
        <v>45107</v>
      </c>
      <c r="C24" s="33" t="n">
        <v>45078</v>
      </c>
      <c r="E24" s="17" t="inlineStr">
        <is>
          <t>Adj interest. 6/5 payment for 4/20-5/21</t>
        </is>
      </c>
      <c r="F24" s="80" t="n">
        <v>-25539.11</v>
      </c>
      <c r="G24" s="80" t="n"/>
    </row>
    <row r="25">
      <c r="B25" s="32" t="n">
        <v>45138</v>
      </c>
      <c r="C25" s="33" t="n">
        <v>45108</v>
      </c>
      <c r="E25" s="17" t="inlineStr">
        <is>
          <t>Adj interest. 7/5 payment for 5/20-6/21</t>
        </is>
      </c>
      <c r="F25" s="80" t="n">
        <v>26903.4</v>
      </c>
      <c r="G25" s="80" t="n"/>
    </row>
    <row r="26">
      <c r="B26" s="32" t="n"/>
      <c r="C26" s="33" t="n"/>
      <c r="E26" s="17" t="n"/>
      <c r="F26" s="80" t="n"/>
      <c r="G26" s="80">
        <f>F25+F24</f>
        <v/>
      </c>
    </row>
    <row r="27">
      <c r="B27" s="32" t="n"/>
      <c r="C27" s="33" t="n"/>
      <c r="E27" s="17" t="n"/>
      <c r="F27" s="80" t="n"/>
      <c r="G27" s="80" t="n"/>
    </row>
    <row r="28">
      <c r="B28" s="32" t="n">
        <v>45138</v>
      </c>
      <c r="C28" s="33" t="n">
        <v>45108</v>
      </c>
      <c r="E28" s="17" t="inlineStr">
        <is>
          <t>Adj interest. 7/5 payment for 5/20-6/21</t>
        </is>
      </c>
      <c r="F28" s="80" t="n">
        <v>-26390.41</v>
      </c>
      <c r="G28" s="80" t="n"/>
      <c r="J28">
        <f>+J8*12</f>
        <v/>
      </c>
    </row>
    <row r="29">
      <c r="B29" s="32" t="n">
        <v>45169</v>
      </c>
      <c r="C29" s="33" t="n">
        <v>45139</v>
      </c>
      <c r="E29" s="17" t="inlineStr">
        <is>
          <t>Adj interest. 8/5 payment for 6/20-7/20</t>
        </is>
      </c>
      <c r="F29" s="80" t="n">
        <v>27670.52</v>
      </c>
      <c r="G29" s="80" t="n"/>
    </row>
    <row r="30">
      <c r="B30" s="32" t="n"/>
      <c r="C30" s="33" t="n"/>
      <c r="E30" s="17" t="n"/>
      <c r="F30" s="80" t="n"/>
      <c r="G30" s="80">
        <f>F29+F28</f>
        <v/>
      </c>
    </row>
    <row r="31">
      <c r="B31" s="32" t="n"/>
      <c r="C31" s="33" t="n"/>
      <c r="E31" s="17" t="n"/>
      <c r="F31" s="80" t="n"/>
      <c r="G31" s="80" t="n"/>
    </row>
    <row r="32">
      <c r="B32" s="32" t="n">
        <v>45169</v>
      </c>
      <c r="C32" s="33" t="n">
        <v>45139</v>
      </c>
      <c r="E32" s="17" t="inlineStr">
        <is>
          <t>Adj interest. 8/5 payment for 6/20-7/20</t>
        </is>
      </c>
      <c r="F32" s="80" t="n">
        <v>-27670.52</v>
      </c>
      <c r="G32" s="80" t="n"/>
      <c r="J32" t="n">
        <v>560.09</v>
      </c>
    </row>
    <row r="33">
      <c r="B33" s="32" t="n">
        <v>45199</v>
      </c>
      <c r="C33" s="33" t="n">
        <v>45170</v>
      </c>
      <c r="E33" s="17" t="inlineStr">
        <is>
          <t>Adj interest. 9/5 payment for 7/20-8/20</t>
        </is>
      </c>
      <c r="F33" s="80" t="n">
        <v>28351.05</v>
      </c>
      <c r="G33" s="80" t="n"/>
      <c r="J33">
        <f>+J32*12</f>
        <v/>
      </c>
    </row>
    <row r="34">
      <c r="B34" s="32" t="n"/>
      <c r="C34" s="33" t="n"/>
      <c r="E34" s="17" t="n"/>
      <c r="F34" s="80" t="n"/>
      <c r="G34" s="80">
        <f>F33+F32</f>
        <v/>
      </c>
    </row>
    <row r="35">
      <c r="B35" s="32" t="n"/>
      <c r="C35" s="33" t="n"/>
      <c r="E35" s="17" t="n"/>
      <c r="F35" s="80" t="n"/>
      <c r="G35" s="80" t="n"/>
    </row>
    <row r="36">
      <c r="B36" s="32" t="n">
        <v>45199</v>
      </c>
      <c r="C36" s="33" t="n">
        <v>45170</v>
      </c>
      <c r="E36" s="17" t="inlineStr">
        <is>
          <t>Adj interest. 9/5 payment for 7/20-8/20</t>
        </is>
      </c>
      <c r="F36" s="80" t="n">
        <v>-26777.92</v>
      </c>
      <c r="G36" s="80" t="n"/>
    </row>
    <row r="37">
      <c r="B37" s="32" t="n">
        <v>45230</v>
      </c>
      <c r="C37" s="33" t="n">
        <v>45200</v>
      </c>
      <c r="E37" s="17" t="inlineStr">
        <is>
          <t>Adj interest. 10/5 payment for 8/20-9/20</t>
        </is>
      </c>
      <c r="F37" s="80" t="n">
        <v>28351.05</v>
      </c>
      <c r="G37" s="80" t="n"/>
    </row>
    <row r="38">
      <c r="B38" s="32" t="n"/>
      <c r="C38" s="33" t="n"/>
      <c r="E38" s="17" t="n"/>
      <c r="F38" s="80" t="n"/>
      <c r="G38" s="80">
        <f>F37+F36</f>
        <v/>
      </c>
    </row>
    <row r="39">
      <c r="B39" s="32" t="n"/>
      <c r="C39" s="33" t="n"/>
      <c r="E39" s="17" t="n"/>
      <c r="F39" s="80" t="n"/>
      <c r="G39" s="80" t="n"/>
    </row>
    <row r="40">
      <c r="B40" s="32" t="n">
        <v>45230</v>
      </c>
      <c r="C40" s="33" t="n">
        <v>45200</v>
      </c>
      <c r="E40" s="17" t="inlineStr">
        <is>
          <t>Adj interest. 10/5 payment for 8/20-9/20</t>
        </is>
      </c>
      <c r="F40" s="80" t="n"/>
      <c r="G40" s="80" t="n">
        <v>-31325.81</v>
      </c>
    </row>
    <row r="41">
      <c r="B41" s="32" t="n"/>
      <c r="C41" s="33" t="n"/>
      <c r="E41" s="17" t="n"/>
      <c r="F41" s="80" t="n"/>
      <c r="G41" s="80" t="n"/>
      <c r="H41" s="72" t="n"/>
    </row>
    <row r="42">
      <c r="B42" s="32" t="n">
        <v>45260</v>
      </c>
      <c r="C42" s="33" t="n">
        <v>45231</v>
      </c>
      <c r="E42" s="17" t="inlineStr">
        <is>
          <t>Adj for calendar days vs statement days</t>
        </is>
      </c>
      <c r="F42" s="80" t="n"/>
      <c r="G42" s="80" t="n">
        <v>2581.28</v>
      </c>
      <c r="H42" s="72" t="n"/>
    </row>
    <row r="43">
      <c r="B43" s="32" t="n"/>
      <c r="C43" s="33" t="n"/>
      <c r="E43" s="17" t="n"/>
      <c r="F43" s="80" t="n"/>
      <c r="G43" s="80" t="n"/>
      <c r="H43" s="72" t="n"/>
    </row>
    <row r="44">
      <c r="B44" s="32" t="n">
        <v>45291</v>
      </c>
      <c r="C44" s="33" t="n">
        <v>45261</v>
      </c>
      <c r="E44" s="17" t="inlineStr">
        <is>
          <t>Adj interest expense to correct monthly expense</t>
        </is>
      </c>
      <c r="F44" s="80" t="n"/>
      <c r="G44" s="80" t="n">
        <v>-2944.97</v>
      </c>
      <c r="H44" s="72" t="n"/>
    </row>
    <row r="45">
      <c r="B45" s="76" t="n">
        <v>45883</v>
      </c>
      <c r="C45" s="28" t="n">
        <v>45870</v>
      </c>
      <c r="E45" s="17" t="inlineStr">
        <is>
          <t>Closing fees and interest on loan mod 1710</t>
        </is>
      </c>
      <c r="F45" s="77" t="n"/>
      <c r="G45" s="80" t="n">
        <v>27302.81</v>
      </c>
      <c r="H45" s="72" t="n"/>
    </row>
    <row r="46">
      <c r="B46" s="76" t="n"/>
      <c r="C46" s="76" t="n"/>
      <c r="E46" s="17" t="n"/>
      <c r="F46" s="77" t="n"/>
      <c r="G46" s="73" t="n"/>
      <c r="H46" s="72" t="n"/>
    </row>
    <row r="47" ht="13.5" customFormat="1" customHeight="1" s="73" thickBot="1"/>
    <row r="48" ht="13.5" customFormat="1" customHeight="1" s="73" thickTop="1">
      <c r="B48" s="23" t="n"/>
      <c r="C48" s="23" t="n"/>
      <c r="D48" s="23" t="n"/>
      <c r="E48" s="23" t="inlineStr">
        <is>
          <t>Variance</t>
        </is>
      </c>
      <c r="F48" s="23" t="n"/>
      <c r="G48" s="79">
        <f>ROUND(G5-SUM(G9:G47),2)</f>
        <v/>
      </c>
      <c r="H48">
        <f>IF(G48=0,"","Out of Balance")</f>
        <v/>
      </c>
    </row>
  </sheetData>
  <mergeCells count="3">
    <mergeCell ref="A3:G3"/>
    <mergeCell ref="A2:G2"/>
    <mergeCell ref="A1:G1"/>
  </mergeCells>
  <conditionalFormatting sqref="H5">
    <cfRule type="expression" priority="1" dxfId="0">
      <formula>$G$48&lt;&gt;0</formula>
    </cfRule>
  </conditionalFormatting>
  <conditionalFormatting sqref="H48">
    <cfRule type="expression" priority="2" dxfId="0">
      <formula>$G$48&lt;&gt;0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7"/>
  <sheetViews>
    <sheetView zoomScale="175" zoomScaleNormal="175" workbookViewId="0">
      <pane ySplit="7" topLeftCell="A150" activePane="bottomLeft" state="frozen"/>
      <selection pane="bottomLeft" activeCell="A147" sqref="A147:XFD147"/>
    </sheetView>
  </sheetViews>
  <sheetFormatPr baseColWidth="8" defaultRowHeight="12.75" outlineLevelRow="1"/>
  <cols>
    <col width="3.5703125" customWidth="1" style="50" min="1" max="1"/>
    <col width="1.5703125" customWidth="1" style="50" min="4" max="4"/>
    <col width="46.7109375" customWidth="1" style="50" min="5" max="5"/>
    <col width="11.85546875" customWidth="1" style="50" min="6" max="6"/>
    <col width="13.7109375" customWidth="1" style="50" min="7" max="7"/>
    <col width="33" customWidth="1" style="50" min="8" max="8"/>
    <col width="13.28515625" bestFit="1" customWidth="1" style="73" min="9" max="9"/>
    <col width="14.140625" bestFit="1" customWidth="1" style="50" min="10" max="10"/>
    <col width="20.140625" customWidth="1" style="50" min="11" max="11"/>
  </cols>
  <sheetData>
    <row r="1" ht="15.75" customHeight="1" s="50">
      <c r="A1" s="45">
        <f>Cover!A1</f>
        <v/>
      </c>
      <c r="H1" s="21" t="n"/>
      <c r="I1" s="21" t="n"/>
    </row>
    <row r="2" ht="15.75" customHeight="1" s="50">
      <c r="A2" s="74">
        <f>Cover!B2</f>
        <v/>
      </c>
      <c r="H2" s="21" t="n"/>
      <c r="I2" s="21" t="n"/>
    </row>
    <row r="3" ht="13.15" customHeight="1" s="50">
      <c r="A3" s="47" t="inlineStr">
        <is>
          <t>2640-0998  Expense Accrual</t>
        </is>
      </c>
      <c r="H3" s="22" t="n"/>
      <c r="I3" s="22" t="n"/>
    </row>
    <row r="5" ht="13.15" customHeight="1" s="50">
      <c r="E5" t="inlineStr">
        <is>
          <t>Account Balance</t>
        </is>
      </c>
      <c r="G5" s="73">
        <f>-INDEX('Yardi Report'!A:E,MATCH(LEFT(A3,9),'Yardi Report'!A:A,0),3)</f>
        <v/>
      </c>
      <c r="H5">
        <f>IF(G157=0,"","Out of Balance")</f>
        <v/>
      </c>
    </row>
    <row r="7" ht="13.15" customHeight="1" s="50" thickBot="1">
      <c r="B7" s="18" t="inlineStr">
        <is>
          <t>Date</t>
        </is>
      </c>
      <c r="C7" s="18" t="inlineStr">
        <is>
          <t>Period</t>
        </is>
      </c>
      <c r="D7" s="18" t="n"/>
      <c r="E7" s="18" t="inlineStr">
        <is>
          <t>G/L Description</t>
        </is>
      </c>
      <c r="F7" s="18" t="n"/>
      <c r="G7" s="75" t="inlineStr">
        <is>
          <t>Amount</t>
        </is>
      </c>
      <c r="H7" s="25" t="inlineStr">
        <is>
          <t>Notes</t>
        </is>
      </c>
    </row>
    <row r="8" ht="13.5" customHeight="1" s="50" thickTop="1">
      <c r="G8" s="73" t="n"/>
    </row>
    <row r="9" hidden="1" outlineLevel="1" s="50">
      <c r="B9" s="32" t="n">
        <v>44985</v>
      </c>
      <c r="C9" s="33" t="n">
        <v>44958</v>
      </c>
      <c r="E9" s="72" t="inlineStr">
        <is>
          <t>Adj cc fees to correct month</t>
        </is>
      </c>
      <c r="F9" s="73" t="n">
        <v>-60.13</v>
      </c>
      <c r="G9" s="73" t="n"/>
      <c r="H9" t="inlineStr">
        <is>
          <t>Credit Card Processing Fees</t>
        </is>
      </c>
    </row>
    <row r="10" hidden="1" outlineLevel="1" s="50">
      <c r="B10" s="32" t="n">
        <v>44985</v>
      </c>
      <c r="C10" s="33" t="n">
        <v>44958</v>
      </c>
      <c r="E10" s="72" t="inlineStr">
        <is>
          <t>10 days electric service per invoice</t>
        </is>
      </c>
      <c r="F10" s="73" t="n">
        <v>-413.5</v>
      </c>
      <c r="G10" s="73" t="n"/>
      <c r="H10" t="inlineStr">
        <is>
          <t>Electricity</t>
        </is>
      </c>
    </row>
    <row r="11" hidden="1" outlineLevel="1" s="50">
      <c r="B11" s="32" t="n">
        <v>44985</v>
      </c>
      <c r="C11" s="33" t="n">
        <v>44958</v>
      </c>
      <c r="E11" s="72" t="inlineStr">
        <is>
          <t>SiteLink accrual</t>
        </is>
      </c>
      <c r="F11" s="73" t="n">
        <v>-263.61</v>
      </c>
      <c r="G11" s="73" t="n"/>
      <c r="H11" t="inlineStr">
        <is>
          <t>Software</t>
        </is>
      </c>
    </row>
    <row r="12" hidden="1" outlineLevel="1" s="50">
      <c r="B12" s="32" t="n">
        <v>45016</v>
      </c>
      <c r="C12" s="33" t="n">
        <v>44986</v>
      </c>
      <c r="E12" s="72" t="inlineStr">
        <is>
          <t>EOM Expense Accruals for new property</t>
        </is>
      </c>
      <c r="F12" s="73" t="n">
        <v>-1401.31</v>
      </c>
      <c r="G12" s="73" t="n"/>
      <c r="H12" t="inlineStr">
        <is>
          <t>Electricity</t>
        </is>
      </c>
    </row>
    <row r="13" hidden="1" outlineLevel="1" s="50">
      <c r="B13" s="32" t="n">
        <v>45016</v>
      </c>
      <c r="C13" s="33" t="n">
        <v>44986</v>
      </c>
      <c r="E13" s="72" t="inlineStr">
        <is>
          <t>SiteLink accrual</t>
        </is>
      </c>
      <c r="F13" s="73" t="n">
        <v>-203.48</v>
      </c>
      <c r="G13" s="73" t="n"/>
      <c r="H13" t="inlineStr">
        <is>
          <t>Software</t>
        </is>
      </c>
    </row>
    <row r="14" hidden="1" outlineLevel="1" s="50">
      <c r="B14" s="32" t="n">
        <v>45016</v>
      </c>
      <c r="C14" s="33" t="n">
        <v>44986</v>
      </c>
      <c r="E14" s="72" t="inlineStr">
        <is>
          <t>duplicate payment to Spectrum</t>
        </is>
      </c>
      <c r="F14" s="73" t="n">
        <v>207.96</v>
      </c>
      <c r="G14" s="73" t="n"/>
      <c r="H14" t="inlineStr">
        <is>
          <t>Telephone Service</t>
        </is>
      </c>
    </row>
    <row r="15" hidden="1" outlineLevel="1" s="50">
      <c r="B15" s="32" t="n">
        <v>45016</v>
      </c>
      <c r="C15" s="33" t="n">
        <v>44986</v>
      </c>
      <c r="E15" s="72" t="inlineStr">
        <is>
          <t>EOM Expense Accruals for new property</t>
        </is>
      </c>
      <c r="F15" s="73" t="n">
        <v>-225</v>
      </c>
      <c r="G15" s="73" t="n"/>
      <c r="H15" t="inlineStr">
        <is>
          <t>Trash Disposal</t>
        </is>
      </c>
    </row>
    <row r="16" hidden="1" outlineLevel="1" s="50">
      <c r="B16" s="32" t="n">
        <v>45016</v>
      </c>
      <c r="C16" s="33" t="n">
        <v>44986</v>
      </c>
      <c r="E16" s="72" t="inlineStr">
        <is>
          <t>Adj Trash accruals post invoicing</t>
        </is>
      </c>
      <c r="F16" s="73" t="n">
        <v>190</v>
      </c>
      <c r="G16" s="73" t="n"/>
      <c r="H16" t="inlineStr">
        <is>
          <t>Trash Disposal</t>
        </is>
      </c>
    </row>
    <row r="17" hidden="1" outlineLevel="1" s="50">
      <c r="B17" s="32" t="n">
        <v>45046</v>
      </c>
      <c r="C17" s="33" t="n">
        <v>45017</v>
      </c>
      <c r="E17" s="72" t="inlineStr">
        <is>
          <t>EOM accruals - April fees</t>
        </is>
      </c>
      <c r="F17" s="73" t="n">
        <v>-1154.97</v>
      </c>
      <c r="G17" s="73" t="n"/>
      <c r="H17" t="inlineStr">
        <is>
          <t>Credit Card Processing Fees</t>
        </is>
      </c>
    </row>
    <row r="18" hidden="1" outlineLevel="1" s="50">
      <c r="B18" s="32" t="n">
        <v>45046</v>
      </c>
      <c r="C18" s="33" t="n">
        <v>45017</v>
      </c>
      <c r="E18" s="72" t="inlineStr">
        <is>
          <t>EOM accruals</t>
        </is>
      </c>
      <c r="F18" s="73" t="n">
        <v>-1401.31</v>
      </c>
      <c r="G18" s="73" t="n"/>
      <c r="H18" t="inlineStr">
        <is>
          <t>Electricity</t>
        </is>
      </c>
    </row>
    <row r="19" hidden="1" outlineLevel="1" s="50">
      <c r="B19" s="32" t="n">
        <v>45046</v>
      </c>
      <c r="C19" s="33" t="n">
        <v>45017</v>
      </c>
      <c r="E19" s="72" t="inlineStr">
        <is>
          <t>EOM accruals</t>
        </is>
      </c>
      <c r="F19" s="73" t="n">
        <v>-60.13</v>
      </c>
      <c r="G19" s="73" t="n"/>
      <c r="H19" t="inlineStr">
        <is>
          <t>Software</t>
        </is>
      </c>
    </row>
    <row r="20" hidden="1" outlineLevel="1" s="50">
      <c r="B20" s="32" t="n">
        <v>45046</v>
      </c>
      <c r="C20" s="33" t="n">
        <v>45017</v>
      </c>
      <c r="E20" s="72" t="inlineStr">
        <is>
          <t>SiteLink accrual</t>
        </is>
      </c>
      <c r="F20" s="73" t="n">
        <v>-203.48</v>
      </c>
      <c r="G20" s="73" t="n"/>
      <c r="H20" t="inlineStr">
        <is>
          <t>Software</t>
        </is>
      </c>
    </row>
    <row r="21" hidden="1" outlineLevel="1" s="50">
      <c r="B21" s="32" t="n">
        <v>45020</v>
      </c>
      <c r="C21" s="33" t="n">
        <v>45017</v>
      </c>
      <c r="E21" s="72" t="inlineStr">
        <is>
          <t>Duke Energy deposit acct 9101 4038 2101</t>
        </is>
      </c>
      <c r="F21" s="73" t="n">
        <v>-2000</v>
      </c>
      <c r="G21" s="73" t="n"/>
      <c r="H21" t="inlineStr">
        <is>
          <t>Utility Security Deposits</t>
        </is>
      </c>
    </row>
    <row r="22" hidden="1" outlineLevel="1" s="50">
      <c r="B22" s="32" t="n">
        <v>45046</v>
      </c>
      <c r="C22" s="33" t="n">
        <v>45017</v>
      </c>
      <c r="E22" s="72" t="inlineStr">
        <is>
          <t>Add duplicate payment to Theresa to accrual and add correct April mileage</t>
        </is>
      </c>
      <c r="F22" s="73" t="n">
        <v>844</v>
      </c>
      <c r="G22" s="73" t="n"/>
      <c r="H22" t="inlineStr">
        <is>
          <t>Vehicle Expense</t>
        </is>
      </c>
    </row>
    <row r="23" hidden="1" outlineLevel="1" s="50">
      <c r="B23" s="32" t="n">
        <v>45046</v>
      </c>
      <c r="C23" s="33" t="n">
        <v>45017</v>
      </c>
      <c r="E23" s="72" t="inlineStr">
        <is>
          <t>Add correct April mileage</t>
        </is>
      </c>
      <c r="F23" s="73" t="n">
        <v>-615</v>
      </c>
      <c r="G23" s="73" t="n"/>
      <c r="H23" t="inlineStr">
        <is>
          <t>Vehicle Expense</t>
        </is>
      </c>
    </row>
    <row r="24" hidden="1" outlineLevel="1" s="50">
      <c r="B24" s="32" t="n">
        <v>45046</v>
      </c>
      <c r="C24" s="33" t="n">
        <v>45017</v>
      </c>
      <c r="E24" s="72" t="inlineStr">
        <is>
          <t>EOM accruals</t>
        </is>
      </c>
      <c r="F24" s="73" t="n">
        <v>-200</v>
      </c>
      <c r="G24" s="73" t="n"/>
      <c r="H24" t="inlineStr">
        <is>
          <t>Water and Sewer</t>
        </is>
      </c>
    </row>
    <row r="25" hidden="1" outlineLevel="1" s="50">
      <c r="B25" s="32" t="n">
        <v>45054</v>
      </c>
      <c r="C25" s="33" t="n">
        <v>45047</v>
      </c>
      <c r="E25" s="72" t="inlineStr">
        <is>
          <t>payment to Duke Energy for past due invoices acct 910140382101</t>
        </is>
      </c>
      <c r="F25" s="73" t="n">
        <v>5055.96</v>
      </c>
      <c r="G25" s="73" t="n"/>
      <c r="H25" t="inlineStr">
        <is>
          <t>Electricity</t>
        </is>
      </c>
    </row>
    <row r="26" hidden="1" outlineLevel="1" s="50">
      <c r="B26" s="32" t="n">
        <v>45080</v>
      </c>
      <c r="C26" s="33" t="n">
        <v>45047</v>
      </c>
      <c r="E26" s="72" t="inlineStr">
        <is>
          <t>06-03-2023 Basic service, Wildwood</t>
        </is>
      </c>
      <c r="F26" s="73" t="n">
        <v>300</v>
      </c>
      <c r="G26" s="73" t="n"/>
      <c r="H26" t="inlineStr">
        <is>
          <t>Fire and Life Safety Maintenance</t>
        </is>
      </c>
    </row>
    <row r="27" hidden="1" outlineLevel="1" s="50">
      <c r="B27" s="32" t="n">
        <v>45077</v>
      </c>
      <c r="C27" s="33" t="n">
        <v>45047</v>
      </c>
      <c r="E27" s="72" t="inlineStr">
        <is>
          <t>adj Odins Villages expense dates</t>
        </is>
      </c>
      <c r="F27" s="73" t="n">
        <v>-176.67</v>
      </c>
      <c r="G27" s="73" t="n"/>
      <c r="H27" t="inlineStr">
        <is>
          <t>Janiorial Services</t>
        </is>
      </c>
    </row>
    <row r="28" hidden="1" outlineLevel="1" s="50">
      <c r="B28" s="32" t="n">
        <v>45077</v>
      </c>
      <c r="C28" s="33" t="n">
        <v>45047</v>
      </c>
      <c r="E28" s="72" t="inlineStr">
        <is>
          <t>Expense accruals for missing invoices</t>
        </is>
      </c>
      <c r="F28" s="73" t="n">
        <v>-60.13</v>
      </c>
      <c r="G28" s="73" t="n"/>
      <c r="H28" t="inlineStr">
        <is>
          <t>Software</t>
        </is>
      </c>
    </row>
    <row r="29" hidden="1" outlineLevel="1" s="50">
      <c r="B29" s="32" t="n">
        <v>45077</v>
      </c>
      <c r="C29" s="33" t="n">
        <v>45047</v>
      </c>
      <c r="E29" s="72" t="inlineStr">
        <is>
          <t>SiteLink accrual</t>
        </is>
      </c>
      <c r="F29" s="73" t="n">
        <v>-263.61</v>
      </c>
      <c r="G29" s="73" t="n"/>
      <c r="H29" t="inlineStr">
        <is>
          <t>Software</t>
        </is>
      </c>
    </row>
    <row r="30" hidden="1" outlineLevel="1" s="50">
      <c r="B30" s="32" t="n">
        <v>45077</v>
      </c>
      <c r="C30" s="33" t="n">
        <v>45047</v>
      </c>
      <c r="E30" s="72" t="inlineStr">
        <is>
          <t>Expense accruals for missing invoices</t>
        </is>
      </c>
      <c r="F30" s="73" t="n">
        <v>-59.98</v>
      </c>
      <c r="G30" s="73" t="n"/>
      <c r="H30" t="inlineStr">
        <is>
          <t>Telephone Service</t>
        </is>
      </c>
    </row>
    <row r="31" hidden="1" outlineLevel="1" s="50">
      <c r="B31" s="32" t="n">
        <v>45077</v>
      </c>
      <c r="C31" s="33" t="n">
        <v>45047</v>
      </c>
      <c r="E31" s="72" t="inlineStr">
        <is>
          <t>Adj Trash accruals post invoicing</t>
        </is>
      </c>
      <c r="F31" s="73" t="n">
        <v>190</v>
      </c>
      <c r="G31" s="73" t="n"/>
      <c r="H31" t="inlineStr">
        <is>
          <t>Trash Discposal</t>
        </is>
      </c>
    </row>
    <row r="32" hidden="1" outlineLevel="1" s="50">
      <c r="B32" s="32" t="n">
        <v>45077</v>
      </c>
      <c r="C32" s="33" t="n">
        <v>45047</v>
      </c>
      <c r="E32" s="72" t="inlineStr">
        <is>
          <t>Expense accruals for missing invoices</t>
        </is>
      </c>
      <c r="F32" s="73" t="n">
        <v>-225</v>
      </c>
      <c r="G32" s="73" t="n"/>
      <c r="H32" t="inlineStr">
        <is>
          <t>Trash Disposal</t>
        </is>
      </c>
    </row>
    <row r="33" hidden="1" outlineLevel="1" s="50">
      <c r="B33" s="32" t="n">
        <v>45107</v>
      </c>
      <c r="C33" s="33" t="n">
        <v>45078</v>
      </c>
      <c r="E33" s="72" t="inlineStr">
        <is>
          <t>Adj Odins GL accounts and accrue for invoices not received</t>
        </is>
      </c>
      <c r="F33" s="73" t="n">
        <v>-336</v>
      </c>
      <c r="G33" s="73" t="n"/>
      <c r="H33" t="inlineStr">
        <is>
          <t>Fire and Life Safety Maintenance</t>
        </is>
      </c>
    </row>
    <row r="34" hidden="1" outlineLevel="1" s="50">
      <c r="B34" s="32" t="n">
        <v>45107</v>
      </c>
      <c r="C34" s="33" t="n">
        <v>45078</v>
      </c>
      <c r="E34" s="72" t="inlineStr">
        <is>
          <t>Adj Expense accrual for payment processed</t>
        </is>
      </c>
      <c r="F34" s="73" t="n">
        <v>216.92</v>
      </c>
      <c r="G34" s="73" t="n"/>
      <c r="H34" t="inlineStr">
        <is>
          <t>Internet Services</t>
        </is>
      </c>
    </row>
    <row r="35" hidden="1" outlineLevel="1" s="50">
      <c r="B35" s="32" t="n">
        <v>45107</v>
      </c>
      <c r="C35" s="33" t="n">
        <v>45078</v>
      </c>
      <c r="E35" s="72" t="inlineStr">
        <is>
          <t>Accrual for sales tax over collection</t>
        </is>
      </c>
      <c r="F35" s="73" t="n">
        <v>-872.78</v>
      </c>
      <c r="G35" s="73" t="n"/>
      <c r="H35" t="inlineStr">
        <is>
          <t>Sales Tax</t>
        </is>
      </c>
    </row>
    <row r="36" hidden="1" outlineLevel="1" s="50">
      <c r="B36" s="32" t="n">
        <v>45107</v>
      </c>
      <c r="C36" s="33" t="n">
        <v>45078</v>
      </c>
      <c r="E36" s="72" t="inlineStr">
        <is>
          <t>SiteLink accrual</t>
        </is>
      </c>
      <c r="F36" s="73" t="n">
        <v>-263.61</v>
      </c>
      <c r="G36" s="73" t="n"/>
      <c r="H36" t="inlineStr">
        <is>
          <t>Software</t>
        </is>
      </c>
    </row>
    <row r="37" hidden="1" outlineLevel="1" s="50">
      <c r="B37" s="32" t="n">
        <v>45103</v>
      </c>
      <c r="C37" s="33" t="n">
        <v>45078</v>
      </c>
      <c r="E37" s="72" t="inlineStr">
        <is>
          <t>Adj for accrual booked</t>
        </is>
      </c>
      <c r="F37" s="73" t="n">
        <v>225</v>
      </c>
      <c r="G37" s="73" t="n"/>
      <c r="H37" t="inlineStr">
        <is>
          <t>Trash Disposal</t>
        </is>
      </c>
    </row>
    <row r="38" hidden="1" outlineLevel="1" s="50">
      <c r="B38" s="32" t="n">
        <v>45107</v>
      </c>
      <c r="C38" s="33" t="n">
        <v>45078</v>
      </c>
      <c r="E38" s="72" t="inlineStr">
        <is>
          <t>Accrue for mileage, invoice not received</t>
        </is>
      </c>
      <c r="F38" s="73" t="n">
        <v>-300</v>
      </c>
      <c r="G38" s="73" t="n"/>
      <c r="H38" t="inlineStr">
        <is>
          <t>Vehicle Expense</t>
        </is>
      </c>
    </row>
    <row r="39" hidden="1" outlineLevel="1" s="50">
      <c r="B39" s="32" t="n">
        <v>45138</v>
      </c>
      <c r="C39" s="33" t="n">
        <v>45108</v>
      </c>
      <c r="E39" s="72" t="inlineStr">
        <is>
          <t>EOM accruals and adjustments</t>
        </is>
      </c>
      <c r="F39" s="73" t="n">
        <v>-325</v>
      </c>
      <c r="G39" s="73" t="n"/>
      <c r="H39" t="inlineStr">
        <is>
          <t>Fire and Life Safety Maintenance</t>
        </is>
      </c>
    </row>
    <row r="40" hidden="1" outlineLevel="1" s="50">
      <c r="B40" s="32" t="n">
        <v>45113</v>
      </c>
      <c r="C40" s="33" t="n">
        <v>45108</v>
      </c>
      <c r="E40" s="72" t="inlineStr">
        <is>
          <t>08/01-08/31/23 XPS Reputation services, Wildwood</t>
        </is>
      </c>
      <c r="F40" s="73" t="n">
        <v>99</v>
      </c>
      <c r="G40" s="73" t="n"/>
      <c r="H40" t="inlineStr">
        <is>
          <t>Internet Marketing</t>
        </is>
      </c>
    </row>
    <row r="41" hidden="1" outlineLevel="1" s="50">
      <c r="B41" s="32" t="n">
        <v>45138</v>
      </c>
      <c r="C41" s="33" t="n">
        <v>45108</v>
      </c>
      <c r="E41" s="72" t="inlineStr">
        <is>
          <t>EOM accruals and adjustments</t>
        </is>
      </c>
      <c r="F41" s="73" t="n">
        <v>-147.98</v>
      </c>
      <c r="G41" s="73" t="n"/>
      <c r="H41" t="inlineStr">
        <is>
          <t>Internet Services</t>
        </is>
      </c>
    </row>
    <row r="42" hidden="1" outlineLevel="1" s="50">
      <c r="B42" s="32" t="n">
        <v>45138</v>
      </c>
      <c r="C42" s="33" t="n">
        <v>45108</v>
      </c>
      <c r="E42" s="72" t="inlineStr">
        <is>
          <t>adj Odins Villages expense dates</t>
        </is>
      </c>
      <c r="F42" s="73" t="n">
        <v>-185.03</v>
      </c>
      <c r="G42" s="73" t="n"/>
      <c r="H42" t="inlineStr">
        <is>
          <t>Janiorial Services</t>
        </is>
      </c>
    </row>
    <row r="43" hidden="1" outlineLevel="1" s="50">
      <c r="B43" s="32" t="n">
        <v>45138</v>
      </c>
      <c r="C43" s="33" t="n">
        <v>45108</v>
      </c>
      <c r="E43" s="72" t="inlineStr">
        <is>
          <t>SiteLink payment correction</t>
        </is>
      </c>
      <c r="F43" s="73" t="n">
        <v>-250</v>
      </c>
      <c r="G43" s="73" t="n"/>
      <c r="H43" t="inlineStr">
        <is>
          <t>Setup Costs</t>
        </is>
      </c>
    </row>
    <row r="44" hidden="1" outlineLevel="1" s="50">
      <c r="B44" s="32" t="n">
        <v>45138</v>
      </c>
      <c r="C44" s="33" t="n">
        <v>45108</v>
      </c>
      <c r="E44" s="72" t="inlineStr">
        <is>
          <t>SiteLink payment correction</t>
        </is>
      </c>
      <c r="F44" s="73" t="n">
        <v>1568.03</v>
      </c>
      <c r="G44" s="73" t="n"/>
      <c r="H44" t="inlineStr">
        <is>
          <t>Software</t>
        </is>
      </c>
    </row>
    <row r="45" hidden="1" outlineLevel="1" s="50">
      <c r="B45" s="32" t="n">
        <v>45138</v>
      </c>
      <c r="C45" s="33" t="n">
        <v>45108</v>
      </c>
      <c r="E45" s="72" t="inlineStr">
        <is>
          <t>EOM accruals and adjustments</t>
        </is>
      </c>
      <c r="F45" s="73" t="n">
        <v>-49.99</v>
      </c>
      <c r="G45" s="73" t="n"/>
      <c r="H45" t="inlineStr">
        <is>
          <t>Telephone Service</t>
        </is>
      </c>
    </row>
    <row r="46" hidden="1" outlineLevel="1" s="50">
      <c r="B46" s="32" t="n">
        <v>45138</v>
      </c>
      <c r="C46" s="33" t="n">
        <v>45108</v>
      </c>
      <c r="E46" s="72" t="inlineStr">
        <is>
          <t>offset accrual from June</t>
        </is>
      </c>
      <c r="F46" s="73" t="n">
        <v>300</v>
      </c>
      <c r="G46" s="73" t="n"/>
      <c r="H46" t="inlineStr">
        <is>
          <t>Vehicle Expense</t>
        </is>
      </c>
    </row>
    <row r="47" hidden="1" outlineLevel="1" s="50">
      <c r="B47" s="32" t="n">
        <v>45161</v>
      </c>
      <c r="C47" s="33" t="n">
        <v>45139</v>
      </c>
      <c r="E47" s="72" t="inlineStr">
        <is>
          <t>3 week Basic Service</t>
        </is>
      </c>
      <c r="F47" s="73" t="n">
        <v>575</v>
      </c>
      <c r="G47" s="73" t="n"/>
      <c r="H47" t="inlineStr">
        <is>
          <t>Fire and Life Safety Maintenance</t>
        </is>
      </c>
    </row>
    <row r="48" hidden="1" outlineLevel="1" s="50">
      <c r="B48" s="32" t="n">
        <v>45169</v>
      </c>
      <c r="C48" s="33" t="n">
        <v>45139</v>
      </c>
      <c r="E48" s="72" t="inlineStr">
        <is>
          <t>Spectrum invoice for expense - account has a credit</t>
        </is>
      </c>
      <c r="F48" s="73" t="n">
        <v>-148.19</v>
      </c>
      <c r="G48" s="73" t="n"/>
      <c r="H48" t="inlineStr">
        <is>
          <t>Internet Services</t>
        </is>
      </c>
    </row>
    <row r="49" hidden="1" outlineLevel="1" s="50">
      <c r="B49" s="32" t="n">
        <v>45169</v>
      </c>
      <c r="C49" s="33" t="n">
        <v>45139</v>
      </c>
      <c r="E49" s="72" t="inlineStr">
        <is>
          <t>Spectrum invoice for expense - account has a credit</t>
        </is>
      </c>
      <c r="F49" s="73" t="n">
        <v>-60.19</v>
      </c>
      <c r="G49" s="73" t="n"/>
      <c r="H49" t="inlineStr">
        <is>
          <t>Telephone Service</t>
        </is>
      </c>
    </row>
    <row r="50" hidden="1" outlineLevel="1" s="50">
      <c r="B50" s="32" t="n">
        <v>45169</v>
      </c>
      <c r="C50" s="33" t="n">
        <v>45139</v>
      </c>
      <c r="E50" s="72" t="inlineStr">
        <is>
          <t>Accrue for Theresa Reed travel</t>
        </is>
      </c>
      <c r="F50" s="73" t="n">
        <v>-350</v>
      </c>
      <c r="G50" s="73" t="n"/>
      <c r="H50" t="inlineStr">
        <is>
          <t>Vehicle Expense</t>
        </is>
      </c>
    </row>
    <row r="51" hidden="1" outlineLevel="1" s="50">
      <c r="B51" s="32" t="n">
        <v>45198</v>
      </c>
      <c r="C51" s="33" t="n">
        <v>45170</v>
      </c>
      <c r="E51" s="72" t="inlineStr">
        <is>
          <t>Accrue for expenses not yet received</t>
        </is>
      </c>
      <c r="F51" s="73" t="n">
        <v>-150</v>
      </c>
      <c r="G51" s="73" t="n"/>
      <c r="H51" t="inlineStr">
        <is>
          <t>Internet Services</t>
        </is>
      </c>
    </row>
    <row r="52" hidden="1" outlineLevel="1" s="50">
      <c r="B52" s="32" t="n">
        <v>45198</v>
      </c>
      <c r="C52" s="33" t="n">
        <v>45170</v>
      </c>
      <c r="E52" s="72" t="inlineStr">
        <is>
          <t>Accrue for expenses not yet received</t>
        </is>
      </c>
      <c r="F52" s="73" t="n">
        <v>-50</v>
      </c>
      <c r="G52" s="73" t="n"/>
      <c r="H52" t="inlineStr">
        <is>
          <t>Telephone Service</t>
        </is>
      </c>
    </row>
    <row r="53" hidden="1" outlineLevel="1" s="50">
      <c r="B53" s="32" t="n">
        <v>45198</v>
      </c>
      <c r="C53" s="33" t="n">
        <v>45170</v>
      </c>
      <c r="E53" s="72" t="inlineStr">
        <is>
          <t>Accrue for expenses not yet received</t>
        </is>
      </c>
      <c r="F53" s="73" t="n">
        <v>-300</v>
      </c>
      <c r="G53" s="73" t="n"/>
      <c r="H53" t="inlineStr">
        <is>
          <t>Vehicle Expense</t>
        </is>
      </c>
    </row>
    <row r="54" hidden="1" outlineLevel="1" s="50">
      <c r="B54" s="32" t="n">
        <v>45230</v>
      </c>
      <c r="C54" s="33" t="n">
        <v>45200</v>
      </c>
      <c r="E54" s="72" t="inlineStr">
        <is>
          <t>T Reed mileage accrual</t>
        </is>
      </c>
      <c r="F54" s="73" t="n">
        <v>-200</v>
      </c>
      <c r="G54" s="73" t="n"/>
      <c r="H54" t="inlineStr">
        <is>
          <t>Vehicle Expense</t>
        </is>
      </c>
    </row>
    <row r="55" hidden="1" outlineLevel="1" s="50">
      <c r="B55" s="32" t="n">
        <v>45291</v>
      </c>
      <c r="C55" s="33" t="n">
        <v>45261</v>
      </c>
      <c r="E55" s="72" t="inlineStr">
        <is>
          <t>Duke Energy accrual</t>
        </is>
      </c>
      <c r="F55" s="73" t="n">
        <v>-717.7</v>
      </c>
      <c r="G55" s="73" t="n"/>
      <c r="H55" t="inlineStr">
        <is>
          <t>Electricity</t>
        </is>
      </c>
    </row>
    <row r="56" hidden="1" outlineLevel="1" s="50">
      <c r="B56" s="32" t="n">
        <v>45291</v>
      </c>
      <c r="C56" s="33" t="n">
        <v>45261</v>
      </c>
      <c r="E56" s="72" t="inlineStr">
        <is>
          <t>Odin accrual</t>
        </is>
      </c>
      <c r="F56" s="73" t="n">
        <v>-300</v>
      </c>
      <c r="G56" s="73" t="n"/>
      <c r="H56" t="inlineStr">
        <is>
          <t>Fire and Life Safety Maintenance</t>
        </is>
      </c>
    </row>
    <row r="57" hidden="1" outlineLevel="1" s="50">
      <c r="B57" s="32" t="n">
        <v>45291</v>
      </c>
      <c r="C57" s="33" t="n">
        <v>45261</v>
      </c>
      <c r="E57" s="72" t="inlineStr">
        <is>
          <t>Internet accrual</t>
        </is>
      </c>
      <c r="F57" s="73" t="n">
        <v>-156</v>
      </c>
      <c r="G57" s="73" t="n"/>
      <c r="H57" t="inlineStr">
        <is>
          <t>Internet Services</t>
        </is>
      </c>
    </row>
    <row r="58" hidden="1" outlineLevel="1" s="50">
      <c r="B58" s="32" t="n">
        <v>45291</v>
      </c>
      <c r="C58" s="33" t="n">
        <v>45261</v>
      </c>
      <c r="E58" s="72" t="inlineStr">
        <is>
          <t>Odin accrual</t>
        </is>
      </c>
      <c r="F58" s="73" t="n">
        <v>-600</v>
      </c>
      <c r="G58" s="73" t="n"/>
      <c r="H58" t="inlineStr">
        <is>
          <t>Janiorial Services</t>
        </is>
      </c>
    </row>
    <row r="59" hidden="1" outlineLevel="1" s="50">
      <c r="B59" s="32" t="n">
        <v>45282</v>
      </c>
      <c r="C59" s="33" t="n">
        <v>45261</v>
      </c>
      <c r="E59" s="72" t="inlineStr">
        <is>
          <t>Angela Cohen payment from SSSM</t>
        </is>
      </c>
      <c r="F59" s="73" t="n">
        <v>-845</v>
      </c>
      <c r="G59" s="73" t="n"/>
      <c r="H59" t="inlineStr">
        <is>
          <t>Payroll 1099 Contractor</t>
        </is>
      </c>
    </row>
    <row r="60" hidden="1" outlineLevel="1" s="50">
      <c r="B60" s="32" t="n">
        <v>45291</v>
      </c>
      <c r="C60" s="33" t="n">
        <v>45261</v>
      </c>
      <c r="E60" s="72" t="inlineStr">
        <is>
          <t>ck 3162023 - Theresa Reed</t>
        </is>
      </c>
      <c r="F60" s="73" t="n">
        <v>-408.8</v>
      </c>
      <c r="G60" s="73" t="n"/>
    </row>
    <row r="61" hidden="1" outlineLevel="1" s="50">
      <c r="B61" s="32" t="n">
        <v>45291</v>
      </c>
      <c r="C61" s="33" t="n">
        <v>45261</v>
      </c>
      <c r="E61" s="72" t="inlineStr">
        <is>
          <t>ck 5192023 - Jim Lester</t>
        </is>
      </c>
      <c r="F61" s="73" t="n">
        <v>-127.12</v>
      </c>
      <c r="G61" s="73" t="n"/>
    </row>
    <row r="62" hidden="1" outlineLevel="1" s="50">
      <c r="B62" s="32" t="n">
        <v>45272</v>
      </c>
      <c r="C62" s="33" t="n">
        <v>45261</v>
      </c>
      <c r="E62" s="72" t="inlineStr">
        <is>
          <t>CapOne additional .03 payment</t>
        </is>
      </c>
      <c r="F62" s="73" t="n">
        <v>0.03</v>
      </c>
      <c r="G62" s="73" t="n"/>
    </row>
    <row r="63" collapsed="1" s="50">
      <c r="B63" s="32" t="n"/>
      <c r="C63" s="33" t="n"/>
      <c r="E63" s="72" t="inlineStr">
        <is>
          <t>2023 Total</t>
        </is>
      </c>
      <c r="F63" s="73" t="n"/>
      <c r="G63" s="73">
        <f>SUM(F9:F62)</f>
        <v/>
      </c>
    </row>
    <row r="64" hidden="1" outlineLevel="1" s="50">
      <c r="B64" s="32" t="n">
        <v>45322</v>
      </c>
      <c r="C64" s="33" t="n">
        <v>45292</v>
      </c>
      <c r="E64" s="72" t="inlineStr">
        <is>
          <t>EOM Accruals 01.31.2024</t>
        </is>
      </c>
      <c r="F64" s="73" t="n">
        <v>-300</v>
      </c>
      <c r="G64" s="73" t="n"/>
      <c r="H64" t="inlineStr">
        <is>
          <t>Fire and Life Safety Maintenance</t>
        </is>
      </c>
    </row>
    <row r="65" hidden="1" outlineLevel="1" s="50">
      <c r="B65" s="32" t="n">
        <v>45322</v>
      </c>
      <c r="C65" s="33" t="n">
        <v>45292</v>
      </c>
      <c r="E65" s="72" t="inlineStr">
        <is>
          <t>EOM Accruals 01.31.2024</t>
        </is>
      </c>
      <c r="F65" s="73" t="n">
        <v>-600</v>
      </c>
      <c r="G65" s="73" t="n"/>
      <c r="H65" t="inlineStr">
        <is>
          <t>Janiorial Services</t>
        </is>
      </c>
    </row>
    <row r="66" hidden="1" outlineLevel="1" s="50">
      <c r="B66" s="32" t="n">
        <v>45322</v>
      </c>
      <c r="C66" s="33" t="n">
        <v>45292</v>
      </c>
      <c r="E66" s="72" t="inlineStr">
        <is>
          <t>Angela Cohen 12.22 pd by SSSM</t>
        </is>
      </c>
      <c r="F66" s="73" t="n">
        <v>865</v>
      </c>
      <c r="G66" s="73" t="n"/>
      <c r="H66" t="inlineStr">
        <is>
          <t>Payroll 1099 Contractor</t>
        </is>
      </c>
    </row>
    <row r="67" hidden="1" outlineLevel="1" s="50">
      <c r="B67" s="32" t="n">
        <v>45365</v>
      </c>
      <c r="C67" s="33" t="n">
        <v>45352</v>
      </c>
      <c r="E67" s="72" t="inlineStr">
        <is>
          <t>Expense Accrual : 01.2024 Google Ads</t>
        </is>
      </c>
      <c r="F67" s="73" t="n">
        <v>1112.64</v>
      </c>
      <c r="G67" s="73" t="n"/>
      <c r="H67" t="inlineStr">
        <is>
          <t>Internet Marketing</t>
        </is>
      </c>
    </row>
    <row r="68" hidden="1" outlineLevel="1" s="50">
      <c r="B68" s="32" t="n">
        <v>45443</v>
      </c>
      <c r="C68" s="33" t="n">
        <v>45413</v>
      </c>
      <c r="E68" s="72" t="inlineStr">
        <is>
          <t>Communication Center_Accruals_05.31.2024</t>
        </is>
      </c>
      <c r="F68" s="73" t="n">
        <v>-221</v>
      </c>
      <c r="G68" s="73" t="n"/>
      <c r="H68" t="inlineStr">
        <is>
          <t>Communication Center</t>
        </is>
      </c>
    </row>
    <row r="69" hidden="1" outlineLevel="1" s="50">
      <c r="B69" s="32" t="n">
        <v>45443</v>
      </c>
      <c r="C69" s="33" t="n">
        <v>45413</v>
      </c>
      <c r="E69" s="72" t="inlineStr">
        <is>
          <t>Electricity_Accruals_05.31.2024</t>
        </is>
      </c>
      <c r="F69" s="73" t="n">
        <v>-1208</v>
      </c>
      <c r="G69" s="73" t="n"/>
      <c r="H69" t="inlineStr">
        <is>
          <t>Electricity</t>
        </is>
      </c>
    </row>
    <row r="70" hidden="1" outlineLevel="1" s="50">
      <c r="B70" s="32" t="n">
        <v>45504</v>
      </c>
      <c r="C70" s="33" t="n">
        <v>45474</v>
      </c>
      <c r="E70" s="72" t="inlineStr">
        <is>
          <t>Capital One Payment 06/2024_Duplicate</t>
        </is>
      </c>
      <c r="F70" s="73" t="n">
        <v>1866.6</v>
      </c>
      <c r="G70" s="73" t="n"/>
    </row>
    <row r="71" hidden="1" outlineLevel="1" s="50">
      <c r="B71" s="32" t="n">
        <v>45504</v>
      </c>
      <c r="C71" s="33" t="n">
        <v>45474</v>
      </c>
      <c r="E71" s="72" t="inlineStr">
        <is>
          <t>Capital One 07/2024 - SS Wildwood</t>
        </is>
      </c>
      <c r="F71" s="73" t="n">
        <v>-628.6</v>
      </c>
      <c r="G71" s="73" t="n"/>
    </row>
    <row r="72" hidden="1" outlineLevel="1" s="50">
      <c r="B72" s="32" t="n">
        <v>45626</v>
      </c>
      <c r="C72" s="33">
        <f>B72</f>
        <v/>
      </c>
      <c r="E72" s="72" t="inlineStr">
        <is>
          <t>Capital One 11/2024 - SS Wildwood</t>
        </is>
      </c>
      <c r="F72" s="73" t="n">
        <v>-3805.5</v>
      </c>
      <c r="G72" s="73" t="n"/>
    </row>
    <row r="73" hidden="1" outlineLevel="1" s="50">
      <c r="B73" s="32" t="n">
        <v>45657</v>
      </c>
      <c r="C73" s="33">
        <f>B73</f>
        <v/>
      </c>
      <c r="E73" s="72" t="inlineStr">
        <is>
          <t>Landscaping accrual</t>
        </is>
      </c>
      <c r="F73" s="73" t="n">
        <v>420</v>
      </c>
      <c r="G73" s="73" t="n"/>
      <c r="H73" t="inlineStr">
        <is>
          <t>Landscaping</t>
        </is>
      </c>
    </row>
    <row r="74" hidden="1" outlineLevel="1" s="50">
      <c r="B74" s="32" t="n">
        <v>45657</v>
      </c>
      <c r="C74" s="33">
        <f>B74</f>
        <v/>
      </c>
      <c r="E74" s="72" t="inlineStr">
        <is>
          <t>Capital One 11/2024 - SS Wildwood</t>
        </is>
      </c>
      <c r="F74" s="73" t="n">
        <v>3806.66</v>
      </c>
      <c r="G74" s="73" t="n"/>
    </row>
    <row r="75" collapsed="1" s="50">
      <c r="B75" s="32" t="n"/>
      <c r="C75" s="33" t="n"/>
      <c r="E75" s="72" t="inlineStr">
        <is>
          <t>2024 Total</t>
        </is>
      </c>
      <c r="F75" s="72" t="n"/>
      <c r="G75" s="73">
        <f>SUM(F64:F74)</f>
        <v/>
      </c>
    </row>
    <row r="76">
      <c r="B76" s="32" t="n"/>
      <c r="C76" s="33" t="n"/>
      <c r="E76" s="72" t="n"/>
      <c r="F76" s="72" t="n"/>
      <c r="G76" s="73" t="n"/>
    </row>
    <row r="77" ht="3.6" customFormat="1" customHeight="1" s="38">
      <c r="B77" s="39" t="n"/>
      <c r="C77" s="40" t="n"/>
      <c r="E77" s="41" t="n"/>
      <c r="F77" s="41" t="n"/>
      <c r="G77" s="81" t="n"/>
      <c r="I77" s="82" t="n"/>
    </row>
    <row r="78">
      <c r="B78" s="32" t="n"/>
      <c r="C78" s="33" t="n"/>
      <c r="E78" s="72" t="n"/>
      <c r="F78" s="72" t="n"/>
      <c r="G78" s="73" t="n"/>
      <c r="I78" s="83" t="n"/>
    </row>
    <row r="79">
      <c r="B79" s="32" t="n">
        <v>45716</v>
      </c>
      <c r="C79" s="33" t="n">
        <v>45689</v>
      </c>
      <c r="E79" s="72" t="inlineStr">
        <is>
          <t>022025BankFeesSsofWildwood</t>
        </is>
      </c>
      <c r="F79" s="72" t="n"/>
      <c r="G79" s="73">
        <f>-244.16-13.42</f>
        <v/>
      </c>
      <c r="H79" t="inlineStr">
        <is>
          <t>Bank Charges Expense</t>
        </is>
      </c>
      <c r="I79" s="83" t="n"/>
    </row>
    <row r="80">
      <c r="B80" s="32" t="n"/>
      <c r="C80" s="33" t="n"/>
      <c r="E80" s="72" t="n"/>
      <c r="F80" s="72" t="n"/>
      <c r="G80" s="73" t="n"/>
      <c r="I80" s="83" t="n"/>
    </row>
    <row r="81">
      <c r="B81" s="32" t="n">
        <v>45777</v>
      </c>
      <c r="C81" s="33" t="n">
        <v>45748</v>
      </c>
      <c r="E81" s="20" t="inlineStr">
        <is>
          <t>April Accruals</t>
        </is>
      </c>
      <c r="F81" s="72" t="n"/>
      <c r="G81" s="73" t="n">
        <v>-717.84</v>
      </c>
      <c r="H81" t="inlineStr">
        <is>
          <t>Electrcity</t>
        </is>
      </c>
      <c r="I81" s="83" t="n"/>
    </row>
    <row r="82">
      <c r="B82" s="32" t="n"/>
      <c r="C82" s="33" t="n"/>
      <c r="E82" s="20" t="n"/>
      <c r="F82" s="72" t="n"/>
      <c r="G82" s="73" t="n"/>
      <c r="I82" s="83" t="n"/>
    </row>
    <row r="83">
      <c r="B83" s="32" t="n">
        <v>45735</v>
      </c>
      <c r="C83" s="33">
        <f>B83</f>
        <v/>
      </c>
      <c r="E83" s="72" t="inlineStr">
        <is>
          <t>03.2025 Google Ads (1)</t>
        </is>
      </c>
      <c r="F83" s="72" t="n"/>
      <c r="G83" s="73" t="n">
        <v>2760.74</v>
      </c>
      <c r="H83" t="inlineStr">
        <is>
          <t>Internet Marketing</t>
        </is>
      </c>
      <c r="I83" s="83" t="n"/>
    </row>
    <row r="84" hidden="1" s="50">
      <c r="B84" s="32" t="n">
        <v>45777</v>
      </c>
      <c r="C84" s="33" t="n">
        <v>45748</v>
      </c>
      <c r="E84" s="20" t="inlineStr">
        <is>
          <t>May payment for 04/16-30/2025 Google Ads</t>
        </is>
      </c>
      <c r="F84" s="72" t="n"/>
      <c r="G84" s="73" t="n">
        <v>-3497.65</v>
      </c>
      <c r="H84" t="inlineStr">
        <is>
          <t>Internet Marketing</t>
        </is>
      </c>
      <c r="I84" s="83" t="n"/>
    </row>
    <row r="85" hidden="1" s="50">
      <c r="B85" s="32" t="n">
        <v>45808</v>
      </c>
      <c r="C85" s="33" t="n">
        <v>45778</v>
      </c>
      <c r="E85" s="44" t="inlineStr">
        <is>
          <t>04.2025 Google Ads</t>
        </is>
      </c>
      <c r="F85" s="72" t="n"/>
      <c r="G85" s="73" t="n">
        <v>3497.65</v>
      </c>
      <c r="H85" t="inlineStr">
        <is>
          <t>Internet Marketing</t>
        </is>
      </c>
      <c r="I85" s="83" t="n"/>
    </row>
    <row r="86">
      <c r="B86" s="32" t="n">
        <v>45808</v>
      </c>
      <c r="C86" s="33" t="n">
        <v>45778</v>
      </c>
      <c r="E86" s="44" t="inlineStr">
        <is>
          <t>June payment for 05.01-12.2025 Google Ads</t>
        </is>
      </c>
      <c r="F86" s="72" t="n"/>
      <c r="G86" s="73" t="n">
        <v>-2739.52</v>
      </c>
      <c r="H86" t="inlineStr">
        <is>
          <t>Internet Marketing</t>
        </is>
      </c>
      <c r="I86" s="83" t="n"/>
    </row>
    <row r="87">
      <c r="B87" s="32" t="n">
        <v>45808</v>
      </c>
      <c r="C87" s="33" t="n">
        <v>45778</v>
      </c>
      <c r="E87" s="44" t="inlineStr">
        <is>
          <t>June payment for 05.13-30.2025 Google Ads</t>
        </is>
      </c>
      <c r="F87" s="72" t="n"/>
      <c r="G87" s="73" t="n">
        <v>-6089.45</v>
      </c>
      <c r="H87" t="inlineStr">
        <is>
          <t>Internet Marketing</t>
        </is>
      </c>
      <c r="I87" s="83" t="n"/>
    </row>
    <row r="88" hidden="1" s="50">
      <c r="B88" s="32" t="n">
        <v>45838</v>
      </c>
      <c r="C88" s="33" t="n">
        <v>45809</v>
      </c>
      <c r="E88" s="44" t="inlineStr">
        <is>
          <t>05.31-06.12.2025 Google Ads</t>
        </is>
      </c>
      <c r="F88" s="72" t="n"/>
      <c r="G88" s="73" t="n">
        <v>4046.72</v>
      </c>
      <c r="H88" t="inlineStr">
        <is>
          <t>Internet Marketing</t>
        </is>
      </c>
      <c r="I88" s="83" t="n"/>
    </row>
    <row r="89" hidden="1" s="50">
      <c r="B89" s="32" t="n">
        <v>45838</v>
      </c>
      <c r="C89" s="33" t="n">
        <v>45809</v>
      </c>
      <c r="E89" s="72" t="inlineStr">
        <is>
          <t>July payment for 05.31-06.12.2025 Google Ads</t>
        </is>
      </c>
      <c r="F89" s="72" t="n"/>
      <c r="G89" s="73" t="n">
        <v>-4046.72</v>
      </c>
      <c r="H89" t="inlineStr">
        <is>
          <t>Internet Marketing</t>
        </is>
      </c>
      <c r="I89" s="83" t="n"/>
    </row>
    <row r="90">
      <c r="B90" s="32" t="n">
        <v>45838</v>
      </c>
      <c r="C90" s="33" t="n">
        <v>45809</v>
      </c>
      <c r="E90" s="72" t="inlineStr">
        <is>
          <t>July payment for 06.15-30.2025 Google Ads</t>
        </is>
      </c>
      <c r="F90" s="72" t="n"/>
      <c r="G90" s="73" t="n">
        <v>-5266.39</v>
      </c>
      <c r="H90" t="inlineStr">
        <is>
          <t>Internet Marketing</t>
        </is>
      </c>
      <c r="I90" s="83" t="n"/>
    </row>
    <row r="91" hidden="1" s="50">
      <c r="B91" s="32" t="n">
        <v>45869</v>
      </c>
      <c r="C91" s="33" t="n">
        <v>45839</v>
      </c>
      <c r="E91" s="72" t="inlineStr">
        <is>
          <t>07.2025 Google Ads Payment 1 - Wildwood</t>
        </is>
      </c>
      <c r="F91" s="72" t="n"/>
      <c r="G91" s="73" t="n">
        <v>5341.9</v>
      </c>
      <c r="H91" t="inlineStr">
        <is>
          <t>Internet Marketing</t>
        </is>
      </c>
      <c r="I91" s="83" t="n"/>
    </row>
    <row r="92" hidden="1" s="50">
      <c r="B92" s="32" t="n">
        <v>45869</v>
      </c>
      <c r="C92" s="33" t="n">
        <v>45839</v>
      </c>
      <c r="E92" s="72" t="inlineStr">
        <is>
          <t>August payment for 07.01-15.2025 Google Ads</t>
        </is>
      </c>
      <c r="F92" s="72" t="n"/>
      <c r="G92" s="73" t="n">
        <v>-5341.9</v>
      </c>
      <c r="H92" t="inlineStr">
        <is>
          <t>Internet Marketing</t>
        </is>
      </c>
      <c r="I92" s="83" t="n"/>
    </row>
    <row r="93" hidden="1" s="50">
      <c r="B93" s="32" t="n">
        <v>45869</v>
      </c>
      <c r="C93" s="33" t="n">
        <v>45839</v>
      </c>
      <c r="E93" s="72" t="inlineStr">
        <is>
          <t>August payment for 07.16-31.2025 Google Ads</t>
        </is>
      </c>
      <c r="F93" s="72" t="n"/>
      <c r="G93" s="73" t="n">
        <v>-6063.39</v>
      </c>
      <c r="H93" t="inlineStr">
        <is>
          <t>Internet Marketing</t>
        </is>
      </c>
      <c r="I93" s="83" t="n"/>
    </row>
    <row r="94" hidden="1" s="50">
      <c r="B94" s="32" t="n">
        <v>45891</v>
      </c>
      <c r="C94" s="33" t="n">
        <v>45870</v>
      </c>
      <c r="E94" s="72" t="inlineStr">
        <is>
          <t>07.2025 Google Ads Payment 2 - Wildwood</t>
        </is>
      </c>
      <c r="F94" s="72" t="n"/>
      <c r="G94" s="73" t="n">
        <v>3063.39</v>
      </c>
      <c r="H94" t="inlineStr">
        <is>
          <t>Internet Marketing</t>
        </is>
      </c>
      <c r="I94" s="83" t="n"/>
    </row>
    <row r="95" hidden="1" s="50">
      <c r="B95" s="32" t="n">
        <v>45891</v>
      </c>
      <c r="C95" s="33" t="n">
        <v>45870</v>
      </c>
      <c r="E95" s="72" t="inlineStr">
        <is>
          <t>07.2025 Google Ads Payment 2 - Wildwood</t>
        </is>
      </c>
      <c r="F95" s="72" t="n"/>
      <c r="G95" s="73" t="n">
        <v>3000</v>
      </c>
      <c r="H95" t="inlineStr">
        <is>
          <t>Internet Marketing</t>
        </is>
      </c>
      <c r="I95" s="83" t="n"/>
    </row>
    <row r="96">
      <c r="B96" s="32" t="n">
        <v>45891</v>
      </c>
      <c r="C96" s="33" t="n">
        <v>45870</v>
      </c>
      <c r="E96" s="72" t="inlineStr">
        <is>
          <t>08.2025 Google Ads Payment 1 - Wildwood</t>
        </is>
      </c>
      <c r="F96" s="72" t="n"/>
      <c r="G96" s="73" t="n">
        <v>1326.11</v>
      </c>
      <c r="H96" t="inlineStr">
        <is>
          <t>Internet Marketing</t>
        </is>
      </c>
      <c r="I96" s="83" t="n"/>
    </row>
    <row r="97">
      <c r="B97" s="32" t="n">
        <v>45891</v>
      </c>
      <c r="C97" s="33" t="n">
        <v>45870</v>
      </c>
      <c r="E97" s="72" t="inlineStr">
        <is>
          <t>08.2025 Google Ads Payment 1 - Wildwood</t>
        </is>
      </c>
      <c r="F97" s="72" t="n"/>
      <c r="G97" s="73" t="n">
        <v>4500</v>
      </c>
      <c r="H97" t="inlineStr">
        <is>
          <t>Internet Marketing</t>
        </is>
      </c>
      <c r="I97" s="83" t="n"/>
    </row>
    <row r="98">
      <c r="B98" s="32" t="n">
        <v>45900</v>
      </c>
      <c r="C98" s="33" t="n">
        <v>45870</v>
      </c>
      <c r="E98" s="72" t="inlineStr">
        <is>
          <t>September payment for 08.01-15.2025</t>
        </is>
      </c>
      <c r="F98" s="72" t="n"/>
      <c r="G98" s="73" t="n">
        <v>-5826.11</v>
      </c>
      <c r="H98" t="inlineStr">
        <is>
          <t>Internet Marketing</t>
        </is>
      </c>
      <c r="I98" s="83" t="n"/>
    </row>
    <row r="99">
      <c r="B99" s="32" t="n">
        <v>45900</v>
      </c>
      <c r="C99" s="33" t="n">
        <v>45870</v>
      </c>
      <c r="E99" s="72" t="inlineStr">
        <is>
          <t>September payment for 08.16-31.2025</t>
        </is>
      </c>
      <c r="F99" s="72" t="n"/>
      <c r="G99" s="73" t="n">
        <v>-5923.77</v>
      </c>
      <c r="H99" t="inlineStr">
        <is>
          <t>Internet Marketing</t>
        </is>
      </c>
      <c r="I99" s="83" t="n"/>
    </row>
    <row r="100">
      <c r="B100" s="32" t="n">
        <v>45930</v>
      </c>
      <c r="C100" s="33" t="n">
        <v>45901</v>
      </c>
      <c r="E100" s="72" t="inlineStr">
        <is>
          <t>October payment for 09.16-30.2025 Google Ads</t>
        </is>
      </c>
      <c r="F100" s="72" t="n"/>
      <c r="G100" s="73" t="n">
        <v>-4855.72</v>
      </c>
      <c r="H100" t="inlineStr">
        <is>
          <t>Internet Marketing</t>
        </is>
      </c>
      <c r="I100" s="83" t="n"/>
    </row>
    <row r="101">
      <c r="B101" s="32" t="n">
        <v>45930</v>
      </c>
      <c r="C101" s="33" t="n">
        <v>45901</v>
      </c>
      <c r="E101" s="72" t="inlineStr">
        <is>
          <t>September payment for 08.16-31.2025</t>
        </is>
      </c>
      <c r="F101" s="72" t="n"/>
      <c r="G101" s="73" t="n">
        <v>5923.77</v>
      </c>
      <c r="H101" t="inlineStr">
        <is>
          <t>Internet Marketing</t>
        </is>
      </c>
      <c r="I101" s="83" t="n"/>
    </row>
    <row r="102">
      <c r="B102" s="32" t="n"/>
      <c r="C102" s="33" t="n"/>
      <c r="E102" s="72" t="n"/>
      <c r="F102" s="72" t="n"/>
      <c r="G102" s="73" t="n"/>
      <c r="I102" s="83" t="n"/>
    </row>
    <row r="103">
      <c r="B103" s="32" t="n"/>
      <c r="C103" s="33" t="n"/>
      <c r="E103" s="44" t="n"/>
      <c r="F103" s="72" t="n"/>
      <c r="G103" s="73" t="n"/>
      <c r="I103" s="83" t="n"/>
    </row>
    <row r="104" hidden="1" s="50">
      <c r="B104" s="32" t="n">
        <v>45808</v>
      </c>
      <c r="C104" s="33" t="n">
        <v>45778</v>
      </c>
      <c r="E104" s="44" t="inlineStr">
        <is>
          <t>052025 SpareFoot Fee</t>
        </is>
      </c>
      <c r="F104" s="72" t="n"/>
      <c r="G104" s="73" t="n">
        <v>-1701.3</v>
      </c>
      <c r="H104" t="inlineStr">
        <is>
          <t>Software</t>
        </is>
      </c>
      <c r="I104" s="83" t="n"/>
    </row>
    <row r="105" hidden="1" s="50">
      <c r="B105" s="32" t="n">
        <v>45838</v>
      </c>
      <c r="C105" s="33" t="n">
        <v>45809</v>
      </c>
      <c r="E105" s="44" t="inlineStr">
        <is>
          <t>052025 SpareFoot Fee Pmt</t>
        </is>
      </c>
      <c r="F105" s="72" t="n"/>
      <c r="G105" s="73" t="n">
        <v>1701.3</v>
      </c>
      <c r="H105" t="inlineStr">
        <is>
          <t>Software</t>
        </is>
      </c>
      <c r="I105" s="83" t="n"/>
    </row>
    <row r="106">
      <c r="B106" s="32" t="n">
        <v>45900</v>
      </c>
      <c r="C106" s="33" t="n">
        <v>45870</v>
      </c>
      <c r="E106" s="44" t="inlineStr">
        <is>
          <t>082025 SpareFoot Fee</t>
        </is>
      </c>
      <c r="F106" s="72" t="n"/>
      <c r="G106" s="73" t="n">
        <v>-1310.4</v>
      </c>
      <c r="H106" t="inlineStr">
        <is>
          <t>Software</t>
        </is>
      </c>
      <c r="I106" s="83" t="n"/>
    </row>
    <row r="107">
      <c r="B107" s="32" t="n">
        <v>45930</v>
      </c>
      <c r="C107" s="33" t="n">
        <v>45901</v>
      </c>
      <c r="E107" s="72" t="inlineStr">
        <is>
          <t>092025 SpareFoot Fee</t>
        </is>
      </c>
      <c r="F107" s="72" t="n"/>
      <c r="G107" s="73" t="n">
        <v>-1345.5</v>
      </c>
      <c r="H107" t="inlineStr">
        <is>
          <t>Software</t>
        </is>
      </c>
      <c r="I107" s="83" t="n"/>
    </row>
    <row r="108">
      <c r="B108" s="32" t="n">
        <v>45930</v>
      </c>
      <c r="C108" s="33" t="n">
        <v>45901</v>
      </c>
      <c r="E108" s="72" t="inlineStr">
        <is>
          <t>082025 SpareFoot Fee</t>
        </is>
      </c>
      <c r="F108" s="72" t="n"/>
      <c r="G108" s="73" t="n">
        <v>1310.4</v>
      </c>
      <c r="H108" t="inlineStr">
        <is>
          <t>Software</t>
        </is>
      </c>
      <c r="I108" s="83" t="n"/>
    </row>
    <row r="109">
      <c r="B109" s="32" t="n"/>
      <c r="C109" s="33" t="n"/>
      <c r="E109" s="44" t="n"/>
      <c r="F109" s="72" t="n"/>
      <c r="G109" s="73" t="n"/>
      <c r="I109" s="83" t="n"/>
    </row>
    <row r="110">
      <c r="B110" s="32" t="n"/>
      <c r="C110" s="33" t="n"/>
      <c r="E110" s="44" t="n"/>
      <c r="F110" s="72" t="n"/>
      <c r="G110" s="73" t="n"/>
      <c r="I110" s="83" t="n"/>
    </row>
    <row r="111">
      <c r="B111" s="32" t="n">
        <v>45747</v>
      </c>
      <c r="C111" s="33">
        <f>B111</f>
        <v/>
      </c>
      <c r="E111" s="72" t="inlineStr">
        <is>
          <t>Under accrued for 12.2024 expense</t>
        </is>
      </c>
      <c r="F111" s="72" t="n"/>
      <c r="G111" s="73" t="n">
        <v>-420</v>
      </c>
      <c r="H111" t="inlineStr">
        <is>
          <t>Landscapimg</t>
        </is>
      </c>
      <c r="I111" s="83" t="n"/>
    </row>
    <row r="112">
      <c r="B112" s="32" t="n">
        <v>45716</v>
      </c>
      <c r="C112" s="33" t="n">
        <v>45689</v>
      </c>
      <c r="E112" s="72" t="inlineStr">
        <is>
          <t>Landscaping accrual</t>
        </is>
      </c>
      <c r="F112" s="72" t="n"/>
      <c r="G112" s="73" t="n">
        <v>-920</v>
      </c>
      <c r="H112" t="inlineStr">
        <is>
          <t>Landscaping</t>
        </is>
      </c>
      <c r="I112" s="83" t="n"/>
    </row>
    <row r="113">
      <c r="B113" s="32" t="n">
        <v>45777</v>
      </c>
      <c r="C113" s="33" t="n">
        <v>45748</v>
      </c>
      <c r="E113" s="20" t="inlineStr">
        <is>
          <t>April Accruals</t>
        </is>
      </c>
      <c r="F113" s="72" t="n"/>
      <c r="G113" s="73" t="n">
        <v>-420</v>
      </c>
      <c r="H113" t="inlineStr">
        <is>
          <t>Landscaping</t>
        </is>
      </c>
      <c r="I113" s="83" t="n"/>
    </row>
    <row r="114">
      <c r="B114" s="32" t="n">
        <v>45808</v>
      </c>
      <c r="C114" s="33" t="n">
        <v>45778</v>
      </c>
      <c r="E114" s="20" t="inlineStr">
        <is>
          <t>Landscaping - May Accruals</t>
        </is>
      </c>
      <c r="F114" s="72" t="n"/>
      <c r="G114" s="73" t="n">
        <v>-420</v>
      </c>
      <c r="H114" t="inlineStr">
        <is>
          <t>Landscaping</t>
        </is>
      </c>
      <c r="I114" s="83" t="n"/>
    </row>
    <row r="115">
      <c r="B115" s="32" t="n">
        <v>45838</v>
      </c>
      <c r="C115" s="33" t="n">
        <v>45809</v>
      </c>
      <c r="E115" s="44" t="inlineStr">
        <is>
          <t>Landscaping - June Accruals</t>
        </is>
      </c>
      <c r="F115" s="72" t="n"/>
      <c r="G115" s="73" t="n">
        <v>-420</v>
      </c>
      <c r="H115" t="inlineStr">
        <is>
          <t>Landscaping</t>
        </is>
      </c>
      <c r="I115" s="83" t="n"/>
    </row>
    <row r="116">
      <c r="B116" s="32" t="n">
        <v>45869</v>
      </c>
      <c r="C116" s="33" t="n">
        <v>45839</v>
      </c>
      <c r="E116" s="72" t="inlineStr">
        <is>
          <t>Landscaping - July Accruals</t>
        </is>
      </c>
      <c r="F116" s="72" t="n"/>
      <c r="G116" s="73" t="n">
        <v>-420</v>
      </c>
      <c r="H116" t="inlineStr">
        <is>
          <t>Landscaping</t>
        </is>
      </c>
      <c r="I116" s="83" t="n"/>
    </row>
    <row r="117">
      <c r="B117" s="32" t="n">
        <v>45900</v>
      </c>
      <c r="C117" s="33" t="n">
        <v>45870</v>
      </c>
      <c r="E117" s="72" t="inlineStr">
        <is>
          <t>Landscaping - Aug Accruals</t>
        </is>
      </c>
      <c r="F117" s="72" t="n"/>
      <c r="G117" s="73" t="n">
        <v>-420</v>
      </c>
      <c r="H117" t="inlineStr">
        <is>
          <t>Landscaping</t>
        </is>
      </c>
      <c r="I117" s="83" t="n"/>
    </row>
    <row r="118">
      <c r="B118" s="32" t="n">
        <v>45930</v>
      </c>
      <c r="C118" s="33" t="n">
        <v>45901</v>
      </c>
      <c r="E118" s="72" t="inlineStr">
        <is>
          <t>Landscaping - September Accruals</t>
        </is>
      </c>
      <c r="F118" s="72" t="n"/>
      <c r="G118" s="73" t="n">
        <v>-420</v>
      </c>
      <c r="H118" t="inlineStr">
        <is>
          <t>Landscaping</t>
        </is>
      </c>
      <c r="I118" s="83" t="n"/>
    </row>
    <row r="119">
      <c r="B119" s="32" t="n"/>
      <c r="C119" s="33" t="n"/>
      <c r="E119" s="20" t="n"/>
      <c r="F119" s="72" t="n"/>
      <c r="G119" s="73" t="n"/>
      <c r="I119" s="83" t="n"/>
    </row>
    <row r="120">
      <c r="B120" s="32" t="n">
        <v>45777</v>
      </c>
      <c r="C120" s="33" t="n">
        <v>45748</v>
      </c>
      <c r="E120" s="20" t="inlineStr">
        <is>
          <t>April Accruals</t>
        </is>
      </c>
      <c r="F120" s="72" t="n"/>
      <c r="G120" s="73" t="n">
        <v>-34.67</v>
      </c>
      <c r="H120" t="inlineStr">
        <is>
          <t>Trash</t>
        </is>
      </c>
      <c r="I120" s="83" t="n"/>
    </row>
    <row r="121">
      <c r="B121" s="32" t="n"/>
      <c r="C121" s="33" t="n"/>
      <c r="E121" s="20" t="n"/>
      <c r="F121" s="72" t="n"/>
      <c r="G121" s="73" t="n"/>
      <c r="I121" s="83" t="n"/>
    </row>
    <row r="122">
      <c r="B122" s="32" t="n">
        <v>45777</v>
      </c>
      <c r="C122" s="33" t="n">
        <v>45748</v>
      </c>
      <c r="E122" s="20" t="inlineStr">
        <is>
          <t>April Accruals</t>
        </is>
      </c>
      <c r="F122" s="72" t="n"/>
      <c r="G122" s="73" t="n">
        <v>-80.04000000000001</v>
      </c>
      <c r="H122" t="inlineStr">
        <is>
          <t>Water and Sewer</t>
        </is>
      </c>
      <c r="I122" s="83" t="n"/>
    </row>
    <row r="123">
      <c r="B123" s="32" t="n"/>
      <c r="C123" s="33" t="n"/>
      <c r="E123" s="20" t="n"/>
      <c r="F123" s="72" t="n"/>
      <c r="G123" s="73" t="n"/>
      <c r="I123" s="83" t="n"/>
    </row>
    <row r="124">
      <c r="B124" s="32" t="n">
        <v>45687</v>
      </c>
      <c r="C124" s="33" t="n">
        <v>45658</v>
      </c>
      <c r="E124" s="72" t="inlineStr">
        <is>
          <t>01.2025 Cap One partial payment</t>
        </is>
      </c>
      <c r="F124" s="72" t="n"/>
      <c r="G124" s="73" t="n">
        <v>59.67</v>
      </c>
      <c r="I124" s="83" t="n"/>
    </row>
    <row r="125">
      <c r="B125" s="32" t="n">
        <v>45688</v>
      </c>
      <c r="C125" s="33" t="n">
        <v>45658</v>
      </c>
      <c r="E125" s="72" t="inlineStr">
        <is>
          <t>CApOne Payment 12/2024</t>
        </is>
      </c>
      <c r="F125" s="72" t="n"/>
      <c r="G125" s="73" t="n">
        <v>590.38</v>
      </c>
      <c r="I125" s="83" t="n"/>
    </row>
    <row r="126">
      <c r="B126" s="32" t="n">
        <v>45688</v>
      </c>
      <c r="C126" s="33" t="n">
        <v>45658</v>
      </c>
      <c r="E126" s="72" t="inlineStr">
        <is>
          <t>CApOne Payment 01/2025</t>
        </is>
      </c>
      <c r="F126" s="72" t="n"/>
      <c r="G126" s="73" t="n">
        <v>1777.2</v>
      </c>
      <c r="I126" s="83" t="n"/>
    </row>
    <row r="127">
      <c r="B127" s="32" t="n">
        <v>45688</v>
      </c>
      <c r="C127" s="33" t="n">
        <v>45658</v>
      </c>
      <c r="E127" s="72" t="inlineStr">
        <is>
          <t>Capital One 01/2025 - SS Wildwood</t>
        </is>
      </c>
      <c r="F127" s="72" t="n"/>
      <c r="G127" s="73" t="n">
        <v>-2739.16</v>
      </c>
      <c r="I127" s="83" t="n"/>
    </row>
    <row r="128">
      <c r="B128" s="32" t="n">
        <v>45716</v>
      </c>
      <c r="C128" s="33" t="n">
        <v>45689</v>
      </c>
      <c r="E128" s="72" t="inlineStr">
        <is>
          <t>01.2025 Capital One</t>
        </is>
      </c>
      <c r="F128" s="72" t="n"/>
      <c r="G128" s="73" t="n">
        <v>311.91</v>
      </c>
      <c r="I128" s="83" t="n"/>
    </row>
    <row r="129">
      <c r="B129" s="32" t="n">
        <v>45716</v>
      </c>
      <c r="C129" s="33" t="n">
        <v>45689</v>
      </c>
      <c r="E129" s="72" t="inlineStr">
        <is>
          <t>01.2025 CapOne</t>
        </is>
      </c>
      <c r="F129" s="72" t="n"/>
      <c r="G129" s="73" t="n">
        <v>122.42</v>
      </c>
      <c r="I129" s="83" t="n"/>
    </row>
    <row r="130">
      <c r="B130" s="32" t="n">
        <v>45716</v>
      </c>
      <c r="C130" s="33" t="n">
        <v>45689</v>
      </c>
      <c r="E130" s="72" t="inlineStr">
        <is>
          <t>CapOne 02/2025 - SS Wildwood</t>
        </is>
      </c>
      <c r="F130" s="72" t="n"/>
      <c r="G130" s="73" t="n">
        <v>-755.73</v>
      </c>
      <c r="I130" s="83" t="n"/>
    </row>
    <row r="131">
      <c r="B131" s="32" t="n">
        <v>45729</v>
      </c>
      <c r="C131" s="33">
        <f>B131</f>
        <v/>
      </c>
      <c r="E131" s="72" t="inlineStr">
        <is>
          <t>02.2025 CapOne payment</t>
        </is>
      </c>
      <c r="F131" s="72" t="n"/>
      <c r="G131" s="73" t="n">
        <v>633.3</v>
      </c>
      <c r="I131" s="83" t="n"/>
    </row>
    <row r="132" hidden="1" s="50">
      <c r="B132" s="32" t="n">
        <v>45777</v>
      </c>
      <c r="C132" s="33" t="n">
        <v>45748</v>
      </c>
      <c r="E132" s="20" t="inlineStr">
        <is>
          <t>Capital One 04/2025 - SS Wildwood</t>
        </is>
      </c>
      <c r="F132" s="72" t="n"/>
      <c r="G132" s="73" t="n">
        <v>-1390.46</v>
      </c>
      <c r="I132" s="83" t="n"/>
    </row>
    <row r="133">
      <c r="B133" s="32" t="n">
        <v>45808</v>
      </c>
      <c r="C133" s="33" t="n">
        <v>45778</v>
      </c>
      <c r="E133" s="44" t="inlineStr">
        <is>
          <t>05.2025 CapOne partial payment</t>
        </is>
      </c>
      <c r="F133" s="72" t="n"/>
      <c r="G133" s="73" t="n">
        <v>832.26</v>
      </c>
      <c r="I133" s="83" t="n"/>
    </row>
    <row r="134" hidden="1" s="50">
      <c r="B134" s="32" t="n">
        <v>45808</v>
      </c>
      <c r="C134" s="33" t="n">
        <v>45778</v>
      </c>
      <c r="E134" s="44" t="inlineStr">
        <is>
          <t>Capital One 04/2025 - SS Wildwood</t>
        </is>
      </c>
      <c r="F134" s="72" t="n"/>
      <c r="G134" s="73" t="n">
        <v>1390.46</v>
      </c>
      <c r="I134" s="83" t="n"/>
    </row>
    <row r="135">
      <c r="B135" s="32" t="n">
        <v>45808</v>
      </c>
      <c r="C135" s="33" t="n">
        <v>45778</v>
      </c>
      <c r="E135" s="44" t="inlineStr">
        <is>
          <t>Capital One Payment 05/12/25</t>
        </is>
      </c>
      <c r="F135" s="72" t="n"/>
      <c r="G135" s="73" t="n">
        <v>2739.52</v>
      </c>
      <c r="I135" s="83" t="n"/>
    </row>
    <row r="136">
      <c r="B136" s="32" t="n">
        <v>45808</v>
      </c>
      <c r="C136" s="33" t="n">
        <v>45778</v>
      </c>
      <c r="E136" s="44" t="inlineStr">
        <is>
          <t>Capital One 05/2025 - S Wildwood</t>
        </is>
      </c>
      <c r="F136" s="72" t="n"/>
      <c r="G136" s="73" t="n">
        <v>-2483.13</v>
      </c>
      <c r="I136" s="83" t="n"/>
    </row>
    <row r="137">
      <c r="B137" s="32" t="n">
        <v>45838</v>
      </c>
      <c r="C137" s="33" t="n">
        <v>45809</v>
      </c>
      <c r="E137" s="44" t="inlineStr">
        <is>
          <t>CapOne payment for 05.2025 CapOne</t>
        </is>
      </c>
      <c r="F137" s="72" t="n"/>
      <c r="G137" s="73" t="n">
        <v>1650.87</v>
      </c>
      <c r="I137" s="83" t="n"/>
    </row>
    <row r="138">
      <c r="B138" s="32" t="n">
        <v>45838</v>
      </c>
      <c r="C138" s="33" t="n">
        <v>45809</v>
      </c>
      <c r="E138" s="44" t="inlineStr">
        <is>
          <t>Capital One Payment 05.2025</t>
        </is>
      </c>
      <c r="F138" s="72" t="n"/>
      <c r="G138" s="73" t="n">
        <v>6089.45</v>
      </c>
      <c r="I138" s="83" t="n"/>
    </row>
    <row r="139" hidden="1" s="50">
      <c r="B139" s="32" t="n">
        <v>45838</v>
      </c>
      <c r="C139" s="33" t="n">
        <v>45809</v>
      </c>
      <c r="E139" s="44" t="inlineStr">
        <is>
          <t>Capital One 06/2025 - SS Wildwood</t>
        </is>
      </c>
      <c r="F139" s="72" t="n"/>
      <c r="G139" s="73" t="n">
        <v>-416.26</v>
      </c>
      <c r="I139" s="83" t="n"/>
    </row>
    <row r="140" hidden="1" s="50">
      <c r="B140" s="32" t="n">
        <v>45869</v>
      </c>
      <c r="C140" s="33" t="n">
        <v>45839</v>
      </c>
      <c r="E140" s="72" t="inlineStr">
        <is>
          <t>CapOne payment for 06.2025 CapOne - SS Wildwood</t>
        </is>
      </c>
      <c r="F140" s="72" t="n"/>
      <c r="G140" s="73" t="n">
        <v>416.26</v>
      </c>
      <c r="I140" s="83" t="n"/>
    </row>
    <row r="141">
      <c r="B141" s="32" t="n">
        <v>45869</v>
      </c>
      <c r="C141" s="33" t="n">
        <v>45839</v>
      </c>
      <c r="E141" s="72" t="inlineStr">
        <is>
          <t>Capital One 06.2025</t>
        </is>
      </c>
      <c r="F141" s="72" t="n"/>
      <c r="G141" s="73" t="n">
        <v>5266.39</v>
      </c>
      <c r="I141" s="83" t="n"/>
    </row>
    <row r="142">
      <c r="B142" s="32" t="n">
        <v>45869</v>
      </c>
      <c r="C142" s="33" t="n">
        <v>45839</v>
      </c>
      <c r="E142" s="72" t="inlineStr">
        <is>
          <t>Capital One 07/2025  - SS Vehicle</t>
        </is>
      </c>
      <c r="F142" s="72" t="n"/>
      <c r="G142" s="73" t="n">
        <v>-436.3</v>
      </c>
      <c r="I142" s="83" t="n"/>
    </row>
    <row r="143">
      <c r="B143" s="32" t="n">
        <v>45874</v>
      </c>
      <c r="C143" s="33" t="n">
        <v>45870</v>
      </c>
      <c r="E143" s="72" t="inlineStr">
        <is>
          <t>Capital One 07.2025</t>
        </is>
      </c>
      <c r="F143" s="72" t="n"/>
      <c r="G143" s="73" t="n">
        <v>270.04</v>
      </c>
      <c r="I143" s="83" t="n"/>
    </row>
    <row r="144">
      <c r="B144" s="32" t="n">
        <v>45882</v>
      </c>
      <c r="C144" s="33" t="n">
        <v>45870</v>
      </c>
      <c r="E144" s="72" t="inlineStr">
        <is>
          <t>Capital One 07.2025</t>
        </is>
      </c>
      <c r="F144" s="72" t="n"/>
      <c r="G144" s="73" t="n">
        <v>166.26</v>
      </c>
      <c r="I144" s="83" t="n"/>
    </row>
    <row r="145">
      <c r="B145" s="32" t="n">
        <v>45900</v>
      </c>
      <c r="C145" s="33" t="n">
        <v>45870</v>
      </c>
      <c r="E145" s="72" t="inlineStr">
        <is>
          <t>Capital One 08.2025</t>
        </is>
      </c>
      <c r="F145" s="72" t="n"/>
      <c r="G145" s="73" t="n">
        <v>-841.66</v>
      </c>
      <c r="I145" s="83" t="n"/>
    </row>
    <row r="146">
      <c r="B146" s="32" t="n">
        <v>45930</v>
      </c>
      <c r="C146" s="33" t="n">
        <v>45901</v>
      </c>
      <c r="E146" s="72" t="inlineStr">
        <is>
          <t>08.2025 Capital One Payment</t>
        </is>
      </c>
      <c r="F146" s="72" t="n"/>
      <c r="G146" s="73" t="n">
        <v>841.66</v>
      </c>
      <c r="I146" s="83" t="n"/>
    </row>
    <row r="147">
      <c r="B147" s="32" t="n">
        <v>45930</v>
      </c>
      <c r="C147" s="33" t="n">
        <v>45901</v>
      </c>
      <c r="E147" s="72" t="inlineStr">
        <is>
          <t>Capital One 09/2025 - SS Wildwood</t>
        </is>
      </c>
      <c r="F147" s="72" t="n"/>
      <c r="G147" s="73" t="n">
        <v>-674.28</v>
      </c>
      <c r="I147" s="83" t="n"/>
    </row>
    <row r="148">
      <c r="B148" s="32" t="n"/>
      <c r="C148" s="33" t="n"/>
      <c r="E148" s="72" t="n"/>
      <c r="F148" s="72" t="n"/>
      <c r="G148" s="73" t="n"/>
      <c r="I148" s="83" t="n"/>
    </row>
    <row r="149">
      <c r="B149" s="32" t="n">
        <v>45808</v>
      </c>
      <c r="C149" s="33" t="n">
        <v>45778</v>
      </c>
      <c r="E149" s="72" t="inlineStr">
        <is>
          <t>StoreEase Accrual</t>
        </is>
      </c>
      <c r="F149" s="72" t="n"/>
      <c r="G149" s="73" t="n">
        <v>-188</v>
      </c>
      <c r="H149" t="inlineStr">
        <is>
          <t>Communication center</t>
        </is>
      </c>
      <c r="I149" s="83" t="n"/>
    </row>
    <row r="150">
      <c r="B150" s="32" t="n">
        <v>45838</v>
      </c>
      <c r="C150" s="33" t="n">
        <v>45809</v>
      </c>
      <c r="E150" s="72" t="inlineStr">
        <is>
          <t>StoreEase Accrual</t>
        </is>
      </c>
      <c r="F150" s="72" t="n"/>
      <c r="G150" s="73" t="n">
        <v>-188</v>
      </c>
      <c r="H150" t="inlineStr">
        <is>
          <t>Communication center</t>
        </is>
      </c>
      <c r="I150" s="83" t="n"/>
    </row>
    <row r="151">
      <c r="B151" s="32" t="n">
        <v>45930</v>
      </c>
      <c r="C151" s="33" t="n">
        <v>45901</v>
      </c>
      <c r="E151" s="72" t="inlineStr">
        <is>
          <t>StoreEase Accrual</t>
        </is>
      </c>
      <c r="F151" s="72" t="n"/>
      <c r="G151" s="73" t="n">
        <v>-188</v>
      </c>
      <c r="H151" t="inlineStr">
        <is>
          <t>Communication center</t>
        </is>
      </c>
      <c r="I151" s="83" t="n"/>
    </row>
    <row r="152">
      <c r="B152" s="32" t="n"/>
      <c r="C152" s="33" t="n"/>
      <c r="E152" s="72" t="n"/>
      <c r="F152" s="72" t="n"/>
      <c r="G152" s="73" t="n"/>
      <c r="I152" s="83" t="n"/>
    </row>
    <row r="153">
      <c r="B153" s="32" t="n">
        <v>45900</v>
      </c>
      <c r="C153" s="33" t="n">
        <v>45870</v>
      </c>
      <c r="E153" s="72" t="inlineStr">
        <is>
          <t>Chase Fee Accrual</t>
        </is>
      </c>
      <c r="F153" s="72" t="n"/>
      <c r="G153" s="73" t="n">
        <v>-250</v>
      </c>
      <c r="H153" t="inlineStr">
        <is>
          <t>Chase fee</t>
        </is>
      </c>
      <c r="I153" s="83" t="n"/>
    </row>
    <row r="154">
      <c r="B154" s="32" t="n">
        <v>45930</v>
      </c>
      <c r="C154" s="33" t="n">
        <v>45901</v>
      </c>
      <c r="E154" s="72" t="inlineStr">
        <is>
          <t>08.2025 Chase Analysis Fees_SSofWildwood</t>
        </is>
      </c>
      <c r="F154" s="72" t="n"/>
      <c r="G154" s="73" t="n">
        <v>299.28</v>
      </c>
      <c r="H154" t="inlineStr">
        <is>
          <t>Chase fee</t>
        </is>
      </c>
      <c r="I154" s="83" t="n"/>
    </row>
    <row r="156" ht="13.5" customHeight="1" s="50" thickBot="1">
      <c r="G156" s="73" t="n"/>
    </row>
    <row r="157" ht="13.5" customHeight="1" s="50" thickTop="1">
      <c r="B157" s="23" t="n"/>
      <c r="C157" s="23" t="n"/>
      <c r="D157" s="23" t="n"/>
      <c r="E157" s="23" t="inlineStr">
        <is>
          <t>Variance</t>
        </is>
      </c>
      <c r="F157" s="23" t="n"/>
      <c r="G157" s="79">
        <f>ROUND(G5-SUM(G9:G156),2)</f>
        <v/>
      </c>
      <c r="H157">
        <f>IF(G157=0,"","Out of Balance")</f>
        <v/>
      </c>
    </row>
  </sheetData>
  <mergeCells count="3">
    <mergeCell ref="A3:G3"/>
    <mergeCell ref="A2:G2"/>
    <mergeCell ref="A1:G1"/>
  </mergeCells>
  <conditionalFormatting sqref="H5">
    <cfRule type="expression" priority="1" dxfId="0">
      <formula>$G$157&lt;&gt;0</formula>
    </cfRule>
  </conditionalFormatting>
  <conditionalFormatting sqref="H157">
    <cfRule type="expression" priority="3" dxfId="0">
      <formula>$G$157&lt;&gt;0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E84"/>
  <sheetViews>
    <sheetView showGridLines="0" zoomScale="160" zoomScaleNormal="160" workbookViewId="0">
      <selection activeCell="A1" sqref="A1:XFD1048576"/>
    </sheetView>
  </sheetViews>
  <sheetFormatPr baseColWidth="8" defaultColWidth="9.140625" defaultRowHeight="12.75"/>
  <cols>
    <col width="15.7109375" customWidth="1" style="50" min="1" max="1"/>
    <col width="37.140625" customWidth="1" style="50" min="2" max="2"/>
    <col width="20.7109375" customWidth="1" style="50" min="3" max="5"/>
    <col width="9.140625" customWidth="1" style="50" min="6" max="16384"/>
  </cols>
  <sheetData>
    <row r="1" ht="15" customHeight="1" s="50">
      <c r="A1" s="51" t="inlineStr">
        <is>
          <t>Storsafe of Wildwood (sswildwo)</t>
        </is>
      </c>
    </row>
    <row r="2" ht="15.75" customHeight="1" s="50">
      <c r="A2" s="52" t="inlineStr">
        <is>
          <t>Balance Sheet (With Period Change)</t>
        </is>
      </c>
    </row>
    <row r="3" ht="15" customHeight="1" s="50">
      <c r="A3" s="51" t="inlineStr">
        <is>
          <t>Period = Jan 2025-Oct 2025</t>
        </is>
      </c>
    </row>
    <row r="4" ht="15" customHeight="1" s="50">
      <c r="A4" s="51" t="inlineStr">
        <is>
          <t>Book = Accrual</t>
        </is>
      </c>
    </row>
    <row r="5" ht="15" customHeight="1" s="50">
      <c r="A5" s="53" t="n"/>
      <c r="B5" s="54" t="n"/>
      <c r="C5" s="53" t="inlineStr">
        <is>
          <t>Balance</t>
        </is>
      </c>
      <c r="D5" s="53" t="inlineStr">
        <is>
          <t>Beginning</t>
        </is>
      </c>
      <c r="E5" s="53" t="inlineStr">
        <is>
          <t>Net</t>
        </is>
      </c>
    </row>
    <row r="6" ht="15" customHeight="1" s="50">
      <c r="A6" s="55" t="n"/>
      <c r="B6" s="56" t="n"/>
      <c r="C6" s="55" t="inlineStr">
        <is>
          <t>Current Period</t>
        </is>
      </c>
      <c r="D6" s="55" t="inlineStr">
        <is>
          <t>Balance</t>
        </is>
      </c>
      <c r="E6" s="55" t="inlineStr">
        <is>
          <t>Change</t>
        </is>
      </c>
    </row>
    <row r="7" ht="15" customHeight="1" s="50">
      <c r="A7" s="57" t="inlineStr">
        <is>
          <t>1000-0000</t>
        </is>
      </c>
      <c r="B7" s="58" t="inlineStr">
        <is>
          <t xml:space="preserve"> ASSETS</t>
        </is>
      </c>
      <c r="C7" s="59" t="n"/>
      <c r="D7" s="59" t="n"/>
      <c r="E7" s="59" t="n"/>
    </row>
    <row r="8" ht="15" customHeight="1" s="50">
      <c r="A8" s="61" t="n"/>
    </row>
    <row r="9" ht="15" customHeight="1" s="50">
      <c r="A9" s="61" t="inlineStr">
        <is>
          <t>1100-0000</t>
        </is>
      </c>
      <c r="B9" s="62" t="inlineStr">
        <is>
          <t xml:space="preserve"> CASH</t>
        </is>
      </c>
      <c r="C9" s="63" t="n"/>
      <c r="D9" s="63" t="n"/>
      <c r="E9" s="63" t="n"/>
    </row>
    <row r="10" ht="15" customHeight="1" s="50">
      <c r="A10" s="61" t="inlineStr">
        <is>
          <t>1110-4954</t>
        </is>
      </c>
      <c r="B10" s="62" t="inlineStr">
        <is>
          <t xml:space="preserve"> SSWwd Chase</t>
        </is>
      </c>
      <c r="C10" s="64" t="n">
        <v>-11726.93</v>
      </c>
      <c r="D10" s="64" t="n">
        <v>-10912.37</v>
      </c>
      <c r="E10" s="64" t="n">
        <v>-814.5599999999999</v>
      </c>
    </row>
    <row r="11" ht="15" customHeight="1" s="50">
      <c r="A11" s="61" t="inlineStr">
        <is>
          <t>1110-4955</t>
        </is>
      </c>
      <c r="B11" s="62" t="inlineStr">
        <is>
          <t xml:space="preserve"> SSWwd Busey</t>
        </is>
      </c>
      <c r="C11" s="65" t="n">
        <v>86521.56</v>
      </c>
      <c r="D11" s="65" t="n">
        <v>5748.61</v>
      </c>
      <c r="E11" s="65" t="n">
        <v>80772.95</v>
      </c>
    </row>
    <row r="12" ht="15" customHeight="1" s="50">
      <c r="A12" s="61" t="inlineStr">
        <is>
          <t>1190-0000</t>
        </is>
      </c>
      <c r="B12" s="62" t="inlineStr">
        <is>
          <t xml:space="preserve">  TOTAL CASH</t>
        </is>
      </c>
      <c r="C12" s="66" t="n">
        <v>74794.63</v>
      </c>
      <c r="D12" s="66" t="n">
        <v>-5163.76</v>
      </c>
      <c r="E12" s="66" t="n">
        <v>79958.39</v>
      </c>
    </row>
    <row r="13" ht="15" customHeight="1" s="50">
      <c r="A13" s="61" t="n"/>
    </row>
    <row r="14" ht="15" customHeight="1" s="50">
      <c r="A14" s="61" t="inlineStr">
        <is>
          <t>1200-0000</t>
        </is>
      </c>
      <c r="B14" s="62" t="inlineStr">
        <is>
          <t xml:space="preserve"> RESTRICTED CASH</t>
        </is>
      </c>
      <c r="C14" s="63" t="n"/>
      <c r="D14" s="63" t="n"/>
      <c r="E14" s="63" t="n"/>
    </row>
    <row r="15" ht="15" customHeight="1" s="50">
      <c r="A15" s="61" t="inlineStr">
        <is>
          <t>1200-0001</t>
        </is>
      </c>
      <c r="B15" s="62" t="inlineStr">
        <is>
          <t xml:space="preserve">  Interest Reserve</t>
        </is>
      </c>
      <c r="C15" s="64" t="n">
        <v>100599.92</v>
      </c>
      <c r="D15" s="64" t="n">
        <v>337166.3</v>
      </c>
      <c r="E15" s="64" t="n">
        <v>-236566.38</v>
      </c>
    </row>
    <row r="16" ht="15" customHeight="1" s="50">
      <c r="A16" s="61" t="inlineStr">
        <is>
          <t>1200-0003</t>
        </is>
      </c>
      <c r="B16" s="62" t="inlineStr">
        <is>
          <t xml:space="preserve">  Escrow Reserve</t>
        </is>
      </c>
      <c r="C16" s="64" t="n">
        <v>62389.67</v>
      </c>
      <c r="D16" s="64" t="n">
        <v>-14983.69</v>
      </c>
      <c r="E16" s="64" t="n">
        <v>77373.36</v>
      </c>
    </row>
    <row r="17" ht="15" customHeight="1" s="50">
      <c r="A17" s="61" t="inlineStr">
        <is>
          <t>1200-0004</t>
        </is>
      </c>
      <c r="B17" s="62" t="inlineStr">
        <is>
          <t xml:space="preserve">  Escrow Construction</t>
        </is>
      </c>
      <c r="C17" s="64" t="n">
        <v>0</v>
      </c>
      <c r="D17" s="64" t="n">
        <v>988311.25</v>
      </c>
      <c r="E17" s="64" t="n">
        <v>-988311.25</v>
      </c>
    </row>
    <row r="18" ht="15" customHeight="1" s="50">
      <c r="A18" s="61" t="inlineStr">
        <is>
          <t>1200-0005</t>
        </is>
      </c>
      <c r="B18" s="62" t="inlineStr">
        <is>
          <t xml:space="preserve">  Utility Security Deposits</t>
        </is>
      </c>
      <c r="C18" s="64" t="n">
        <v>8293.309999999999</v>
      </c>
      <c r="D18" s="64" t="n">
        <v>2000</v>
      </c>
      <c r="E18" s="64" t="n">
        <v>6293.31</v>
      </c>
    </row>
    <row r="19" ht="15" customHeight="1" s="50">
      <c r="A19" s="61" t="inlineStr">
        <is>
          <t>1200-0010</t>
        </is>
      </c>
      <c r="B19" s="62" t="inlineStr">
        <is>
          <t xml:space="preserve">  Bank Held Funds Account</t>
        </is>
      </c>
      <c r="C19" s="65" t="n">
        <v>175000</v>
      </c>
      <c r="D19" s="65" t="n">
        <v>175000</v>
      </c>
      <c r="E19" s="65" t="n">
        <v>0</v>
      </c>
    </row>
    <row r="20" ht="15" customHeight="1" s="50">
      <c r="A20" s="61" t="inlineStr">
        <is>
          <t>1250-0000</t>
        </is>
      </c>
      <c r="B20" s="62" t="inlineStr">
        <is>
          <t xml:space="preserve">  TOTAL RESTRICTED CASH</t>
        </is>
      </c>
      <c r="C20" s="66" t="n">
        <v>346282.9</v>
      </c>
      <c r="D20" s="66" t="n">
        <v>1487493.86</v>
      </c>
      <c r="E20" s="66" t="n">
        <v>-1141210.96</v>
      </c>
    </row>
    <row r="21" ht="15" customHeight="1" s="50">
      <c r="A21" s="61" t="n"/>
    </row>
    <row r="22" ht="15" customHeight="1" s="50">
      <c r="A22" s="61" t="inlineStr">
        <is>
          <t>1300-0000</t>
        </is>
      </c>
      <c r="B22" s="62" t="inlineStr">
        <is>
          <t xml:space="preserve"> Accounts Receivable</t>
        </is>
      </c>
      <c r="C22" s="64" t="n">
        <v>36784.55</v>
      </c>
      <c r="D22" s="64" t="n">
        <v>25529.78</v>
      </c>
      <c r="E22" s="64" t="n">
        <v>11254.77</v>
      </c>
    </row>
    <row r="23" ht="15" customHeight="1" s="50">
      <c r="A23" s="61" t="n"/>
    </row>
    <row r="24" ht="15" customHeight="1" s="50">
      <c r="A24" s="61" t="inlineStr">
        <is>
          <t>1350-0000</t>
        </is>
      </c>
      <c r="B24" s="62" t="inlineStr">
        <is>
          <t xml:space="preserve"> Pre-Paid Expenses</t>
        </is>
      </c>
      <c r="C24" s="63" t="n"/>
      <c r="D24" s="63" t="n"/>
      <c r="E24" s="63" t="n"/>
    </row>
    <row r="25" ht="15" customHeight="1" s="50">
      <c r="A25" s="61" t="inlineStr">
        <is>
          <t>1350-0001</t>
        </is>
      </c>
      <c r="B25" s="62" t="inlineStr">
        <is>
          <t xml:space="preserve"> Pre-Paid Insurance</t>
        </is>
      </c>
      <c r="C25" s="64" t="n">
        <v>49054.81</v>
      </c>
      <c r="D25" s="64" t="n">
        <v>5352.17</v>
      </c>
      <c r="E25" s="64" t="n">
        <v>43702.64</v>
      </c>
    </row>
    <row r="26" ht="15" customHeight="1" s="50">
      <c r="A26" s="61" t="inlineStr">
        <is>
          <t>1350-0002</t>
        </is>
      </c>
      <c r="B26" s="62" t="inlineStr">
        <is>
          <t xml:space="preserve"> Pre-Paid Association Fees</t>
        </is>
      </c>
      <c r="C26" s="64" t="n">
        <v>461</v>
      </c>
      <c r="D26" s="64" t="n">
        <v>0</v>
      </c>
      <c r="E26" s="64" t="n">
        <v>461</v>
      </c>
    </row>
    <row r="27" ht="15" customHeight="1" s="50">
      <c r="A27" s="61" t="inlineStr">
        <is>
          <t>1350-9000</t>
        </is>
      </c>
      <c r="B27" s="62" t="inlineStr">
        <is>
          <t xml:space="preserve"> Pre-Paid Expenses - Other</t>
        </is>
      </c>
      <c r="C27" s="65" t="n">
        <v>0</v>
      </c>
      <c r="D27" s="65" t="n">
        <v>143.84</v>
      </c>
      <c r="E27" s="65" t="n">
        <v>-143.84</v>
      </c>
    </row>
    <row r="28" ht="15" customHeight="1" s="50">
      <c r="A28" s="61" t="inlineStr">
        <is>
          <t>1350-9999</t>
        </is>
      </c>
      <c r="B28" s="62" t="inlineStr">
        <is>
          <t xml:space="preserve">  Total Pre-Paid Expenses</t>
        </is>
      </c>
      <c r="C28" s="66" t="n">
        <v>49515.81</v>
      </c>
      <c r="D28" s="66" t="n">
        <v>5496.01</v>
      </c>
      <c r="E28" s="66" t="n">
        <v>44019.8</v>
      </c>
    </row>
    <row r="29" ht="15" customHeight="1" s="50">
      <c r="A29" s="61" t="n"/>
    </row>
    <row r="30" ht="15" customHeight="1" s="50">
      <c r="A30" s="61" t="inlineStr">
        <is>
          <t>1400-0000</t>
        </is>
      </c>
      <c r="B30" s="62" t="inlineStr">
        <is>
          <t xml:space="preserve"> PROPERTY</t>
        </is>
      </c>
      <c r="C30" s="63" t="n"/>
      <c r="D30" s="63" t="n"/>
      <c r="E30" s="63" t="n"/>
    </row>
    <row r="31" ht="15" customHeight="1" s="50">
      <c r="A31" s="61" t="inlineStr">
        <is>
          <t>1410-0000</t>
        </is>
      </c>
      <c r="B31" s="62" t="inlineStr">
        <is>
          <t xml:space="preserve"> Land</t>
        </is>
      </c>
      <c r="C31" s="64" t="n">
        <v>914345.13</v>
      </c>
      <c r="D31" s="64" t="n">
        <v>914345.13</v>
      </c>
      <c r="E31" s="64" t="n">
        <v>0</v>
      </c>
    </row>
    <row r="32" ht="15" customHeight="1" s="50">
      <c r="A32" s="61" t="inlineStr">
        <is>
          <t>1500-0010</t>
        </is>
      </c>
      <c r="B32" s="62" t="inlineStr">
        <is>
          <t xml:space="preserve"> Building Improvements</t>
        </is>
      </c>
      <c r="C32" s="64" t="n">
        <v>13435838.24</v>
      </c>
      <c r="D32" s="64" t="n">
        <v>13435838.24</v>
      </c>
      <c r="E32" s="64" t="n">
        <v>0</v>
      </c>
    </row>
    <row r="33" ht="15" customHeight="1" s="50">
      <c r="A33" s="61" t="inlineStr">
        <is>
          <t>1500-0040</t>
        </is>
      </c>
      <c r="B33" s="62" t="inlineStr">
        <is>
          <t xml:space="preserve"> Loan Fees  A</t>
        </is>
      </c>
      <c r="C33" s="64" t="n">
        <v>105225</v>
      </c>
      <c r="D33" s="64" t="n">
        <v>105225</v>
      </c>
      <c r="E33" s="64" t="n">
        <v>0</v>
      </c>
    </row>
    <row r="34" ht="15" customHeight="1" s="50">
      <c r="A34" s="61" t="inlineStr">
        <is>
          <t>1500-0045</t>
        </is>
      </c>
      <c r="B34" s="62" t="inlineStr">
        <is>
          <t xml:space="preserve"> Loan Fees  B</t>
        </is>
      </c>
      <c r="C34" s="64" t="n">
        <v>28650</v>
      </c>
      <c r="D34" s="64" t="n">
        <v>28650</v>
      </c>
      <c r="E34" s="64" t="n">
        <v>0</v>
      </c>
    </row>
    <row r="35" ht="15" customHeight="1" s="50">
      <c r="A35" s="61" t="inlineStr">
        <is>
          <t>1500-0050</t>
        </is>
      </c>
      <c r="B35" s="62" t="inlineStr">
        <is>
          <t xml:space="preserve"> AD Building</t>
        </is>
      </c>
      <c r="C35" s="64" t="n">
        <v>-388011</v>
      </c>
      <c r="D35" s="64" t="n">
        <v>-388011</v>
      </c>
      <c r="E35" s="64" t="n">
        <v>0</v>
      </c>
    </row>
    <row r="36" ht="15" customHeight="1" s="50">
      <c r="A36" s="61" t="inlineStr">
        <is>
          <t>1500-0085</t>
        </is>
      </c>
      <c r="B36" s="62" t="inlineStr">
        <is>
          <t xml:space="preserve"> A/A Loan Fees - A</t>
        </is>
      </c>
      <c r="C36" s="64" t="n">
        <v>-49088</v>
      </c>
      <c r="D36" s="64" t="n">
        <v>-49088</v>
      </c>
      <c r="E36" s="64" t="n">
        <v>0</v>
      </c>
    </row>
    <row r="37" ht="15" customHeight="1" s="50">
      <c r="A37" s="61" t="n"/>
    </row>
    <row r="38" ht="15" customHeight="1" s="50">
      <c r="A38" s="61" t="inlineStr">
        <is>
          <t>1600-0000</t>
        </is>
      </c>
      <c r="B38" s="62" t="inlineStr">
        <is>
          <t xml:space="preserve"> CONSTRUCTION IN PROGRESS</t>
        </is>
      </c>
      <c r="C38" s="63" t="n"/>
      <c r="D38" s="63" t="n"/>
      <c r="E38" s="63" t="n"/>
    </row>
    <row r="39" ht="15" customHeight="1" s="50">
      <c r="A39" s="61" t="inlineStr">
        <is>
          <t>1600-1000</t>
        </is>
      </c>
      <c r="B39" s="62" t="inlineStr">
        <is>
          <t>Draws</t>
        </is>
      </c>
      <c r="C39" s="63" t="n"/>
      <c r="D39" s="63" t="n"/>
      <c r="E39" s="63" t="n"/>
    </row>
    <row r="40" ht="15" customHeight="1" s="50">
      <c r="A40" s="61" t="inlineStr">
        <is>
          <t>1600-1015</t>
        </is>
      </c>
      <c r="B40" s="62" t="inlineStr">
        <is>
          <t>Draw 15</t>
        </is>
      </c>
      <c r="C40" s="64" t="n">
        <v>307068.3</v>
      </c>
      <c r="D40" s="64" t="n">
        <v>0</v>
      </c>
      <c r="E40" s="64" t="n">
        <v>307068.3</v>
      </c>
    </row>
    <row r="41" ht="15" customHeight="1" s="50">
      <c r="A41" s="61" t="inlineStr">
        <is>
          <t>1600-1016</t>
        </is>
      </c>
      <c r="B41" s="62" t="inlineStr">
        <is>
          <t>Draw 16</t>
        </is>
      </c>
      <c r="C41" s="65" t="n">
        <v>596738.85</v>
      </c>
      <c r="D41" s="65" t="n">
        <v>0</v>
      </c>
      <c r="E41" s="65" t="n">
        <v>596738.85</v>
      </c>
    </row>
    <row r="42" ht="15" customHeight="1" s="50">
      <c r="A42" s="61" t="inlineStr">
        <is>
          <t>1600-9999</t>
        </is>
      </c>
      <c r="B42" s="62" t="inlineStr">
        <is>
          <t xml:space="preserve">  TOTAL CONSTRUCTION IN PROGRESS</t>
        </is>
      </c>
      <c r="C42" s="67" t="n">
        <v>903807.15</v>
      </c>
      <c r="D42" s="67" t="n">
        <v>0</v>
      </c>
      <c r="E42" s="67" t="n">
        <v>903807.15</v>
      </c>
    </row>
    <row r="43" ht="15" customHeight="1" s="50">
      <c r="A43" s="61" t="inlineStr">
        <is>
          <t>1890-0000</t>
        </is>
      </c>
      <c r="B43" s="62" t="inlineStr">
        <is>
          <t xml:space="preserve">  TOTAL PROPERTY</t>
        </is>
      </c>
      <c r="C43" s="66" t="n">
        <v>14950766.52</v>
      </c>
      <c r="D43" s="66" t="n">
        <v>14046959.37</v>
      </c>
      <c r="E43" s="66" t="n">
        <v>903807.15</v>
      </c>
    </row>
    <row r="44" ht="15" customHeight="1" s="50">
      <c r="A44" s="61" t="n"/>
    </row>
    <row r="45" ht="15" customHeight="1" s="50">
      <c r="A45" s="61" t="inlineStr">
        <is>
          <t>1990-0000</t>
        </is>
      </c>
      <c r="B45" s="62" t="inlineStr">
        <is>
          <t xml:space="preserve">   TOTAL ASSETS</t>
        </is>
      </c>
      <c r="C45" s="63" t="n">
        <v>15458144.41</v>
      </c>
      <c r="D45" s="63" t="n">
        <v>15560315.26</v>
      </c>
      <c r="E45" s="63" t="n">
        <v>-102170.85</v>
      </c>
    </row>
    <row r="46" ht="15" customHeight="1" s="50">
      <c r="A46" s="61" t="n"/>
      <c r="B46" s="62" t="n"/>
      <c r="C46" s="65" t="n"/>
      <c r="D46" s="65" t="n"/>
      <c r="E46" s="65" t="n"/>
    </row>
    <row r="47" ht="15" customHeight="1" s="50">
      <c r="A47" s="61" t="inlineStr">
        <is>
          <t>2000-0000</t>
        </is>
      </c>
      <c r="B47" s="62" t="inlineStr">
        <is>
          <t xml:space="preserve"> LIABILITIES AND CAPITAL</t>
        </is>
      </c>
      <c r="C47" s="66" t="n"/>
      <c r="D47" s="66" t="n"/>
      <c r="E47" s="66" t="n"/>
    </row>
    <row r="48" ht="15" customHeight="1" s="50">
      <c r="A48" s="61" t="n"/>
    </row>
    <row r="49" ht="15" customHeight="1" s="50" thickBot="1">
      <c r="A49" s="68" t="inlineStr">
        <is>
          <t>2100-0000</t>
        </is>
      </c>
      <c r="B49" s="69" t="inlineStr">
        <is>
          <t xml:space="preserve"> LIABILITIES</t>
        </is>
      </c>
      <c r="C49" s="70" t="n"/>
      <c r="D49" s="70" t="n"/>
      <c r="E49" s="70" t="n"/>
    </row>
    <row r="50" ht="15" customHeight="1" s="50" thickTop="1">
      <c r="A50" s="61" t="inlineStr">
        <is>
          <t>2110-0000</t>
        </is>
      </c>
    </row>
    <row r="51" ht="15" customHeight="1" s="50">
      <c r="A51" s="68" t="inlineStr">
        <is>
          <t>2120-0000</t>
        </is>
      </c>
      <c r="B51" s="69" t="inlineStr">
        <is>
          <t xml:space="preserve"> Note 2 Principal</t>
        </is>
      </c>
      <c r="C51" s="71" t="n">
        <v>5338666.15</v>
      </c>
      <c r="D51" s="71" t="n">
        <v>5330000</v>
      </c>
      <c r="E51" s="71" t="n">
        <v>8666.15</v>
      </c>
    </row>
    <row r="52" ht="15" customHeight="1" s="50">
      <c r="A52" s="61" t="inlineStr">
        <is>
          <t>2135-0020</t>
        </is>
      </c>
    </row>
    <row r="53" ht="15" customHeight="1" s="50">
      <c r="A53" s="61" t="inlineStr">
        <is>
          <t>2150-0007</t>
        </is>
      </c>
      <c r="B53" s="62" t="inlineStr">
        <is>
          <t xml:space="preserve"> Due To/From Elmdale Commercial</t>
        </is>
      </c>
      <c r="C53" s="63" t="n">
        <v>208000</v>
      </c>
      <c r="D53" s="63" t="n">
        <v>0</v>
      </c>
      <c r="E53" s="63" t="n">
        <v>208000</v>
      </c>
    </row>
    <row r="54" ht="15" customHeight="1" s="50">
      <c r="A54" s="61" t="inlineStr">
        <is>
          <t>2150-0020</t>
        </is>
      </c>
      <c r="B54" s="62" t="inlineStr">
        <is>
          <t xml:space="preserve"> Due To/(From) Other Property</t>
        </is>
      </c>
      <c r="C54" s="64" t="n">
        <v>-125710.31</v>
      </c>
      <c r="D54" s="64" t="n">
        <v>-102919.47</v>
      </c>
      <c r="E54" s="64" t="n">
        <v>-22790.84</v>
      </c>
    </row>
    <row r="55" ht="15" customHeight="1" s="50">
      <c r="A55" s="61" t="inlineStr">
        <is>
          <t>2150-0022</t>
        </is>
      </c>
      <c r="B55" s="62" t="inlineStr">
        <is>
          <t xml:space="preserve"> Due To/(From) SSSM</t>
        </is>
      </c>
      <c r="C55" s="64" t="n">
        <v>-19999.44</v>
      </c>
      <c r="D55" s="64" t="n">
        <v>-18899.44</v>
      </c>
      <c r="E55" s="64" t="n">
        <v>-1100</v>
      </c>
    </row>
    <row r="56" ht="15" customHeight="1" s="50">
      <c r="A56" s="61" t="inlineStr">
        <is>
          <t>2200-0000</t>
        </is>
      </c>
      <c r="B56" s="62" t="inlineStr">
        <is>
          <t xml:space="preserve"> Accounts Payable</t>
        </is>
      </c>
      <c r="C56" s="64" t="n">
        <v>94290.62</v>
      </c>
      <c r="D56" s="64" t="n">
        <v>17209.08</v>
      </c>
      <c r="E56" s="64" t="n">
        <v>77081.53999999999</v>
      </c>
    </row>
    <row r="57" ht="15" customHeight="1" s="50">
      <c r="A57" s="61" t="inlineStr">
        <is>
          <t>2210-0000</t>
        </is>
      </c>
      <c r="B57" s="62" t="inlineStr">
        <is>
          <t xml:space="preserve"> Prepaid Rent</t>
        </is>
      </c>
      <c r="C57" s="64" t="n">
        <v>35597.13</v>
      </c>
      <c r="D57" s="64" t="n">
        <v>19332.03</v>
      </c>
      <c r="E57" s="64" t="n">
        <v>16265.1</v>
      </c>
    </row>
    <row r="58" ht="15" customHeight="1" s="50">
      <c r="A58" s="61" t="inlineStr">
        <is>
          <t>2250-0000</t>
        </is>
      </c>
      <c r="B58" s="62" t="inlineStr">
        <is>
          <t xml:space="preserve"> Tenant Deposits</t>
        </is>
      </c>
      <c r="C58" s="64" t="n">
        <v>1050</v>
      </c>
      <c r="D58" s="64" t="n">
        <v>150</v>
      </c>
      <c r="E58" s="64" t="n">
        <v>900</v>
      </c>
    </row>
    <row r="59" ht="15" customHeight="1" s="50">
      <c r="A59" s="61" t="inlineStr">
        <is>
          <t>2250-0010</t>
        </is>
      </c>
      <c r="B59" s="62" t="inlineStr">
        <is>
          <t xml:space="preserve"> Truck Rental Deposit</t>
        </is>
      </c>
      <c r="C59" s="64" t="n">
        <v>750</v>
      </c>
      <c r="D59" s="64" t="n">
        <v>150</v>
      </c>
      <c r="E59" s="64" t="n">
        <v>600</v>
      </c>
    </row>
    <row r="60" ht="15" customHeight="1" s="50">
      <c r="A60" s="61" t="n"/>
      <c r="B60" s="62" t="n"/>
      <c r="C60" s="64" t="n"/>
      <c r="D60" s="64" t="n"/>
      <c r="E60" s="64" t="n"/>
    </row>
    <row r="61" ht="15" customHeight="1" s="50">
      <c r="A61" s="61" t="inlineStr">
        <is>
          <t>2300-0000</t>
        </is>
      </c>
      <c r="B61" s="62" t="inlineStr">
        <is>
          <t xml:space="preserve"> TAX LIABILITIES</t>
        </is>
      </c>
      <c r="C61" s="64" t="n"/>
      <c r="D61" s="64" t="n"/>
      <c r="E61" s="64" t="n"/>
    </row>
    <row r="62" ht="15" customHeight="1" s="50">
      <c r="A62" s="61" t="inlineStr">
        <is>
          <t>2305-0000</t>
        </is>
      </c>
      <c r="B62" s="62" t="inlineStr">
        <is>
          <t xml:space="preserve"> Real Estate Tax Accrual</t>
        </is>
      </c>
      <c r="C62" s="64" t="n">
        <v>58275.78</v>
      </c>
      <c r="D62" s="64" t="n">
        <v>-0.22</v>
      </c>
      <c r="E62" s="64" t="n">
        <v>58276</v>
      </c>
    </row>
    <row r="63" ht="15" customHeight="1" s="50">
      <c r="A63" s="61" t="inlineStr">
        <is>
          <t>2310-0000</t>
        </is>
      </c>
      <c r="B63" s="62" t="inlineStr">
        <is>
          <t xml:space="preserve"> Sales Tax Collected</t>
        </is>
      </c>
      <c r="C63" s="64" t="n">
        <v>318.14</v>
      </c>
      <c r="D63" s="64" t="n">
        <v>48.86</v>
      </c>
      <c r="E63" s="64" t="n">
        <v>269.28</v>
      </c>
    </row>
    <row r="64" ht="15" customHeight="1" s="50">
      <c r="A64" s="61" t="inlineStr">
        <is>
          <t>2310-0001</t>
        </is>
      </c>
    </row>
    <row r="65" ht="15" customHeight="1" s="50">
      <c r="A65" s="61" t="inlineStr">
        <is>
          <t>2490-0000</t>
        </is>
      </c>
      <c r="B65" s="62" t="inlineStr">
        <is>
          <t xml:space="preserve">  TOTAL TAX LIABILITIES</t>
        </is>
      </c>
      <c r="C65" s="63" t="n">
        <v>47525.4</v>
      </c>
      <c r="D65" s="63" t="n">
        <v>-11019.88</v>
      </c>
      <c r="E65" s="63" t="n">
        <v>58545.28</v>
      </c>
    </row>
    <row r="66" ht="15" customHeight="1" s="50">
      <c r="A66" s="61" t="inlineStr">
        <is>
          <t>2609-0000</t>
        </is>
      </c>
      <c r="B66" s="62" t="inlineStr">
        <is>
          <t xml:space="preserve"> Interest Accrual</t>
        </is>
      </c>
      <c r="C66" s="64" t="n">
        <v>-867.77</v>
      </c>
      <c r="D66" s="64" t="n">
        <v>26435.04</v>
      </c>
      <c r="E66" s="64" t="n">
        <v>-27302.81</v>
      </c>
    </row>
    <row r="67" ht="15" customHeight="1" s="50">
      <c r="A67" s="61" t="inlineStr">
        <is>
          <t>2640-0998</t>
        </is>
      </c>
      <c r="B67" s="62" t="inlineStr">
        <is>
          <t xml:space="preserve"> Expense Accrual</t>
        </is>
      </c>
      <c r="C67" s="64" t="n">
        <v>6457.77</v>
      </c>
      <c r="D67" s="64" t="n">
        <v>6816.96</v>
      </c>
      <c r="E67" s="64" t="n">
        <v>-359.19</v>
      </c>
    </row>
    <row r="68" ht="15" customHeight="1" s="50">
      <c r="A68" s="61" t="inlineStr">
        <is>
          <t>2640-0999</t>
        </is>
      </c>
      <c r="B68" s="62" t="inlineStr">
        <is>
          <t xml:space="preserve"> Payroll Accrual</t>
        </is>
      </c>
      <c r="C68" s="65" t="n">
        <v>0</v>
      </c>
      <c r="D68" s="65" t="n">
        <v>455.69</v>
      </c>
      <c r="E68" s="65" t="n">
        <v>-455.69</v>
      </c>
    </row>
    <row r="69" ht="15" customHeight="1" s="50">
      <c r="A69" s="61" t="inlineStr">
        <is>
          <t>2990-0000</t>
        </is>
      </c>
      <c r="B69" s="62" t="inlineStr">
        <is>
          <t xml:space="preserve">  TOTAL LIABILITIES</t>
        </is>
      </c>
      <c r="C69" s="66" t="n">
        <v>9937176.550000001</v>
      </c>
      <c r="D69" s="66" t="n">
        <v>9703651.01</v>
      </c>
      <c r="E69" s="66" t="n">
        <v>233525.54</v>
      </c>
    </row>
    <row r="70" ht="15" customHeight="1" s="50">
      <c r="A70" s="61" t="n"/>
      <c r="B70" s="62" t="n"/>
      <c r="C70" s="64" t="n"/>
      <c r="D70" s="64" t="n"/>
      <c r="E70" s="64" t="n"/>
    </row>
    <row r="71" ht="15" customHeight="1" s="50">
      <c r="A71" s="61" t="inlineStr">
        <is>
          <t>3000-0000</t>
        </is>
      </c>
      <c r="B71" s="62" t="inlineStr">
        <is>
          <t xml:space="preserve"> CAPITAL</t>
        </is>
      </c>
      <c r="C71" s="64" t="n"/>
      <c r="D71" s="64" t="n"/>
      <c r="E71" s="64" t="n"/>
    </row>
    <row r="72" ht="15" customHeight="1" s="50">
      <c r="A72" s="61" t="n"/>
      <c r="B72" s="62" t="n"/>
      <c r="C72" s="65" t="n"/>
      <c r="D72" s="65" t="n"/>
      <c r="E72" s="65" t="n"/>
    </row>
    <row r="73" ht="15" customHeight="1" s="50">
      <c r="A73" s="61" t="inlineStr">
        <is>
          <t>3303-2151</t>
        </is>
      </c>
      <c r="B73" s="62" t="inlineStr">
        <is>
          <t xml:space="preserve"> Storsafe DRE JV Contribution</t>
        </is>
      </c>
      <c r="C73" s="66" t="n">
        <v>6645917</v>
      </c>
      <c r="D73" s="66" t="n">
        <v>6645917</v>
      </c>
      <c r="E73" s="66" t="n">
        <v>0</v>
      </c>
    </row>
    <row r="74" ht="15" customHeight="1" s="50">
      <c r="A74" s="61" t="inlineStr">
        <is>
          <t>3303-2152</t>
        </is>
      </c>
    </row>
    <row r="75" ht="15" customHeight="1" s="50">
      <c r="A75" s="61" t="inlineStr">
        <is>
          <t>3303-2153</t>
        </is>
      </c>
      <c r="B75" s="62" t="inlineStr">
        <is>
          <t>STORSAFE DRE JV TOTAL</t>
        </is>
      </c>
      <c r="C75" s="63" t="n">
        <v>6531587</v>
      </c>
      <c r="D75" s="63" t="n">
        <v>6531587</v>
      </c>
      <c r="E75" s="63" t="n">
        <v>0</v>
      </c>
    </row>
    <row r="76" ht="15" customHeight="1" s="50">
      <c r="A76" s="61" t="n"/>
    </row>
    <row r="77" ht="15" customHeight="1" s="50">
      <c r="A77" s="61" t="inlineStr">
        <is>
          <t>3800-0000</t>
        </is>
      </c>
      <c r="B77" s="62" t="inlineStr">
        <is>
          <t xml:space="preserve"> Retained Earnings</t>
        </is>
      </c>
      <c r="C77" s="64" t="n">
        <v>-1010619.14</v>
      </c>
      <c r="D77" s="64" t="n">
        <v>-674922.75</v>
      </c>
      <c r="E77" s="64" t="n">
        <v>-335696.39</v>
      </c>
    </row>
    <row r="78" ht="15" customHeight="1" s="50">
      <c r="A78" s="61" t="inlineStr">
        <is>
          <t>3890-0000</t>
        </is>
      </c>
      <c r="B78" s="62" t="inlineStr">
        <is>
          <t xml:space="preserve">  TOTAL CAPITAL</t>
        </is>
      </c>
      <c r="C78" s="65" t="n">
        <v>5520967.86</v>
      </c>
      <c r="D78" s="65" t="n">
        <v>5856664.25</v>
      </c>
      <c r="E78" s="65" t="n">
        <v>-335696.39</v>
      </c>
    </row>
    <row r="79" ht="15" customHeight="1" s="50">
      <c r="A79" s="61" t="n"/>
      <c r="B79" s="62" t="n"/>
      <c r="C79" s="66" t="n"/>
      <c r="D79" s="66" t="n"/>
      <c r="E79" s="66" t="n"/>
    </row>
    <row r="80" ht="15" customHeight="1" s="50">
      <c r="A80" s="61" t="inlineStr">
        <is>
          <t>3990-0000</t>
        </is>
      </c>
    </row>
    <row r="81" ht="15" customHeight="1" s="50">
      <c r="A81" s="61" t="n"/>
      <c r="B81" s="62" t="n"/>
      <c r="C81" s="65" t="n"/>
      <c r="D81" s="65" t="n"/>
      <c r="E81" s="65" t="n"/>
    </row>
    <row r="82" ht="15" customHeight="1" s="50">
      <c r="A82" s="61" t="n"/>
      <c r="B82" s="62" t="n"/>
      <c r="C82" s="66" t="n"/>
      <c r="D82" s="66" t="n"/>
      <c r="E82" s="66" t="n"/>
    </row>
    <row r="83" ht="15" customHeight="1" s="50">
      <c r="A83" s="61" t="n"/>
    </row>
    <row r="84" ht="15" customHeight="1" s="50" thickBot="1">
      <c r="A84" s="68" t="n"/>
      <c r="B84" s="69" t="n"/>
      <c r="C84" s="70" t="n"/>
      <c r="D84" s="70" t="n"/>
      <c r="E84" s="70" t="n"/>
    </row>
    <row r="85" ht="15" customHeight="1" s="50" thickTop="1"/>
    <row r="86" ht="15" customHeight="1" s="50"/>
    <row r="87" ht="15" customHeight="1" s="50"/>
    <row r="88" ht="15" customHeight="1" s="50"/>
    <row r="89" ht="15" customHeight="1" s="50"/>
    <row r="90" ht="15" customHeight="1" s="50"/>
    <row r="91" ht="15" customHeight="1" s="50"/>
    <row r="92" ht="15" customHeight="1" s="50"/>
    <row r="93" ht="15" customHeight="1" s="50"/>
  </sheetData>
  <mergeCells count="19">
    <mergeCell ref="A83:E83"/>
    <mergeCell ref="A48:E48"/>
    <mergeCell ref="A64:E64"/>
    <mergeCell ref="A1:E1"/>
    <mergeCell ref="A37:E37"/>
    <mergeCell ref="A80:E80"/>
    <mergeCell ref="A74:E74"/>
    <mergeCell ref="A3:E3"/>
    <mergeCell ref="A21:E21"/>
    <mergeCell ref="A50:E50"/>
    <mergeCell ref="A2:E2"/>
    <mergeCell ref="A76:E76"/>
    <mergeCell ref="A23:E23"/>
    <mergeCell ref="A8:E8"/>
    <mergeCell ref="A29:E29"/>
    <mergeCell ref="A4:E4"/>
    <mergeCell ref="A52:E52"/>
    <mergeCell ref="A13:E13"/>
    <mergeCell ref="A44:E44"/>
  </mergeCells>
  <pageMargins left="0.7" right="0.7" top="0.7" bottom="0.7" header="0.5" footer="0.5"/>
  <pageSetup orientation="portrait" fitToHeight="990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34"/>
  <sheetViews>
    <sheetView topLeftCell="A466" zoomScale="160" zoomScaleNormal="160" workbookViewId="0">
      <selection activeCell="B473" sqref="B473"/>
    </sheetView>
  </sheetViews>
  <sheetFormatPr baseColWidth="8" defaultRowHeight="12.75"/>
  <cols>
    <col width="8.7109375" bestFit="1" customWidth="1" style="50" min="1" max="1"/>
    <col width="36.28515625" customWidth="1" style="50" min="2" max="2"/>
    <col width="7.5703125" bestFit="1" customWidth="1" style="50" min="3" max="3"/>
    <col width="5.28515625" bestFit="1" customWidth="1" style="50" min="4" max="5"/>
    <col width="6.85546875" bestFit="1" customWidth="1" style="50" min="6" max="6"/>
    <col width="4.85546875" bestFit="1" customWidth="1" style="50" min="7" max="7"/>
    <col width="8.7109375" bestFit="1" customWidth="1" style="50" min="8" max="11"/>
    <col width="26.85546875" bestFit="1" customWidth="1" style="50" min="12" max="12"/>
  </cols>
  <sheetData>
    <row r="1" ht="15" customHeight="1" s="50">
      <c r="A1" s="52" t="inlineStr">
        <is>
          <t>Chart of Accounts</t>
        </is>
      </c>
    </row>
    <row r="2">
      <c r="A2" s="49" t="n"/>
    </row>
    <row r="3">
      <c r="A3" s="6" t="n"/>
      <c r="B3" s="6" t="n"/>
      <c r="C3" s="6" t="n"/>
      <c r="D3" s="6" t="n"/>
      <c r="E3" s="6" t="n"/>
      <c r="F3" s="7" t="n"/>
      <c r="G3" s="7" t="n"/>
      <c r="H3" s="6" t="n"/>
      <c r="I3" s="6" t="n"/>
      <c r="J3" s="6" t="n"/>
      <c r="K3" s="6" t="n"/>
      <c r="L3" s="6" t="n"/>
    </row>
    <row r="4">
      <c r="A4" s="8" t="n"/>
      <c r="B4" s="8" t="n"/>
      <c r="C4" s="8" t="n"/>
      <c r="D4" s="8" t="n"/>
      <c r="E4" s="8" t="n"/>
      <c r="F4" s="9" t="n"/>
      <c r="G4" s="9" t="n"/>
      <c r="H4" s="8" t="n"/>
      <c r="I4" s="8" t="n"/>
      <c r="J4" s="8" t="n"/>
      <c r="K4" s="8" t="n"/>
      <c r="L4" s="8" t="n"/>
    </row>
    <row r="5">
      <c r="A5" s="8" t="inlineStr">
        <is>
          <t>Account</t>
        </is>
      </c>
      <c r="B5" s="8" t="inlineStr">
        <is>
          <t>Account Name</t>
        </is>
      </c>
      <c r="C5" s="8" t="inlineStr">
        <is>
          <t>Normal</t>
        </is>
      </c>
      <c r="D5" s="8" t="inlineStr">
        <is>
          <t>Acct</t>
        </is>
      </c>
      <c r="E5" s="8" t="inlineStr">
        <is>
          <t>Rpt</t>
        </is>
      </c>
      <c r="F5" s="9" t="n"/>
      <c r="G5" s="9" t="inlineStr">
        <is>
          <t>Line</t>
        </is>
      </c>
      <c r="H5" s="8" t="inlineStr">
        <is>
          <t>Offset</t>
        </is>
      </c>
      <c r="I5" s="8" t="inlineStr">
        <is>
          <t>Hold-For</t>
        </is>
      </c>
      <c r="J5" s="8" t="inlineStr">
        <is>
          <t>Accrual</t>
        </is>
      </c>
      <c r="K5" s="8" t="inlineStr">
        <is>
          <t>Total</t>
        </is>
      </c>
      <c r="L5" s="8" t="inlineStr">
        <is>
          <t>Flags</t>
        </is>
      </c>
    </row>
    <row r="6">
      <c r="A6" s="8" t="n"/>
      <c r="B6" s="8" t="n"/>
      <c r="C6" s="8" t="inlineStr">
        <is>
          <t>Balance</t>
        </is>
      </c>
      <c r="D6" s="8" t="inlineStr">
        <is>
          <t>Type</t>
        </is>
      </c>
      <c r="E6" s="8" t="inlineStr">
        <is>
          <t>Type</t>
        </is>
      </c>
      <c r="F6" s="9" t="inlineStr">
        <is>
          <t>Margin</t>
        </is>
      </c>
      <c r="G6" s="9" t="inlineStr">
        <is>
          <t>Adv.</t>
        </is>
      </c>
      <c r="H6" s="8" t="inlineStr">
        <is>
          <t>Account</t>
        </is>
      </c>
      <c r="I6" s="8" t="inlineStr">
        <is>
          <t>Account</t>
        </is>
      </c>
      <c r="J6" s="8" t="inlineStr">
        <is>
          <t>Account</t>
        </is>
      </c>
      <c r="K6" s="8" t="inlineStr">
        <is>
          <t>Account</t>
        </is>
      </c>
      <c r="L6" s="8" t="n"/>
    </row>
    <row r="7">
      <c r="A7" s="10" t="inlineStr">
        <is>
          <t>1000-0000</t>
        </is>
      </c>
      <c r="B7" s="10" t="inlineStr">
        <is>
          <t>ASSETS</t>
        </is>
      </c>
      <c r="C7" s="10" t="inlineStr">
        <is>
          <t>Debit</t>
        </is>
      </c>
      <c r="D7" s="10" t="inlineStr">
        <is>
          <t>Head</t>
        </is>
      </c>
      <c r="E7" s="10" t="inlineStr">
        <is>
          <t>Bal</t>
        </is>
      </c>
      <c r="F7" s="11" t="n">
        <v>1</v>
      </c>
      <c r="G7" s="11" t="n">
        <v>1</v>
      </c>
      <c r="H7" s="10" t="n"/>
      <c r="I7" s="10" t="n"/>
      <c r="J7" s="10" t="n"/>
      <c r="K7" s="10" t="n"/>
      <c r="L7" s="10" t="n"/>
    </row>
    <row r="8">
      <c r="A8" s="72" t="inlineStr">
        <is>
          <t>1100-0000</t>
        </is>
      </c>
      <c r="B8" s="72" t="inlineStr">
        <is>
          <t>CASH</t>
        </is>
      </c>
      <c r="C8" s="72" t="inlineStr">
        <is>
          <t>Debit</t>
        </is>
      </c>
      <c r="D8" s="72" t="inlineStr">
        <is>
          <t>Head</t>
        </is>
      </c>
      <c r="E8" s="72" t="inlineStr">
        <is>
          <t>Bal</t>
        </is>
      </c>
      <c r="F8" s="12" t="n">
        <v>1</v>
      </c>
      <c r="G8" s="12" t="n">
        <v>2</v>
      </c>
      <c r="H8" s="72" t="n"/>
      <c r="I8" s="72" t="n"/>
      <c r="J8" s="72" t="n"/>
      <c r="K8" s="72" t="n"/>
      <c r="L8" s="72" t="n"/>
    </row>
    <row r="9">
      <c r="A9" s="72" t="inlineStr">
        <is>
          <t>1100-0001</t>
        </is>
      </c>
      <c r="B9" s="72" t="inlineStr">
        <is>
          <t>Cash Reserve</t>
        </is>
      </c>
      <c r="C9" s="72" t="inlineStr">
        <is>
          <t>Debit</t>
        </is>
      </c>
      <c r="D9" s="72" t="inlineStr">
        <is>
          <t>Reg</t>
        </is>
      </c>
      <c r="E9" s="72" t="inlineStr">
        <is>
          <t>Bal</t>
        </is>
      </c>
      <c r="F9" s="12" t="n">
        <v>1</v>
      </c>
      <c r="G9" s="12" t="n">
        <v>1</v>
      </c>
      <c r="H9" s="72" t="n"/>
      <c r="I9" s="72" t="n"/>
      <c r="J9" s="72" t="n"/>
      <c r="K9" s="72" t="n"/>
      <c r="L9" s="72" t="inlineStr">
        <is>
          <t>Cash</t>
        </is>
      </c>
    </row>
    <row r="10">
      <c r="A10" s="72" t="inlineStr">
        <is>
          <t>1100-0500</t>
        </is>
      </c>
      <c r="B10" s="72" t="inlineStr">
        <is>
          <t>do not use</t>
        </is>
      </c>
      <c r="C10" s="72" t="inlineStr">
        <is>
          <t>Debit</t>
        </is>
      </c>
      <c r="D10" s="72" t="inlineStr">
        <is>
          <t>Reg</t>
        </is>
      </c>
      <c r="E10" s="72" t="inlineStr">
        <is>
          <t>Bal</t>
        </is>
      </c>
      <c r="F10" s="12" t="n">
        <v>1</v>
      </c>
      <c r="G10" s="12" t="n">
        <v>1</v>
      </c>
      <c r="H10" s="72" t="n"/>
      <c r="I10" s="72" t="n"/>
      <c r="J10" s="72" t="n"/>
      <c r="K10" s="72" t="inlineStr">
        <is>
          <t>1190-0000</t>
        </is>
      </c>
      <c r="L10" s="72" t="inlineStr">
        <is>
          <t>Cash</t>
        </is>
      </c>
    </row>
    <row r="11">
      <c r="A11" s="72" t="inlineStr">
        <is>
          <t>1110-0000</t>
        </is>
      </c>
      <c r="B11" s="72" t="inlineStr">
        <is>
          <t>BMO Harris</t>
        </is>
      </c>
      <c r="C11" s="72" t="inlineStr">
        <is>
          <t>Debit</t>
        </is>
      </c>
      <c r="D11" s="72" t="inlineStr">
        <is>
          <t>Reg</t>
        </is>
      </c>
      <c r="E11" s="72" t="inlineStr">
        <is>
          <t>Bal</t>
        </is>
      </c>
      <c r="F11" s="12" t="n">
        <v>1</v>
      </c>
      <c r="G11" s="12" t="n">
        <v>1</v>
      </c>
      <c r="H11" s="72" t="n"/>
      <c r="I11" s="72" t="n"/>
      <c r="J11" s="72" t="n"/>
      <c r="K11" s="72" t="inlineStr">
        <is>
          <t>1190-0000</t>
        </is>
      </c>
      <c r="L11" s="72" t="inlineStr">
        <is>
          <t>Cash</t>
        </is>
      </c>
    </row>
    <row r="12">
      <c r="A12" s="72" t="inlineStr">
        <is>
          <t>1110-0001</t>
        </is>
      </c>
      <c r="B12" s="72" t="inlineStr">
        <is>
          <t>BMO Harris Reserves 3839</t>
        </is>
      </c>
      <c r="C12" s="72" t="inlineStr">
        <is>
          <t>Debit</t>
        </is>
      </c>
      <c r="D12" s="72" t="inlineStr">
        <is>
          <t>Reg</t>
        </is>
      </c>
      <c r="E12" s="72" t="inlineStr">
        <is>
          <t>Bal</t>
        </is>
      </c>
      <c r="F12" s="12" t="n">
        <v>1</v>
      </c>
      <c r="G12" s="12" t="n">
        <v>1</v>
      </c>
      <c r="H12" s="72" t="n"/>
      <c r="I12" s="72" t="n"/>
      <c r="J12" s="72" t="n"/>
      <c r="K12" s="72" t="inlineStr">
        <is>
          <t>1190-0000</t>
        </is>
      </c>
      <c r="L12" s="72" t="inlineStr">
        <is>
          <t>Cash</t>
        </is>
      </c>
    </row>
    <row r="13">
      <c r="A13" s="72" t="inlineStr">
        <is>
          <t>1110-0002</t>
        </is>
      </c>
      <c r="B13" s="72" t="inlineStr">
        <is>
          <t>Associated Bank - Operating</t>
        </is>
      </c>
      <c r="C13" s="72" t="inlineStr">
        <is>
          <t>Debit</t>
        </is>
      </c>
      <c r="D13" s="72" t="inlineStr">
        <is>
          <t>Reg</t>
        </is>
      </c>
      <c r="E13" s="72" t="inlineStr">
        <is>
          <t>Bal</t>
        </is>
      </c>
      <c r="F13" s="12" t="n">
        <v>1</v>
      </c>
      <c r="G13" s="12" t="n">
        <v>1</v>
      </c>
      <c r="H13" s="72" t="n"/>
      <c r="I13" s="72" t="n"/>
      <c r="J13" s="72" t="n"/>
      <c r="K13" s="72" t="inlineStr">
        <is>
          <t>1190-0000</t>
        </is>
      </c>
      <c r="L13" s="72" t="inlineStr">
        <is>
          <t>Cash</t>
        </is>
      </c>
    </row>
    <row r="14">
      <c r="A14" s="72" t="inlineStr">
        <is>
          <t>1110-0003</t>
        </is>
      </c>
      <c r="B14" s="72" t="inlineStr">
        <is>
          <t>8211 Kilpatrick BB Checking</t>
        </is>
      </c>
      <c r="C14" s="72" t="inlineStr">
        <is>
          <t>Debit</t>
        </is>
      </c>
      <c r="D14" s="72" t="inlineStr">
        <is>
          <t>Reg</t>
        </is>
      </c>
      <c r="E14" s="72" t="inlineStr">
        <is>
          <t>Bal</t>
        </is>
      </c>
      <c r="F14" s="12" t="n">
        <v>1</v>
      </c>
      <c r="G14" s="12" t="n">
        <v>1</v>
      </c>
      <c r="H14" s="72" t="n"/>
      <c r="I14" s="72" t="n"/>
      <c r="J14" s="72" t="n"/>
      <c r="K14" s="72" t="inlineStr">
        <is>
          <t>1190-0000</t>
        </is>
      </c>
      <c r="L14" s="72" t="inlineStr">
        <is>
          <t>Cash</t>
        </is>
      </c>
    </row>
    <row r="15">
      <c r="A15" s="72" t="inlineStr">
        <is>
          <t>1110-0004</t>
        </is>
      </c>
      <c r="B15" s="72" t="inlineStr">
        <is>
          <t>8211 Kilpatrick BB Savings</t>
        </is>
      </c>
      <c r="C15" s="72" t="inlineStr">
        <is>
          <t>Debit</t>
        </is>
      </c>
      <c r="D15" s="72" t="inlineStr">
        <is>
          <t>Reg</t>
        </is>
      </c>
      <c r="E15" s="72" t="inlineStr">
        <is>
          <t>Bal</t>
        </is>
      </c>
      <c r="F15" s="12" t="n">
        <v>1</v>
      </c>
      <c r="G15" s="12" t="n">
        <v>1</v>
      </c>
      <c r="H15" s="72" t="n"/>
      <c r="I15" s="72" t="n"/>
      <c r="J15" s="72" t="n"/>
      <c r="K15" s="72" t="inlineStr">
        <is>
          <t>1190-0000</t>
        </is>
      </c>
      <c r="L15" s="72" t="inlineStr">
        <is>
          <t>Cash</t>
        </is>
      </c>
    </row>
    <row r="16">
      <c r="A16" s="72" t="inlineStr">
        <is>
          <t>1110-0005</t>
        </is>
      </c>
      <c r="B16" s="72" t="inlineStr">
        <is>
          <t>3830 Ashland Amal Checking</t>
        </is>
      </c>
      <c r="C16" s="72" t="inlineStr">
        <is>
          <t>Debit</t>
        </is>
      </c>
      <c r="D16" s="72" t="inlineStr">
        <is>
          <t>Reg</t>
        </is>
      </c>
      <c r="E16" s="72" t="inlineStr">
        <is>
          <t>Bal</t>
        </is>
      </c>
      <c r="F16" s="12" t="n">
        <v>1</v>
      </c>
      <c r="G16" s="12" t="n">
        <v>1</v>
      </c>
      <c r="H16" s="72" t="n"/>
      <c r="I16" s="72" t="n"/>
      <c r="J16" s="72" t="n"/>
      <c r="K16" s="72" t="inlineStr">
        <is>
          <t>1190-0000</t>
        </is>
      </c>
      <c r="L16" s="72" t="inlineStr">
        <is>
          <t>Cash</t>
        </is>
      </c>
    </row>
    <row r="17">
      <c r="A17" s="72" t="inlineStr">
        <is>
          <t>1110-0006</t>
        </is>
      </c>
      <c r="B17" s="72" t="inlineStr">
        <is>
          <t>3830 Ashland Amal Savings</t>
        </is>
      </c>
      <c r="C17" s="72" t="inlineStr">
        <is>
          <t>Debit</t>
        </is>
      </c>
      <c r="D17" s="72" t="inlineStr">
        <is>
          <t>Reg</t>
        </is>
      </c>
      <c r="E17" s="72" t="inlineStr">
        <is>
          <t>Bal</t>
        </is>
      </c>
      <c r="F17" s="12" t="n">
        <v>1</v>
      </c>
      <c r="G17" s="12" t="n">
        <v>1</v>
      </c>
      <c r="H17" s="72" t="n"/>
      <c r="I17" s="72" t="n"/>
      <c r="J17" s="72" t="n"/>
      <c r="K17" s="72" t="inlineStr">
        <is>
          <t>1190-0000</t>
        </is>
      </c>
      <c r="L17" s="72" t="inlineStr">
        <is>
          <t>Cash</t>
        </is>
      </c>
    </row>
    <row r="18">
      <c r="A18" s="72" t="inlineStr">
        <is>
          <t>1110-0010</t>
        </is>
      </c>
      <c r="B18" s="72" t="inlineStr">
        <is>
          <t>Belmont Bank &amp; Trust WC</t>
        </is>
      </c>
      <c r="C18" s="72" t="inlineStr">
        <is>
          <t>Debit</t>
        </is>
      </c>
      <c r="D18" s="72" t="inlineStr">
        <is>
          <t>Reg</t>
        </is>
      </c>
      <c r="E18" s="72" t="inlineStr">
        <is>
          <t>Bal</t>
        </is>
      </c>
      <c r="F18" s="12" t="n">
        <v>1</v>
      </c>
      <c r="G18" s="12" t="n">
        <v>1</v>
      </c>
      <c r="H18" s="72" t="n"/>
      <c r="I18" s="72" t="n"/>
      <c r="J18" s="72" t="n"/>
      <c r="K18" s="72" t="inlineStr">
        <is>
          <t>1190-0000</t>
        </is>
      </c>
      <c r="L18" s="72" t="inlineStr">
        <is>
          <t>Cash</t>
        </is>
      </c>
    </row>
    <row r="19">
      <c r="A19" s="72" t="inlineStr">
        <is>
          <t>1110-0020</t>
        </is>
      </c>
      <c r="B19" s="72" t="inlineStr">
        <is>
          <t>Belmont Bank and  Trust  Ruby Street</t>
        </is>
      </c>
      <c r="C19" s="72" t="inlineStr">
        <is>
          <t>Debit</t>
        </is>
      </c>
      <c r="D19" s="72" t="inlineStr">
        <is>
          <t>Reg</t>
        </is>
      </c>
      <c r="E19" s="72" t="inlineStr">
        <is>
          <t>Bal</t>
        </is>
      </c>
      <c r="F19" s="12" t="n">
        <v>1</v>
      </c>
      <c r="G19" s="12" t="n">
        <v>1</v>
      </c>
      <c r="H19" s="72" t="n"/>
      <c r="I19" s="72" t="n"/>
      <c r="J19" s="72" t="n"/>
      <c r="K19" s="72" t="inlineStr">
        <is>
          <t>1190-0000</t>
        </is>
      </c>
      <c r="L19" s="72" t="inlineStr">
        <is>
          <t>Cash</t>
        </is>
      </c>
    </row>
    <row r="20">
      <c r="A20" s="72" t="inlineStr">
        <is>
          <t>1110-0030</t>
        </is>
      </c>
      <c r="B20" s="72" t="inlineStr">
        <is>
          <t>Belmont Bank and Trust  Indian Creek</t>
        </is>
      </c>
      <c r="C20" s="72" t="inlineStr">
        <is>
          <t>Debit</t>
        </is>
      </c>
      <c r="D20" s="72" t="inlineStr">
        <is>
          <t>Reg</t>
        </is>
      </c>
      <c r="E20" s="72" t="inlineStr">
        <is>
          <t>Bal</t>
        </is>
      </c>
      <c r="F20" s="12" t="n">
        <v>1</v>
      </c>
      <c r="G20" s="12" t="n">
        <v>1</v>
      </c>
      <c r="H20" s="72" t="n"/>
      <c r="I20" s="72" t="n"/>
      <c r="J20" s="72" t="n"/>
      <c r="K20" s="72" t="inlineStr">
        <is>
          <t>1190-0000</t>
        </is>
      </c>
      <c r="L20" s="72" t="inlineStr">
        <is>
          <t>Cash</t>
        </is>
      </c>
    </row>
    <row r="21">
      <c r="A21" s="72" t="inlineStr">
        <is>
          <t>1110-0040</t>
        </is>
      </c>
      <c r="B21" s="72" t="inlineStr">
        <is>
          <t>Belmont Bank and  Trust  Sherman Place</t>
        </is>
      </c>
      <c r="C21" s="72" t="inlineStr">
        <is>
          <t>Debit</t>
        </is>
      </c>
      <c r="D21" s="72" t="inlineStr">
        <is>
          <t>Reg</t>
        </is>
      </c>
      <c r="E21" s="72" t="inlineStr">
        <is>
          <t>Bal</t>
        </is>
      </c>
      <c r="F21" s="12" t="n">
        <v>1</v>
      </c>
      <c r="G21" s="12" t="n">
        <v>1</v>
      </c>
      <c r="H21" s="72" t="n"/>
      <c r="I21" s="72" t="n"/>
      <c r="J21" s="72" t="n"/>
      <c r="K21" s="72" t="inlineStr">
        <is>
          <t>1190-0000</t>
        </is>
      </c>
      <c r="L21" s="72" t="inlineStr">
        <is>
          <t>Cash</t>
        </is>
      </c>
    </row>
    <row r="22">
      <c r="A22" s="72" t="inlineStr">
        <is>
          <t>1110-0100</t>
        </is>
      </c>
      <c r="B22" s="72" t="inlineStr">
        <is>
          <t>BMO Harris 6333</t>
        </is>
      </c>
      <c r="C22" s="72" t="inlineStr">
        <is>
          <t>Debit</t>
        </is>
      </c>
      <c r="D22" s="72" t="inlineStr">
        <is>
          <t>Reg</t>
        </is>
      </c>
      <c r="E22" s="72" t="inlineStr">
        <is>
          <t>Bal</t>
        </is>
      </c>
      <c r="F22" s="12" t="n">
        <v>1</v>
      </c>
      <c r="G22" s="12" t="n">
        <v>1</v>
      </c>
      <c r="H22" s="72" t="n"/>
      <c r="I22" s="72" t="n"/>
      <c r="J22" s="72" t="n"/>
      <c r="K22" s="72" t="inlineStr">
        <is>
          <t>1190-0000</t>
        </is>
      </c>
      <c r="L22" s="72" t="inlineStr">
        <is>
          <t>Cash</t>
        </is>
      </c>
    </row>
    <row r="23">
      <c r="A23" s="72" t="inlineStr">
        <is>
          <t>1110-0200</t>
        </is>
      </c>
      <c r="B23" s="72" t="inlineStr">
        <is>
          <t>BMO Carmen</t>
        </is>
      </c>
      <c r="C23" s="72" t="inlineStr">
        <is>
          <t>Debit</t>
        </is>
      </c>
      <c r="D23" s="72" t="inlineStr">
        <is>
          <t>Reg</t>
        </is>
      </c>
      <c r="E23" s="72" t="inlineStr">
        <is>
          <t>Bal</t>
        </is>
      </c>
      <c r="F23" s="12" t="n">
        <v>1</v>
      </c>
      <c r="G23" s="12" t="n">
        <v>1</v>
      </c>
      <c r="H23" s="72" t="n"/>
      <c r="I23" s="72" t="n"/>
      <c r="J23" s="72" t="n"/>
      <c r="K23" s="72" t="inlineStr">
        <is>
          <t>1190-0000</t>
        </is>
      </c>
      <c r="L23" s="72" t="inlineStr">
        <is>
          <t>Cash</t>
        </is>
      </c>
    </row>
    <row r="24">
      <c r="A24" s="72" t="inlineStr">
        <is>
          <t>1110-0300</t>
        </is>
      </c>
      <c r="B24" s="72" t="inlineStr">
        <is>
          <t>BMO 3839</t>
        </is>
      </c>
      <c r="C24" s="72" t="inlineStr">
        <is>
          <t>Debit</t>
        </is>
      </c>
      <c r="D24" s="72" t="inlineStr">
        <is>
          <t>Reg</t>
        </is>
      </c>
      <c r="E24" s="72" t="inlineStr">
        <is>
          <t>Bal</t>
        </is>
      </c>
      <c r="F24" s="12" t="n">
        <v>1</v>
      </c>
      <c r="G24" s="12" t="n">
        <v>1</v>
      </c>
      <c r="H24" s="72" t="n"/>
      <c r="I24" s="72" t="n"/>
      <c r="J24" s="72" t="n"/>
      <c r="K24" s="72" t="inlineStr">
        <is>
          <t>1190-0000</t>
        </is>
      </c>
      <c r="L24" s="72" t="inlineStr">
        <is>
          <t>Cash</t>
        </is>
      </c>
    </row>
    <row r="25">
      <c r="A25" s="72" t="inlineStr">
        <is>
          <t>1110-0435</t>
        </is>
      </c>
      <c r="B25" s="72" t="inlineStr">
        <is>
          <t>435 Marquette Bank</t>
        </is>
      </c>
      <c r="C25" s="72" t="inlineStr">
        <is>
          <t>Debit</t>
        </is>
      </c>
      <c r="D25" s="72" t="inlineStr">
        <is>
          <t>Reg</t>
        </is>
      </c>
      <c r="E25" s="72" t="inlineStr">
        <is>
          <t>Bal</t>
        </is>
      </c>
      <c r="F25" s="12" t="n">
        <v>1</v>
      </c>
      <c r="G25" s="12" t="n">
        <v>1</v>
      </c>
      <c r="H25" s="72" t="n"/>
      <c r="I25" s="72" t="n"/>
      <c r="J25" s="72" t="n"/>
      <c r="K25" s="72" t="inlineStr">
        <is>
          <t>1190-0000</t>
        </is>
      </c>
      <c r="L25" s="72" t="inlineStr">
        <is>
          <t>Cash</t>
        </is>
      </c>
    </row>
    <row r="26">
      <c r="A26" s="72" t="inlineStr">
        <is>
          <t>1110-0451</t>
        </is>
      </c>
      <c r="B26" s="72" t="inlineStr">
        <is>
          <t>451 Randall Money Market Account</t>
        </is>
      </c>
      <c r="C26" s="72" t="inlineStr">
        <is>
          <t>Debit</t>
        </is>
      </c>
      <c r="D26" s="72" t="inlineStr">
        <is>
          <t>Reg</t>
        </is>
      </c>
      <c r="E26" s="72" t="inlineStr">
        <is>
          <t>Bal</t>
        </is>
      </c>
      <c r="F26" s="12" t="n">
        <v>1</v>
      </c>
      <c r="G26" s="12" t="n">
        <v>1</v>
      </c>
      <c r="H26" s="72" t="n"/>
      <c r="I26" s="72" t="n"/>
      <c r="J26" s="72" t="n"/>
      <c r="K26" s="72" t="inlineStr">
        <is>
          <t>1190-0000</t>
        </is>
      </c>
      <c r="L26" s="72" t="inlineStr">
        <is>
          <t>Cash</t>
        </is>
      </c>
    </row>
    <row r="27">
      <c r="A27" s="72" t="inlineStr">
        <is>
          <t>1110-1000</t>
        </is>
      </c>
      <c r="B27" s="72" t="inlineStr">
        <is>
          <t>Belmont BT Property Management</t>
        </is>
      </c>
      <c r="C27" s="72" t="inlineStr">
        <is>
          <t>Debit</t>
        </is>
      </c>
      <c r="D27" s="72" t="inlineStr">
        <is>
          <t>Reg</t>
        </is>
      </c>
      <c r="E27" s="72" t="inlineStr">
        <is>
          <t>Bal</t>
        </is>
      </c>
      <c r="F27" s="12" t="n">
        <v>1</v>
      </c>
      <c r="G27" s="12" t="n">
        <v>1</v>
      </c>
      <c r="H27" s="72" t="n"/>
      <c r="I27" s="72" t="n"/>
      <c r="J27" s="72" t="n"/>
      <c r="K27" s="72" t="inlineStr">
        <is>
          <t>1190-0000</t>
        </is>
      </c>
      <c r="L27" s="72" t="inlineStr">
        <is>
          <t>Cash</t>
        </is>
      </c>
    </row>
    <row r="28">
      <c r="A28" s="72" t="inlineStr">
        <is>
          <t>1110-1001</t>
        </is>
      </c>
      <c r="B28" s="72" t="inlineStr">
        <is>
          <t>5100 State Bank of Illinois</t>
        </is>
      </c>
      <c r="C28" s="72" t="inlineStr">
        <is>
          <t>Debit</t>
        </is>
      </c>
      <c r="D28" s="72" t="inlineStr">
        <is>
          <t>Reg</t>
        </is>
      </c>
      <c r="E28" s="72" t="inlineStr">
        <is>
          <t>Bal</t>
        </is>
      </c>
      <c r="F28" s="12" t="n">
        <v>1</v>
      </c>
      <c r="G28" s="12" t="n">
        <v>1</v>
      </c>
      <c r="H28" s="72" t="n"/>
      <c r="I28" s="72" t="n"/>
      <c r="J28" s="72" t="n"/>
      <c r="K28" s="72" t="inlineStr">
        <is>
          <t>1190-0000</t>
        </is>
      </c>
      <c r="L28" s="72" t="inlineStr">
        <is>
          <t>Cash</t>
        </is>
      </c>
    </row>
    <row r="29">
      <c r="A29" s="72" t="inlineStr">
        <is>
          <t>1110-1002</t>
        </is>
      </c>
      <c r="B29" s="72" t="inlineStr">
        <is>
          <t>9530 FNBC Checking</t>
        </is>
      </c>
      <c r="C29" s="72" t="inlineStr">
        <is>
          <t>Debit</t>
        </is>
      </c>
      <c r="D29" s="72" t="inlineStr">
        <is>
          <t>Reg</t>
        </is>
      </c>
      <c r="E29" s="72" t="inlineStr">
        <is>
          <t>Bal</t>
        </is>
      </c>
      <c r="F29" s="12" t="n">
        <v>1</v>
      </c>
      <c r="G29" s="12" t="n">
        <v>1</v>
      </c>
      <c r="H29" s="72" t="n"/>
      <c r="I29" s="72" t="n"/>
      <c r="J29" s="72" t="n"/>
      <c r="K29" s="72" t="inlineStr">
        <is>
          <t>1190-0000</t>
        </is>
      </c>
      <c r="L29" s="72" t="inlineStr">
        <is>
          <t>Cash</t>
        </is>
      </c>
    </row>
    <row r="30">
      <c r="A30" s="72" t="inlineStr">
        <is>
          <t>1110-1003</t>
        </is>
      </c>
      <c r="B30" s="72" t="inlineStr">
        <is>
          <t>5301 Dempster FNBC Checking</t>
        </is>
      </c>
      <c r="C30" s="72" t="inlineStr">
        <is>
          <t>Debit</t>
        </is>
      </c>
      <c r="D30" s="72" t="inlineStr">
        <is>
          <t>Reg</t>
        </is>
      </c>
      <c r="E30" s="72" t="inlineStr">
        <is>
          <t>Bal</t>
        </is>
      </c>
      <c r="F30" s="12" t="n">
        <v>1</v>
      </c>
      <c r="G30" s="12" t="n">
        <v>1</v>
      </c>
      <c r="H30" s="72" t="n"/>
      <c r="I30" s="72" t="n"/>
      <c r="J30" s="72" t="n"/>
      <c r="K30" s="72" t="inlineStr">
        <is>
          <t>1190-0000</t>
        </is>
      </c>
      <c r="L30" s="72" t="inlineStr">
        <is>
          <t>Cash</t>
        </is>
      </c>
    </row>
    <row r="31">
      <c r="A31" s="72" t="inlineStr">
        <is>
          <t>1110-1004</t>
        </is>
      </c>
      <c r="B31" s="72" t="inlineStr">
        <is>
          <t>451 Randall Operating Account</t>
        </is>
      </c>
      <c r="C31" s="72" t="inlineStr">
        <is>
          <t>Debit</t>
        </is>
      </c>
      <c r="D31" s="72" t="inlineStr">
        <is>
          <t>Reg</t>
        </is>
      </c>
      <c r="E31" s="72" t="inlineStr">
        <is>
          <t>Bal</t>
        </is>
      </c>
      <c r="F31" s="12" t="n">
        <v>1</v>
      </c>
      <c r="G31" s="12" t="n">
        <v>1</v>
      </c>
      <c r="H31" s="72" t="n"/>
      <c r="I31" s="72" t="n"/>
      <c r="J31" s="72" t="n"/>
      <c r="K31" s="72" t="inlineStr">
        <is>
          <t>1190-0000</t>
        </is>
      </c>
      <c r="L31" s="72" t="inlineStr">
        <is>
          <t>Cash</t>
        </is>
      </c>
    </row>
    <row r="32">
      <c r="A32" s="72" t="inlineStr">
        <is>
          <t>1110-1200</t>
        </is>
      </c>
      <c r="B32" s="72" t="inlineStr">
        <is>
          <t>4121 Metcap</t>
        </is>
      </c>
      <c r="C32" s="72" t="inlineStr">
        <is>
          <t>Debit</t>
        </is>
      </c>
      <c r="D32" s="72" t="inlineStr">
        <is>
          <t>Reg</t>
        </is>
      </c>
      <c r="E32" s="72" t="inlineStr">
        <is>
          <t>Bal</t>
        </is>
      </c>
      <c r="F32" s="12" t="n">
        <v>1</v>
      </c>
      <c r="G32" s="12" t="n">
        <v>1</v>
      </c>
      <c r="H32" s="72" t="n"/>
      <c r="I32" s="72" t="n"/>
      <c r="J32" s="72" t="n"/>
      <c r="K32" s="72" t="inlineStr">
        <is>
          <t>1190-0000</t>
        </is>
      </c>
      <c r="L32" s="72" t="inlineStr">
        <is>
          <t>Cash</t>
        </is>
      </c>
    </row>
    <row r="33">
      <c r="A33" s="72" t="inlineStr">
        <is>
          <t>1110-1435</t>
        </is>
      </c>
      <c r="B33" s="72" t="inlineStr">
        <is>
          <t>435 Amalgamated Bank</t>
        </is>
      </c>
      <c r="C33" s="72" t="inlineStr">
        <is>
          <t>Debit</t>
        </is>
      </c>
      <c r="D33" s="72" t="inlineStr">
        <is>
          <t>Reg</t>
        </is>
      </c>
      <c r="E33" s="72" t="inlineStr">
        <is>
          <t>Bal</t>
        </is>
      </c>
      <c r="F33" s="12" t="n">
        <v>1</v>
      </c>
      <c r="G33" s="12" t="n">
        <v>1</v>
      </c>
      <c r="H33" s="72" t="n"/>
      <c r="I33" s="72" t="n"/>
      <c r="J33" s="72" t="n"/>
      <c r="K33" s="72" t="inlineStr">
        <is>
          <t>1190-0000</t>
        </is>
      </c>
      <c r="L33" s="72" t="inlineStr">
        <is>
          <t>Cash</t>
        </is>
      </c>
    </row>
    <row r="34">
      <c r="A34" s="72" t="inlineStr">
        <is>
          <t>1110-1451</t>
        </is>
      </c>
      <c r="B34" s="72" t="inlineStr">
        <is>
          <t>451 STC Capital Bank</t>
        </is>
      </c>
      <c r="C34" s="72" t="inlineStr">
        <is>
          <t>Debit</t>
        </is>
      </c>
      <c r="D34" s="72" t="inlineStr">
        <is>
          <t>Reg</t>
        </is>
      </c>
      <c r="E34" s="72" t="inlineStr">
        <is>
          <t>Bal</t>
        </is>
      </c>
      <c r="F34" s="12" t="n">
        <v>1</v>
      </c>
      <c r="G34" s="12" t="n">
        <v>1</v>
      </c>
      <c r="H34" s="72" t="n"/>
      <c r="I34" s="72" t="n"/>
      <c r="J34" s="72" t="n"/>
      <c r="K34" s="72" t="inlineStr">
        <is>
          <t>1190-0000</t>
        </is>
      </c>
      <c r="L34" s="72" t="inlineStr">
        <is>
          <t>Cash</t>
        </is>
      </c>
    </row>
    <row r="35">
      <c r="A35" s="72" t="inlineStr">
        <is>
          <t>1110-1500</t>
        </is>
      </c>
      <c r="B35" s="72" t="inlineStr">
        <is>
          <t>PNC Bank NA</t>
        </is>
      </c>
      <c r="C35" s="72" t="inlineStr">
        <is>
          <t>Debit</t>
        </is>
      </c>
      <c r="D35" s="72" t="inlineStr">
        <is>
          <t>Reg</t>
        </is>
      </c>
      <c r="E35" s="72" t="inlineStr">
        <is>
          <t>Bal</t>
        </is>
      </c>
      <c r="F35" s="12" t="n">
        <v>1</v>
      </c>
      <c r="G35" s="12" t="n">
        <v>1</v>
      </c>
      <c r="H35" s="72" t="n"/>
      <c r="I35" s="72" t="n"/>
      <c r="J35" s="72" t="n"/>
      <c r="K35" s="72" t="inlineStr">
        <is>
          <t>1190-0000</t>
        </is>
      </c>
      <c r="L35" s="72" t="inlineStr">
        <is>
          <t>Cash</t>
        </is>
      </c>
    </row>
    <row r="36">
      <c r="A36" s="72" t="inlineStr">
        <is>
          <t>1110-1501</t>
        </is>
      </c>
      <c r="B36" s="72" t="inlineStr">
        <is>
          <t>Lake Side Bank Ceres</t>
        </is>
      </c>
      <c r="C36" s="72" t="inlineStr">
        <is>
          <t>Debit</t>
        </is>
      </c>
      <c r="D36" s="72" t="inlineStr">
        <is>
          <t>Reg</t>
        </is>
      </c>
      <c r="E36" s="72" t="inlineStr">
        <is>
          <t>Bal</t>
        </is>
      </c>
      <c r="F36" s="12" t="n">
        <v>1</v>
      </c>
      <c r="G36" s="12" t="n">
        <v>1</v>
      </c>
      <c r="H36" s="72" t="n"/>
      <c r="I36" s="72" t="n"/>
      <c r="J36" s="72" t="n"/>
      <c r="K36" s="72" t="inlineStr">
        <is>
          <t>1190-0000</t>
        </is>
      </c>
      <c r="L36" s="72" t="inlineStr">
        <is>
          <t>Cash</t>
        </is>
      </c>
    </row>
    <row r="37">
      <c r="A37" s="72" t="inlineStr">
        <is>
          <t>1110-1502</t>
        </is>
      </c>
      <c r="B37" s="72" t="inlineStr">
        <is>
          <t>Lakeside Carmen</t>
        </is>
      </c>
      <c r="C37" s="72" t="inlineStr">
        <is>
          <t>Debit</t>
        </is>
      </c>
      <c r="D37" s="72" t="inlineStr">
        <is>
          <t>Reg</t>
        </is>
      </c>
      <c r="E37" s="72" t="inlineStr">
        <is>
          <t>Bal</t>
        </is>
      </c>
      <c r="F37" s="12" t="n">
        <v>1</v>
      </c>
      <c r="G37" s="12" t="n">
        <v>1</v>
      </c>
      <c r="H37" s="72" t="n"/>
      <c r="I37" s="72" t="n"/>
      <c r="J37" s="72" t="n"/>
      <c r="K37" s="72" t="inlineStr">
        <is>
          <t>1190-0000</t>
        </is>
      </c>
      <c r="L37" s="72" t="inlineStr">
        <is>
          <t>Cash</t>
        </is>
      </c>
    </row>
    <row r="38">
      <c r="A38" s="72" t="inlineStr">
        <is>
          <t>1110-1503</t>
        </is>
      </c>
      <c r="B38" s="72" t="inlineStr">
        <is>
          <t>Lakeside 3839</t>
        </is>
      </c>
      <c r="C38" s="72" t="inlineStr">
        <is>
          <t>Debit</t>
        </is>
      </c>
      <c r="D38" s="72" t="inlineStr">
        <is>
          <t>Reg</t>
        </is>
      </c>
      <c r="E38" s="72" t="inlineStr">
        <is>
          <t>Bal</t>
        </is>
      </c>
      <c r="F38" s="12" t="n">
        <v>1</v>
      </c>
      <c r="G38" s="12" t="n">
        <v>1</v>
      </c>
      <c r="H38" s="72" t="n"/>
      <c r="I38" s="72" t="n"/>
      <c r="J38" s="72" t="n"/>
      <c r="K38" s="72" t="inlineStr">
        <is>
          <t>1190-0000</t>
        </is>
      </c>
      <c r="L38" s="72" t="inlineStr">
        <is>
          <t>Cash</t>
        </is>
      </c>
    </row>
    <row r="39">
      <c r="A39" s="72" t="inlineStr">
        <is>
          <t>1110-1504</t>
        </is>
      </c>
      <c r="B39" s="72" t="inlineStr">
        <is>
          <t>Lakeside 6333</t>
        </is>
      </c>
      <c r="C39" s="72" t="inlineStr">
        <is>
          <t>Debit</t>
        </is>
      </c>
      <c r="D39" s="72" t="inlineStr">
        <is>
          <t>Reg</t>
        </is>
      </c>
      <c r="E39" s="72" t="inlineStr">
        <is>
          <t>Bal</t>
        </is>
      </c>
      <c r="F39" s="12" t="n">
        <v>1</v>
      </c>
      <c r="G39" s="12" t="n">
        <v>1</v>
      </c>
      <c r="H39" s="72" t="n"/>
      <c r="I39" s="72" t="n"/>
      <c r="J39" s="72" t="n"/>
      <c r="K39" s="72" t="inlineStr">
        <is>
          <t>1190-0000</t>
        </is>
      </c>
      <c r="L39" s="72" t="inlineStr">
        <is>
          <t>Cash</t>
        </is>
      </c>
    </row>
    <row r="40">
      <c r="A40" s="72" t="inlineStr">
        <is>
          <t>1110-1505</t>
        </is>
      </c>
      <c r="B40" s="72" t="inlineStr">
        <is>
          <t>First Eagle Bank</t>
        </is>
      </c>
      <c r="C40" s="72" t="inlineStr">
        <is>
          <t>Debit</t>
        </is>
      </c>
      <c r="D40" s="72" t="inlineStr">
        <is>
          <t>Reg</t>
        </is>
      </c>
      <c r="E40" s="72" t="inlineStr">
        <is>
          <t>Bal</t>
        </is>
      </c>
      <c r="F40" s="12" t="n">
        <v>1</v>
      </c>
      <c r="G40" s="12" t="n">
        <v>1</v>
      </c>
      <c r="H40" s="72" t="n"/>
      <c r="I40" s="72" t="n"/>
      <c r="J40" s="72" t="n"/>
      <c r="K40" s="72" t="inlineStr">
        <is>
          <t>1190-0000</t>
        </is>
      </c>
      <c r="L40" s="72" t="inlineStr">
        <is>
          <t>Cash</t>
        </is>
      </c>
    </row>
    <row r="41">
      <c r="A41" s="72" t="inlineStr">
        <is>
          <t>1110-1506</t>
        </is>
      </c>
      <c r="B41" s="72" t="inlineStr">
        <is>
          <t>First Eagle 4335</t>
        </is>
      </c>
      <c r="C41" s="72" t="inlineStr">
        <is>
          <t>Debit</t>
        </is>
      </c>
      <c r="D41" s="72" t="inlineStr">
        <is>
          <t>Reg</t>
        </is>
      </c>
      <c r="E41" s="72" t="inlineStr">
        <is>
          <t>Bal</t>
        </is>
      </c>
      <c r="F41" s="12" t="n">
        <v>1</v>
      </c>
      <c r="G41" s="12" t="n">
        <v>1</v>
      </c>
      <c r="H41" s="72" t="n"/>
      <c r="I41" s="72" t="n"/>
      <c r="J41" s="72" t="n"/>
      <c r="K41" s="72" t="inlineStr">
        <is>
          <t>1190-0000</t>
        </is>
      </c>
      <c r="L41" s="72" t="inlineStr">
        <is>
          <t>Cash</t>
        </is>
      </c>
    </row>
    <row r="42">
      <c r="A42" s="72" t="inlineStr">
        <is>
          <t>1110-1507</t>
        </is>
      </c>
      <c r="B42" s="72" t="inlineStr">
        <is>
          <t>Lakeside Ceres II</t>
        </is>
      </c>
      <c r="C42" s="72" t="inlineStr">
        <is>
          <t>Debit</t>
        </is>
      </c>
      <c r="D42" s="72" t="inlineStr">
        <is>
          <t>Reg</t>
        </is>
      </c>
      <c r="E42" s="72" t="inlineStr">
        <is>
          <t>Bal</t>
        </is>
      </c>
      <c r="F42" s="12" t="n">
        <v>1</v>
      </c>
      <c r="G42" s="12" t="n">
        <v>1</v>
      </c>
      <c r="H42" s="72" t="n"/>
      <c r="I42" s="72" t="n"/>
      <c r="J42" s="72" t="n"/>
      <c r="K42" s="72" t="inlineStr">
        <is>
          <t>1190-0000</t>
        </is>
      </c>
      <c r="L42" s="72" t="inlineStr">
        <is>
          <t>Cash</t>
        </is>
      </c>
    </row>
    <row r="43">
      <c r="A43" s="72" t="inlineStr">
        <is>
          <t>1110-1508</t>
        </is>
      </c>
      <c r="B43" s="72" t="inlineStr">
        <is>
          <t>Gold Coast 1742-1768</t>
        </is>
      </c>
      <c r="C43" s="72" t="inlineStr">
        <is>
          <t>Debit</t>
        </is>
      </c>
      <c r="D43" s="72" t="inlineStr">
        <is>
          <t>Reg</t>
        </is>
      </c>
      <c r="E43" s="72" t="inlineStr">
        <is>
          <t>Bal</t>
        </is>
      </c>
      <c r="F43" s="12" t="n">
        <v>1</v>
      </c>
      <c r="G43" s="12" t="n">
        <v>1</v>
      </c>
      <c r="H43" s="72" t="n"/>
      <c r="I43" s="72" t="n"/>
      <c r="J43" s="72" t="n"/>
      <c r="K43" s="72" t="inlineStr">
        <is>
          <t>1190-0000</t>
        </is>
      </c>
      <c r="L43" s="72" t="inlineStr">
        <is>
          <t>Cash</t>
        </is>
      </c>
    </row>
    <row r="44">
      <c r="A44" s="72" t="inlineStr">
        <is>
          <t>1110-1509</t>
        </is>
      </c>
      <c r="B44" s="72" t="inlineStr">
        <is>
          <t>6333FEB</t>
        </is>
      </c>
      <c r="C44" s="72" t="inlineStr">
        <is>
          <t>Debit</t>
        </is>
      </c>
      <c r="D44" s="72" t="inlineStr">
        <is>
          <t>Reg</t>
        </is>
      </c>
      <c r="E44" s="72" t="inlineStr">
        <is>
          <t>Bal</t>
        </is>
      </c>
      <c r="F44" s="12" t="n">
        <v>1</v>
      </c>
      <c r="G44" s="12" t="n">
        <v>1</v>
      </c>
      <c r="H44" s="72" t="n"/>
      <c r="I44" s="72" t="n"/>
      <c r="J44" s="72" t="n"/>
      <c r="K44" s="72" t="inlineStr">
        <is>
          <t>1190-0000</t>
        </is>
      </c>
      <c r="L44" s="72" t="inlineStr">
        <is>
          <t>Cash</t>
        </is>
      </c>
    </row>
    <row r="45">
      <c r="A45" s="72" t="inlineStr">
        <is>
          <t>1110-1510</t>
        </is>
      </c>
      <c r="B45" s="72" t="inlineStr">
        <is>
          <t>FNBC Ceres Acquisitions</t>
        </is>
      </c>
      <c r="C45" s="72" t="inlineStr">
        <is>
          <t>Debit</t>
        </is>
      </c>
      <c r="D45" s="72" t="inlineStr">
        <is>
          <t>Reg</t>
        </is>
      </c>
      <c r="E45" s="72" t="inlineStr">
        <is>
          <t>Bal</t>
        </is>
      </c>
      <c r="F45" s="12" t="n">
        <v>1</v>
      </c>
      <c r="G45" s="12" t="n">
        <v>1</v>
      </c>
      <c r="H45" s="72" t="n"/>
      <c r="I45" s="72" t="n"/>
      <c r="J45" s="72" t="n"/>
      <c r="K45" s="72" t="inlineStr">
        <is>
          <t>1190-0000</t>
        </is>
      </c>
      <c r="L45" s="72" t="inlineStr">
        <is>
          <t>Cash</t>
        </is>
      </c>
    </row>
    <row r="46">
      <c r="A46" s="72" t="inlineStr">
        <is>
          <t>1110-1511</t>
        </is>
      </c>
      <c r="B46" s="72" t="inlineStr">
        <is>
          <t>FNBC Ceres II</t>
        </is>
      </c>
      <c r="C46" s="72" t="inlineStr">
        <is>
          <t>Debit</t>
        </is>
      </c>
      <c r="D46" s="72" t="inlineStr">
        <is>
          <t>Reg</t>
        </is>
      </c>
      <c r="E46" s="72" t="inlineStr">
        <is>
          <t>Bal</t>
        </is>
      </c>
      <c r="F46" s="12" t="n">
        <v>1</v>
      </c>
      <c r="G46" s="12" t="n">
        <v>1</v>
      </c>
      <c r="H46" s="72" t="n"/>
      <c r="I46" s="72" t="n"/>
      <c r="J46" s="72" t="n"/>
      <c r="K46" s="72" t="inlineStr">
        <is>
          <t>1190-0000</t>
        </is>
      </c>
      <c r="L46" s="72" t="inlineStr">
        <is>
          <t>Cash</t>
        </is>
      </c>
    </row>
    <row r="47">
      <c r="A47" s="72" t="inlineStr">
        <is>
          <t>1110-1512</t>
        </is>
      </c>
      <c r="B47" s="72" t="inlineStr">
        <is>
          <t>6401 Marquette Bank</t>
        </is>
      </c>
      <c r="C47" s="72" t="inlineStr">
        <is>
          <t>Debit</t>
        </is>
      </c>
      <c r="D47" s="72" t="inlineStr">
        <is>
          <t>Reg</t>
        </is>
      </c>
      <c r="E47" s="72" t="inlineStr">
        <is>
          <t>Bal</t>
        </is>
      </c>
      <c r="F47" s="12" t="n">
        <v>1</v>
      </c>
      <c r="G47" s="12" t="n">
        <v>1</v>
      </c>
      <c r="H47" s="72" t="n"/>
      <c r="I47" s="72" t="n"/>
      <c r="J47" s="72" t="n"/>
      <c r="K47" s="72" t="inlineStr">
        <is>
          <t>1190-0000</t>
        </is>
      </c>
      <c r="L47" s="72" t="inlineStr">
        <is>
          <t>Cash</t>
        </is>
      </c>
    </row>
    <row r="48">
      <c r="A48" s="72" t="inlineStr">
        <is>
          <t>1110-1513</t>
        </is>
      </c>
      <c r="B48" s="72" t="inlineStr">
        <is>
          <t>562 Winnetka Galleria</t>
        </is>
      </c>
      <c r="C48" s="72" t="inlineStr">
        <is>
          <t>Debit</t>
        </is>
      </c>
      <c r="D48" s="72" t="inlineStr">
        <is>
          <t>Reg</t>
        </is>
      </c>
      <c r="E48" s="72" t="inlineStr">
        <is>
          <t>Bal</t>
        </is>
      </c>
      <c r="F48" s="12" t="n">
        <v>1</v>
      </c>
      <c r="G48" s="12" t="n">
        <v>1</v>
      </c>
      <c r="H48" s="72" t="n"/>
      <c r="I48" s="72" t="n"/>
      <c r="J48" s="72" t="n"/>
      <c r="K48" s="72" t="inlineStr">
        <is>
          <t>1190-0000</t>
        </is>
      </c>
      <c r="L48" s="72" t="inlineStr">
        <is>
          <t>Cash</t>
        </is>
      </c>
    </row>
    <row r="49">
      <c r="A49" s="72" t="inlineStr">
        <is>
          <t>1110-1514</t>
        </is>
      </c>
      <c r="B49" s="72" t="inlineStr">
        <is>
          <t>Amalgamated Bank</t>
        </is>
      </c>
      <c r="C49" s="72" t="inlineStr">
        <is>
          <t>Debit</t>
        </is>
      </c>
      <c r="D49" s="72" t="inlineStr">
        <is>
          <t>Reg</t>
        </is>
      </c>
      <c r="E49" s="72" t="inlineStr">
        <is>
          <t>Bal</t>
        </is>
      </c>
      <c r="F49" s="12" t="n">
        <v>1</v>
      </c>
      <c r="G49" s="12" t="n">
        <v>1</v>
      </c>
      <c r="H49" s="72" t="n"/>
      <c r="I49" s="72" t="n"/>
      <c r="J49" s="72" t="n"/>
      <c r="K49" s="72" t="inlineStr">
        <is>
          <t>1190-0000</t>
        </is>
      </c>
      <c r="L49" s="72" t="inlineStr">
        <is>
          <t>Cash</t>
        </is>
      </c>
    </row>
    <row r="50">
      <c r="A50" s="72" t="inlineStr">
        <is>
          <t>1110-1515</t>
        </is>
      </c>
      <c r="B50" s="72" t="inlineStr">
        <is>
          <t>EP Northfield Storage</t>
        </is>
      </c>
      <c r="C50" s="72" t="inlineStr">
        <is>
          <t>Debit</t>
        </is>
      </c>
      <c r="D50" s="72" t="inlineStr">
        <is>
          <t>Reg</t>
        </is>
      </c>
      <c r="E50" s="72" t="inlineStr">
        <is>
          <t>Bal</t>
        </is>
      </c>
      <c r="F50" s="12" t="n">
        <v>1</v>
      </c>
      <c r="G50" s="12" t="n">
        <v>1</v>
      </c>
      <c r="H50" s="72" t="n"/>
      <c r="I50" s="72" t="n"/>
      <c r="J50" s="72" t="n"/>
      <c r="K50" s="72" t="inlineStr">
        <is>
          <t>1190-0000</t>
        </is>
      </c>
      <c r="L50" s="72" t="inlineStr">
        <is>
          <t>Cash</t>
        </is>
      </c>
    </row>
    <row r="51">
      <c r="A51" s="72" t="inlineStr">
        <is>
          <t>1110-1516</t>
        </is>
      </c>
      <c r="B51" s="72" t="inlineStr">
        <is>
          <t>EP SEF III PV</t>
        </is>
      </c>
      <c r="C51" s="72" t="inlineStr">
        <is>
          <t>Debit</t>
        </is>
      </c>
      <c r="D51" s="72" t="inlineStr">
        <is>
          <t>Reg</t>
        </is>
      </c>
      <c r="E51" s="72" t="inlineStr">
        <is>
          <t>Bal</t>
        </is>
      </c>
      <c r="F51" s="12" t="n">
        <v>1</v>
      </c>
      <c r="G51" s="12" t="n">
        <v>1</v>
      </c>
      <c r="H51" s="72" t="n"/>
      <c r="I51" s="72" t="n"/>
      <c r="J51" s="72" t="n"/>
      <c r="K51" s="72" t="inlineStr">
        <is>
          <t>1190-0000</t>
        </is>
      </c>
      <c r="L51" s="72" t="inlineStr">
        <is>
          <t>Cash</t>
        </is>
      </c>
    </row>
    <row r="52">
      <c r="A52" s="72" t="inlineStr">
        <is>
          <t>1110-1517</t>
        </is>
      </c>
      <c r="B52" s="72" t="inlineStr">
        <is>
          <t>EP SEF III Orland Park</t>
        </is>
      </c>
      <c r="C52" s="72" t="inlineStr">
        <is>
          <t>Debit</t>
        </is>
      </c>
      <c r="D52" s="72" t="inlineStr">
        <is>
          <t>Reg</t>
        </is>
      </c>
      <c r="E52" s="72" t="inlineStr">
        <is>
          <t>Bal</t>
        </is>
      </c>
      <c r="F52" s="12" t="n">
        <v>1</v>
      </c>
      <c r="G52" s="12" t="n">
        <v>1</v>
      </c>
      <c r="H52" s="72" t="n"/>
      <c r="I52" s="72" t="n"/>
      <c r="J52" s="72" t="n"/>
      <c r="K52" s="72" t="inlineStr">
        <is>
          <t>1190-0000</t>
        </is>
      </c>
      <c r="L52" s="72" t="inlineStr">
        <is>
          <t>Cash</t>
        </is>
      </c>
    </row>
    <row r="53">
      <c r="A53" s="72" t="inlineStr">
        <is>
          <t>1110-1518</t>
        </is>
      </c>
      <c r="B53" s="72" t="inlineStr">
        <is>
          <t>JCR Personal Operating Account</t>
        </is>
      </c>
      <c r="C53" s="72" t="inlineStr">
        <is>
          <t>Debit</t>
        </is>
      </c>
      <c r="D53" s="72" t="inlineStr">
        <is>
          <t>Reg</t>
        </is>
      </c>
      <c r="E53" s="72" t="inlineStr">
        <is>
          <t>Bal</t>
        </is>
      </c>
      <c r="F53" s="12" t="n">
        <v>1</v>
      </c>
      <c r="G53" s="12" t="n">
        <v>1</v>
      </c>
      <c r="H53" s="72" t="n"/>
      <c r="I53" s="72" t="n"/>
      <c r="J53" s="72" t="n"/>
      <c r="K53" s="72" t="inlineStr">
        <is>
          <t>1190-0000</t>
        </is>
      </c>
      <c r="L53" s="72" t="inlineStr">
        <is>
          <t>Cash</t>
        </is>
      </c>
    </row>
    <row r="54">
      <c r="A54" s="72" t="inlineStr">
        <is>
          <t>1110-1519</t>
        </is>
      </c>
      <c r="B54" s="72" t="inlineStr">
        <is>
          <t>Security Deposit Account EMG</t>
        </is>
      </c>
      <c r="C54" s="72" t="inlineStr">
        <is>
          <t>Debit</t>
        </is>
      </c>
      <c r="D54" s="72" t="inlineStr">
        <is>
          <t>Reg</t>
        </is>
      </c>
      <c r="E54" s="72" t="inlineStr">
        <is>
          <t>Bal</t>
        </is>
      </c>
      <c r="F54" s="12" t="n">
        <v>1</v>
      </c>
      <c r="G54" s="12" t="n">
        <v>1</v>
      </c>
      <c r="H54" s="72" t="n"/>
      <c r="I54" s="72" t="n"/>
      <c r="J54" s="72" t="n"/>
      <c r="K54" s="72" t="inlineStr">
        <is>
          <t>1190-0000</t>
        </is>
      </c>
      <c r="L54" s="72" t="inlineStr">
        <is>
          <t>Cash</t>
        </is>
      </c>
    </row>
    <row r="55">
      <c r="A55" s="72" t="inlineStr">
        <is>
          <t>1110-1520</t>
        </is>
      </c>
      <c r="B55" s="72" t="inlineStr">
        <is>
          <t>EMG As Managing Agent</t>
        </is>
      </c>
      <c r="C55" s="72" t="inlineStr">
        <is>
          <t>Debit</t>
        </is>
      </c>
      <c r="D55" s="72" t="inlineStr">
        <is>
          <t>Reg</t>
        </is>
      </c>
      <c r="E55" s="72" t="inlineStr">
        <is>
          <t>Bal</t>
        </is>
      </c>
      <c r="F55" s="12" t="n">
        <v>1</v>
      </c>
      <c r="G55" s="12" t="n">
        <v>1</v>
      </c>
      <c r="H55" s="72" t="n"/>
      <c r="I55" s="72" t="n"/>
      <c r="J55" s="72" t="n"/>
      <c r="K55" s="72" t="inlineStr">
        <is>
          <t>1190-0000</t>
        </is>
      </c>
      <c r="L55" s="72" t="inlineStr">
        <is>
          <t>Cash</t>
        </is>
      </c>
    </row>
    <row r="56">
      <c r="A56" s="72" t="inlineStr">
        <is>
          <t>1110-1521</t>
        </is>
      </c>
      <c r="B56" s="72" t="inlineStr">
        <is>
          <t>Erie Management Group</t>
        </is>
      </c>
      <c r="C56" s="72" t="inlineStr">
        <is>
          <t>Debit</t>
        </is>
      </c>
      <c r="D56" s="72" t="inlineStr">
        <is>
          <t>Reg</t>
        </is>
      </c>
      <c r="E56" s="72" t="inlineStr">
        <is>
          <t>Bal</t>
        </is>
      </c>
      <c r="F56" s="12" t="n">
        <v>1</v>
      </c>
      <c r="G56" s="12" t="n">
        <v>1</v>
      </c>
      <c r="H56" s="72" t="n"/>
      <c r="I56" s="72" t="n"/>
      <c r="J56" s="72" t="n"/>
      <c r="K56" s="72" t="inlineStr">
        <is>
          <t>1190-0000</t>
        </is>
      </c>
      <c r="L56" s="72" t="inlineStr">
        <is>
          <t>Cash</t>
        </is>
      </c>
    </row>
    <row r="57">
      <c r="A57" s="72" t="inlineStr">
        <is>
          <t>1110-1522</t>
        </is>
      </c>
      <c r="B57" s="72" t="inlineStr">
        <is>
          <t>EP SEF III OP Savings</t>
        </is>
      </c>
      <c r="C57" s="72" t="inlineStr">
        <is>
          <t>Debit</t>
        </is>
      </c>
      <c r="D57" s="72" t="inlineStr">
        <is>
          <t>Reg</t>
        </is>
      </c>
      <c r="E57" s="72" t="inlineStr">
        <is>
          <t>Bal</t>
        </is>
      </c>
      <c r="F57" s="12" t="n">
        <v>1</v>
      </c>
      <c r="G57" s="12" t="n">
        <v>1</v>
      </c>
      <c r="H57" s="72" t="n"/>
      <c r="I57" s="72" t="n"/>
      <c r="J57" s="72" t="n"/>
      <c r="K57" s="72" t="inlineStr">
        <is>
          <t>1190-0000</t>
        </is>
      </c>
      <c r="L57" s="72" t="inlineStr">
        <is>
          <t>Cash</t>
        </is>
      </c>
    </row>
    <row r="58">
      <c r="A58" s="72" t="inlineStr">
        <is>
          <t>1110-1523</t>
        </is>
      </c>
      <c r="B58" s="72" t="inlineStr">
        <is>
          <t>1307 Amalgamated Checking</t>
        </is>
      </c>
      <c r="C58" s="72" t="inlineStr">
        <is>
          <t>Debit</t>
        </is>
      </c>
      <c r="D58" s="72" t="inlineStr">
        <is>
          <t>Reg</t>
        </is>
      </c>
      <c r="E58" s="72" t="inlineStr">
        <is>
          <t>Bal</t>
        </is>
      </c>
      <c r="F58" s="12" t="n">
        <v>1</v>
      </c>
      <c r="G58" s="12" t="n">
        <v>1</v>
      </c>
      <c r="H58" s="72" t="n"/>
      <c r="I58" s="72" t="n"/>
      <c r="J58" s="72" t="n"/>
      <c r="K58" s="72" t="inlineStr">
        <is>
          <t>1190-0000</t>
        </is>
      </c>
      <c r="L58" s="72" t="inlineStr">
        <is>
          <t>Cash</t>
        </is>
      </c>
    </row>
    <row r="59">
      <c r="A59" s="72" t="inlineStr">
        <is>
          <t>1110-1524</t>
        </is>
      </c>
      <c r="B59" s="72" t="inlineStr">
        <is>
          <t>1288 Old National Bank</t>
        </is>
      </c>
      <c r="C59" s="72" t="inlineStr">
        <is>
          <t>Debit</t>
        </is>
      </c>
      <c r="D59" s="72" t="inlineStr">
        <is>
          <t>Reg</t>
        </is>
      </c>
      <c r="E59" s="72" t="inlineStr">
        <is>
          <t>Bal</t>
        </is>
      </c>
      <c r="F59" s="12" t="n">
        <v>1</v>
      </c>
      <c r="G59" s="12" t="n">
        <v>1</v>
      </c>
      <c r="H59" s="72" t="n"/>
      <c r="I59" s="72" t="n"/>
      <c r="J59" s="72" t="n"/>
      <c r="K59" s="72" t="inlineStr">
        <is>
          <t>1190-0000</t>
        </is>
      </c>
      <c r="L59" s="72" t="inlineStr">
        <is>
          <t>Cash</t>
        </is>
      </c>
    </row>
    <row r="60">
      <c r="A60" s="72" t="inlineStr">
        <is>
          <t>1110-1525</t>
        </is>
      </c>
      <c r="B60" s="72" t="inlineStr">
        <is>
          <t>First Midwest 4335</t>
        </is>
      </c>
      <c r="C60" s="72" t="inlineStr">
        <is>
          <t>Debit</t>
        </is>
      </c>
      <c r="D60" s="72" t="inlineStr">
        <is>
          <t>Reg</t>
        </is>
      </c>
      <c r="E60" s="72" t="inlineStr">
        <is>
          <t>Bal</t>
        </is>
      </c>
      <c r="F60" s="12" t="n">
        <v>1</v>
      </c>
      <c r="G60" s="12" t="n">
        <v>1</v>
      </c>
      <c r="H60" s="72" t="n"/>
      <c r="I60" s="72" t="n"/>
      <c r="J60" s="72" t="n"/>
      <c r="K60" s="72" t="inlineStr">
        <is>
          <t>1190-0000</t>
        </is>
      </c>
      <c r="L60" s="72" t="inlineStr">
        <is>
          <t>Cash</t>
        </is>
      </c>
    </row>
    <row r="61">
      <c r="A61" s="72" t="inlineStr">
        <is>
          <t>1110-1526</t>
        </is>
      </c>
      <c r="B61" s="72" t="inlineStr">
        <is>
          <t>1288 Reserve Old National Bank</t>
        </is>
      </c>
      <c r="C61" s="72" t="inlineStr">
        <is>
          <t>Debit</t>
        </is>
      </c>
      <c r="D61" s="72" t="inlineStr">
        <is>
          <t>Reg</t>
        </is>
      </c>
      <c r="E61" s="72" t="inlineStr">
        <is>
          <t>Bal</t>
        </is>
      </c>
      <c r="F61" s="12" t="n">
        <v>1</v>
      </c>
      <c r="G61" s="12" t="n">
        <v>1</v>
      </c>
      <c r="H61" s="72" t="n"/>
      <c r="I61" s="72" t="n"/>
      <c r="J61" s="72" t="n"/>
      <c r="K61" s="72" t="inlineStr">
        <is>
          <t>1190-0000</t>
        </is>
      </c>
      <c r="L61" s="72" t="inlineStr">
        <is>
          <t>Cash</t>
        </is>
      </c>
    </row>
    <row r="62">
      <c r="A62" s="72" t="inlineStr">
        <is>
          <t>1110-1527</t>
        </is>
      </c>
      <c r="B62" s="72" t="inlineStr">
        <is>
          <t>1st Bank of Highland Park</t>
        </is>
      </c>
      <c r="C62" s="72" t="inlineStr">
        <is>
          <t>Debit</t>
        </is>
      </c>
      <c r="D62" s="72" t="inlineStr">
        <is>
          <t>Reg</t>
        </is>
      </c>
      <c r="E62" s="72" t="inlineStr">
        <is>
          <t>Bal</t>
        </is>
      </c>
      <c r="F62" s="12" t="n">
        <v>1</v>
      </c>
      <c r="G62" s="12" t="n">
        <v>1</v>
      </c>
      <c r="H62" s="72" t="n"/>
      <c r="I62" s="72" t="n"/>
      <c r="J62" s="72" t="n"/>
      <c r="K62" s="72" t="inlineStr">
        <is>
          <t>1190-0000</t>
        </is>
      </c>
      <c r="L62" s="72" t="inlineStr">
        <is>
          <t>Cash, Exclude</t>
        </is>
      </c>
    </row>
    <row r="63">
      <c r="A63" s="72" t="inlineStr">
        <is>
          <t>1110-1528</t>
        </is>
      </c>
      <c r="B63" s="72" t="inlineStr">
        <is>
          <t>EP CPSS PROVIDENCE</t>
        </is>
      </c>
      <c r="C63" s="72" t="inlineStr">
        <is>
          <t>Debit</t>
        </is>
      </c>
      <c r="D63" s="72" t="inlineStr">
        <is>
          <t>Reg</t>
        </is>
      </c>
      <c r="E63" s="72" t="inlineStr">
        <is>
          <t>Bal</t>
        </is>
      </c>
      <c r="F63" s="12" t="n">
        <v>1</v>
      </c>
      <c r="G63" s="12" t="n">
        <v>1</v>
      </c>
      <c r="H63" s="72" t="n"/>
      <c r="I63" s="72" t="n"/>
      <c r="J63" s="72" t="n"/>
      <c r="K63" s="72" t="inlineStr">
        <is>
          <t>1190-0000</t>
        </is>
      </c>
      <c r="L63" s="72" t="inlineStr">
        <is>
          <t>Cash</t>
        </is>
      </c>
    </row>
    <row r="64">
      <c r="A64" s="72" t="inlineStr">
        <is>
          <t>1110-1529</t>
        </is>
      </c>
      <c r="B64" s="72" t="inlineStr">
        <is>
          <t>314 Interest Reserve</t>
        </is>
      </c>
      <c r="C64" s="72" t="inlineStr">
        <is>
          <t>Debit</t>
        </is>
      </c>
      <c r="D64" s="72" t="inlineStr">
        <is>
          <t>Reg</t>
        </is>
      </c>
      <c r="E64" s="72" t="inlineStr">
        <is>
          <t>Bal</t>
        </is>
      </c>
      <c r="F64" s="12" t="n">
        <v>1</v>
      </c>
      <c r="G64" s="12" t="n">
        <v>1</v>
      </c>
      <c r="H64" s="72" t="n"/>
      <c r="I64" s="72" t="n"/>
      <c r="J64" s="72" t="n"/>
      <c r="K64" s="72" t="inlineStr">
        <is>
          <t>1190-0000</t>
        </is>
      </c>
      <c r="L64" s="72" t="inlineStr">
        <is>
          <t>Cash</t>
        </is>
      </c>
    </row>
    <row r="65">
      <c r="A65" s="72" t="inlineStr">
        <is>
          <t>1110-1530</t>
        </is>
      </c>
      <c r="B65" s="72" t="inlineStr">
        <is>
          <t>EP MSS Providence</t>
        </is>
      </c>
      <c r="C65" s="72" t="inlineStr">
        <is>
          <t>Debit</t>
        </is>
      </c>
      <c r="D65" s="72" t="inlineStr">
        <is>
          <t>Reg</t>
        </is>
      </c>
      <c r="E65" s="72" t="inlineStr">
        <is>
          <t>Bal</t>
        </is>
      </c>
      <c r="F65" s="12" t="n">
        <v>1</v>
      </c>
      <c r="G65" s="12" t="n">
        <v>1</v>
      </c>
      <c r="H65" s="72" t="n"/>
      <c r="I65" s="72" t="n"/>
      <c r="J65" s="72" t="n"/>
      <c r="K65" s="72" t="inlineStr">
        <is>
          <t>1190-0000</t>
        </is>
      </c>
      <c r="L65" s="72" t="inlineStr">
        <is>
          <t>Cash</t>
        </is>
      </c>
    </row>
    <row r="66">
      <c r="A66" s="72" t="inlineStr">
        <is>
          <t>1110-1531</t>
        </is>
      </c>
      <c r="B66" s="72" t="inlineStr">
        <is>
          <t>EP SEF III Orland Park Old National Bank</t>
        </is>
      </c>
      <c r="C66" s="72" t="inlineStr">
        <is>
          <t>Debit</t>
        </is>
      </c>
      <c r="D66" s="72" t="inlineStr">
        <is>
          <t>Reg</t>
        </is>
      </c>
      <c r="E66" s="72" t="inlineStr">
        <is>
          <t>Bal</t>
        </is>
      </c>
      <c r="F66" s="12" t="n">
        <v>1</v>
      </c>
      <c r="G66" s="12" t="n">
        <v>1</v>
      </c>
      <c r="H66" s="72" t="n"/>
      <c r="I66" s="72" t="n"/>
      <c r="J66" s="72" t="n"/>
      <c r="K66" s="72" t="inlineStr">
        <is>
          <t>1190-0000</t>
        </is>
      </c>
      <c r="L66" s="72" t="inlineStr">
        <is>
          <t>Cash</t>
        </is>
      </c>
    </row>
    <row r="67">
      <c r="A67" s="72" t="inlineStr">
        <is>
          <t>1110-1532</t>
        </is>
      </c>
      <c r="B67" s="72" t="inlineStr">
        <is>
          <t>EP NFSS Amalgamated</t>
        </is>
      </c>
      <c r="C67" s="72" t="inlineStr">
        <is>
          <t>Debit</t>
        </is>
      </c>
      <c r="D67" s="72" t="inlineStr">
        <is>
          <t>Reg</t>
        </is>
      </c>
      <c r="E67" s="72" t="inlineStr">
        <is>
          <t>Bal</t>
        </is>
      </c>
      <c r="F67" s="12" t="n">
        <v>1</v>
      </c>
      <c r="G67" s="12" t="n">
        <v>1</v>
      </c>
      <c r="H67" s="72" t="n"/>
      <c r="I67" s="72" t="n"/>
      <c r="J67" s="72" t="n"/>
      <c r="K67" s="72" t="inlineStr">
        <is>
          <t>1190-0000</t>
        </is>
      </c>
      <c r="L67" s="72" t="inlineStr">
        <is>
          <t>Cash</t>
        </is>
      </c>
    </row>
    <row r="68">
      <c r="A68" s="72" t="inlineStr">
        <is>
          <t>1110-1534</t>
        </is>
      </c>
      <c r="B68" s="72" t="inlineStr">
        <is>
          <t>314 WIP FBHP</t>
        </is>
      </c>
      <c r="C68" s="72" t="inlineStr">
        <is>
          <t>Debit</t>
        </is>
      </c>
      <c r="D68" s="72" t="inlineStr">
        <is>
          <t>Reg</t>
        </is>
      </c>
      <c r="E68" s="72" t="inlineStr">
        <is>
          <t>Bal</t>
        </is>
      </c>
      <c r="F68" s="12" t="n">
        <v>1</v>
      </c>
      <c r="G68" s="12" t="n">
        <v>1</v>
      </c>
      <c r="H68" s="72" t="n"/>
      <c r="I68" s="72" t="n"/>
      <c r="J68" s="72" t="n"/>
      <c r="K68" s="72" t="inlineStr">
        <is>
          <t>1190-0000</t>
        </is>
      </c>
      <c r="L68" s="72" t="inlineStr">
        <is>
          <t>Cash</t>
        </is>
      </c>
    </row>
    <row r="69">
      <c r="A69" s="72" t="inlineStr">
        <is>
          <t>1110-1553</t>
        </is>
      </c>
      <c r="B69" s="72" t="inlineStr">
        <is>
          <t>2201 Amal Checking</t>
        </is>
      </c>
      <c r="C69" s="72" t="inlineStr">
        <is>
          <t>Debit</t>
        </is>
      </c>
      <c r="D69" s="72" t="inlineStr">
        <is>
          <t>Reg</t>
        </is>
      </c>
      <c r="E69" s="72" t="inlineStr">
        <is>
          <t>Bal</t>
        </is>
      </c>
      <c r="F69" s="12" t="n">
        <v>1</v>
      </c>
      <c r="G69" s="12" t="n">
        <v>1</v>
      </c>
      <c r="H69" s="72" t="n"/>
      <c r="I69" s="72" t="n"/>
      <c r="J69" s="72" t="n"/>
      <c r="K69" s="72" t="inlineStr">
        <is>
          <t>1190-0000</t>
        </is>
      </c>
      <c r="L69" s="72" t="inlineStr">
        <is>
          <t>Cash</t>
        </is>
      </c>
    </row>
    <row r="70">
      <c r="A70" s="72" t="inlineStr">
        <is>
          <t>1110-1554</t>
        </is>
      </c>
      <c r="B70" s="72" t="inlineStr">
        <is>
          <t>2201 S Halsted Interest Reserve</t>
        </is>
      </c>
      <c r="C70" s="72" t="inlineStr">
        <is>
          <t>Debit</t>
        </is>
      </c>
      <c r="D70" s="72" t="inlineStr">
        <is>
          <t>Reg</t>
        </is>
      </c>
      <c r="E70" s="72" t="inlineStr">
        <is>
          <t>Bal</t>
        </is>
      </c>
      <c r="F70" s="12" t="n">
        <v>0</v>
      </c>
      <c r="G70" s="12" t="n">
        <v>1</v>
      </c>
      <c r="H70" s="72" t="n"/>
      <c r="I70" s="72" t="n"/>
      <c r="J70" s="72" t="n"/>
      <c r="K70" s="72" t="inlineStr">
        <is>
          <t>1190-0000</t>
        </is>
      </c>
      <c r="L70" s="72" t="inlineStr">
        <is>
          <t>Cash</t>
        </is>
      </c>
    </row>
    <row r="71">
      <c r="A71" s="72" t="inlineStr">
        <is>
          <t>1110-1555</t>
        </is>
      </c>
      <c r="B71" s="72" t="inlineStr">
        <is>
          <t>2201Chase</t>
        </is>
      </c>
      <c r="C71" s="72" t="inlineStr">
        <is>
          <t>Debit</t>
        </is>
      </c>
      <c r="D71" s="72" t="inlineStr">
        <is>
          <t>Reg</t>
        </is>
      </c>
      <c r="E71" s="72" t="inlineStr">
        <is>
          <t>Bal</t>
        </is>
      </c>
      <c r="F71" s="12" t="n">
        <v>1</v>
      </c>
      <c r="G71" s="12" t="n">
        <v>1</v>
      </c>
      <c r="H71" s="72" t="n"/>
      <c r="I71" s="72" t="n"/>
      <c r="J71" s="72" t="n"/>
      <c r="K71" s="72" t="inlineStr">
        <is>
          <t>1190-0000</t>
        </is>
      </c>
      <c r="L71" s="72" t="inlineStr">
        <is>
          <t>Cash</t>
        </is>
      </c>
    </row>
    <row r="72">
      <c r="A72" s="72" t="inlineStr">
        <is>
          <t>1110-1669</t>
        </is>
      </c>
      <c r="B72" s="72" t="inlineStr">
        <is>
          <t>5301 Dempster Amal Checking</t>
        </is>
      </c>
      <c r="C72" s="72" t="inlineStr">
        <is>
          <t>Debit</t>
        </is>
      </c>
      <c r="D72" s="72" t="inlineStr">
        <is>
          <t>Reg</t>
        </is>
      </c>
      <c r="E72" s="72" t="inlineStr">
        <is>
          <t>Bal</t>
        </is>
      </c>
      <c r="F72" s="12" t="n">
        <v>1</v>
      </c>
      <c r="G72" s="12" t="n">
        <v>1</v>
      </c>
      <c r="H72" s="72" t="n"/>
      <c r="I72" s="72" t="n"/>
      <c r="J72" s="72" t="n"/>
      <c r="K72" s="72" t="inlineStr">
        <is>
          <t>1190-0000</t>
        </is>
      </c>
      <c r="L72" s="72" t="inlineStr">
        <is>
          <t>Cash</t>
        </is>
      </c>
    </row>
    <row r="73">
      <c r="A73" s="72" t="inlineStr">
        <is>
          <t>1110-2000</t>
        </is>
      </c>
      <c r="B73" s="72" t="inlineStr">
        <is>
          <t>Chase</t>
        </is>
      </c>
      <c r="C73" s="72" t="inlineStr">
        <is>
          <t>Debit</t>
        </is>
      </c>
      <c r="D73" s="72" t="inlineStr">
        <is>
          <t>Reg</t>
        </is>
      </c>
      <c r="E73" s="72" t="inlineStr">
        <is>
          <t>Bal</t>
        </is>
      </c>
      <c r="F73" s="12" t="n">
        <v>1</v>
      </c>
      <c r="G73" s="12" t="n">
        <v>1</v>
      </c>
      <c r="H73" s="72" t="n"/>
      <c r="I73" s="72" t="n"/>
      <c r="J73" s="72" t="n"/>
      <c r="K73" s="72" t="inlineStr">
        <is>
          <t>1190-0000</t>
        </is>
      </c>
      <c r="L73" s="72" t="inlineStr">
        <is>
          <t>Cash</t>
        </is>
      </c>
    </row>
    <row r="74">
      <c r="A74" s="72" t="inlineStr">
        <is>
          <t>1110-2100</t>
        </is>
      </c>
      <c r="B74" s="72" t="inlineStr">
        <is>
          <t>Chase Receivables Account</t>
        </is>
      </c>
      <c r="C74" s="72" t="inlineStr">
        <is>
          <t>Debit</t>
        </is>
      </c>
      <c r="D74" s="72" t="inlineStr">
        <is>
          <t>Reg</t>
        </is>
      </c>
      <c r="E74" s="72" t="inlineStr">
        <is>
          <t>Bal</t>
        </is>
      </c>
      <c r="F74" s="12" t="n">
        <v>1</v>
      </c>
      <c r="G74" s="12" t="n">
        <v>1</v>
      </c>
      <c r="H74" s="72" t="n"/>
      <c r="I74" s="72" t="n"/>
      <c r="J74" s="72" t="n"/>
      <c r="K74" s="72" t="inlineStr">
        <is>
          <t>1190-0000</t>
        </is>
      </c>
      <c r="L74" s="72" t="inlineStr">
        <is>
          <t>Cash</t>
        </is>
      </c>
    </row>
    <row r="75">
      <c r="A75" s="72" t="inlineStr">
        <is>
          <t>1110-2200</t>
        </is>
      </c>
      <c r="B75" s="72" t="inlineStr">
        <is>
          <t>Chase Disbursements Account</t>
        </is>
      </c>
      <c r="C75" s="72" t="inlineStr">
        <is>
          <t>Debit</t>
        </is>
      </c>
      <c r="D75" s="72" t="inlineStr">
        <is>
          <t>Reg</t>
        </is>
      </c>
      <c r="E75" s="72" t="inlineStr">
        <is>
          <t>Bal</t>
        </is>
      </c>
      <c r="F75" s="12" t="n">
        <v>1</v>
      </c>
      <c r="G75" s="12" t="n">
        <v>1</v>
      </c>
      <c r="H75" s="72" t="n"/>
      <c r="I75" s="72" t="n"/>
      <c r="J75" s="72" t="n"/>
      <c r="K75" s="72" t="inlineStr">
        <is>
          <t>1190-0000</t>
        </is>
      </c>
      <c r="L75" s="72" t="inlineStr">
        <is>
          <t>Cash</t>
        </is>
      </c>
    </row>
    <row r="76">
      <c r="A76" s="72" t="inlineStr">
        <is>
          <t>1110-2469</t>
        </is>
      </c>
      <c r="B76" s="72" t="inlineStr">
        <is>
          <t>1401 Plaza Verde Amalgamated Checking</t>
        </is>
      </c>
      <c r="C76" s="72" t="inlineStr">
        <is>
          <t>Debit</t>
        </is>
      </c>
      <c r="D76" s="72" t="inlineStr">
        <is>
          <t>Reg</t>
        </is>
      </c>
      <c r="E76" s="72" t="inlineStr">
        <is>
          <t>Bal</t>
        </is>
      </c>
      <c r="F76" s="12" t="n">
        <v>1</v>
      </c>
      <c r="G76" s="12" t="n">
        <v>1</v>
      </c>
      <c r="H76" s="72" t="n"/>
      <c r="I76" s="72" t="n"/>
      <c r="J76" s="72" t="n"/>
      <c r="K76" s="72" t="inlineStr">
        <is>
          <t>1190-0000</t>
        </is>
      </c>
      <c r="L76" s="72" t="inlineStr">
        <is>
          <t>Cash</t>
        </is>
      </c>
    </row>
    <row r="77">
      <c r="A77" s="72" t="inlineStr">
        <is>
          <t>1110-3000</t>
        </is>
      </c>
      <c r="B77" s="72" t="inlineStr">
        <is>
          <t>Associated Bank</t>
        </is>
      </c>
      <c r="C77" s="72" t="inlineStr">
        <is>
          <t>Debit</t>
        </is>
      </c>
      <c r="D77" s="72" t="inlineStr">
        <is>
          <t>Reg</t>
        </is>
      </c>
      <c r="E77" s="72" t="inlineStr">
        <is>
          <t>Bal</t>
        </is>
      </c>
      <c r="F77" s="12" t="n">
        <v>1</v>
      </c>
      <c r="G77" s="12" t="n">
        <v>1</v>
      </c>
      <c r="H77" s="72" t="n"/>
      <c r="I77" s="72" t="n"/>
      <c r="J77" s="72" t="n"/>
      <c r="K77" s="72" t="inlineStr">
        <is>
          <t>1190-0000</t>
        </is>
      </c>
      <c r="L77" s="72" t="inlineStr">
        <is>
          <t>Cash</t>
        </is>
      </c>
    </row>
    <row r="78">
      <c r="A78" s="72" t="inlineStr">
        <is>
          <t>1110-3001</t>
        </is>
      </c>
      <c r="B78" s="72" t="inlineStr">
        <is>
          <t>Wintrust Bank</t>
        </is>
      </c>
      <c r="C78" s="72" t="inlineStr">
        <is>
          <t>Debit</t>
        </is>
      </c>
      <c r="D78" s="72" t="inlineStr">
        <is>
          <t>Reg</t>
        </is>
      </c>
      <c r="E78" s="72" t="inlineStr">
        <is>
          <t>Bal</t>
        </is>
      </c>
      <c r="F78" s="12" t="n">
        <v>1</v>
      </c>
      <c r="G78" s="12" t="n">
        <v>1</v>
      </c>
      <c r="H78" s="72" t="n"/>
      <c r="I78" s="72" t="n"/>
      <c r="J78" s="72" t="n"/>
      <c r="K78" s="72" t="inlineStr">
        <is>
          <t>1190-0000</t>
        </is>
      </c>
      <c r="L78" s="72" t="inlineStr">
        <is>
          <t>Cash</t>
        </is>
      </c>
    </row>
    <row r="79">
      <c r="A79" s="72" t="inlineStr">
        <is>
          <t>1110-3004</t>
        </is>
      </c>
      <c r="B79" s="72" t="inlineStr">
        <is>
          <t>OLD 4257 Sacramento Amal</t>
        </is>
      </c>
      <c r="C79" s="72" t="inlineStr">
        <is>
          <t>Debit</t>
        </is>
      </c>
      <c r="D79" s="72" t="inlineStr">
        <is>
          <t>Reg</t>
        </is>
      </c>
      <c r="E79" s="72" t="inlineStr">
        <is>
          <t>Bal</t>
        </is>
      </c>
      <c r="F79" s="12" t="n">
        <v>1</v>
      </c>
      <c r="G79" s="12" t="n">
        <v>1</v>
      </c>
      <c r="H79" s="72" t="n"/>
      <c r="I79" s="72" t="n"/>
      <c r="J79" s="72" t="n"/>
      <c r="K79" s="72" t="inlineStr">
        <is>
          <t>1190-0000</t>
        </is>
      </c>
      <c r="L79" s="72" t="inlineStr">
        <is>
          <t>Cash</t>
        </is>
      </c>
    </row>
    <row r="80">
      <c r="A80" s="72" t="inlineStr">
        <is>
          <t>1110-3012</t>
        </is>
      </c>
      <c r="B80" s="72" t="inlineStr">
        <is>
          <t>1341 Foster Amalgamated Checking</t>
        </is>
      </c>
      <c r="C80" s="72" t="inlineStr">
        <is>
          <t>Debit</t>
        </is>
      </c>
      <c r="D80" s="72" t="inlineStr">
        <is>
          <t>Reg</t>
        </is>
      </c>
      <c r="E80" s="72" t="inlineStr">
        <is>
          <t>Bal</t>
        </is>
      </c>
      <c r="F80" s="12" t="n">
        <v>1</v>
      </c>
      <c r="G80" s="12" t="n">
        <v>1</v>
      </c>
      <c r="H80" s="72" t="n"/>
      <c r="I80" s="72" t="n"/>
      <c r="J80" s="72" t="n"/>
      <c r="K80" s="72" t="inlineStr">
        <is>
          <t>1190-0000</t>
        </is>
      </c>
      <c r="L80" s="72" t="inlineStr">
        <is>
          <t>Cash</t>
        </is>
      </c>
    </row>
    <row r="81">
      <c r="A81" s="72" t="inlineStr">
        <is>
          <t>1110-3111</t>
        </is>
      </c>
      <c r="B81" s="72" t="inlineStr">
        <is>
          <t>235 Owner MetCap Checking</t>
        </is>
      </c>
      <c r="C81" s="72" t="inlineStr">
        <is>
          <t>Debit</t>
        </is>
      </c>
      <c r="D81" s="72" t="inlineStr">
        <is>
          <t>Reg</t>
        </is>
      </c>
      <c r="E81" s="72" t="inlineStr">
        <is>
          <t>Bal</t>
        </is>
      </c>
      <c r="F81" s="12" t="n">
        <v>1</v>
      </c>
      <c r="G81" s="12" t="n">
        <v>1</v>
      </c>
      <c r="H81" s="72" t="n"/>
      <c r="I81" s="72" t="n"/>
      <c r="J81" s="72" t="n"/>
      <c r="K81" s="72" t="inlineStr">
        <is>
          <t>1190-0000</t>
        </is>
      </c>
      <c r="L81" s="72" t="inlineStr">
        <is>
          <t>Cash</t>
        </is>
      </c>
    </row>
    <row r="82">
      <c r="A82" s="72" t="inlineStr">
        <is>
          <t>1110-3112</t>
        </is>
      </c>
      <c r="B82" s="72" t="inlineStr">
        <is>
          <t>235 Owner Wells Fargo DACA</t>
        </is>
      </c>
      <c r="C82" s="72" t="inlineStr">
        <is>
          <t>Debit</t>
        </is>
      </c>
      <c r="D82" s="72" t="inlineStr">
        <is>
          <t>Reg</t>
        </is>
      </c>
      <c r="E82" s="72" t="inlineStr">
        <is>
          <t>Bal</t>
        </is>
      </c>
      <c r="F82" s="12" t="n">
        <v>1</v>
      </c>
      <c r="G82" s="12" t="n">
        <v>1</v>
      </c>
      <c r="H82" s="72" t="n"/>
      <c r="I82" s="72" t="n"/>
      <c r="J82" s="72" t="n"/>
      <c r="K82" s="72" t="inlineStr">
        <is>
          <t>1190-0000</t>
        </is>
      </c>
      <c r="L82" s="72" t="inlineStr">
        <is>
          <t>Cash</t>
        </is>
      </c>
    </row>
    <row r="83">
      <c r="A83" s="72" t="inlineStr">
        <is>
          <t>1110-3113</t>
        </is>
      </c>
      <c r="B83" s="72" t="inlineStr">
        <is>
          <t>235 Owner Wells Fargo CMA</t>
        </is>
      </c>
      <c r="C83" s="72" t="inlineStr">
        <is>
          <t>Debit</t>
        </is>
      </c>
      <c r="D83" s="72" t="inlineStr">
        <is>
          <t>Reg</t>
        </is>
      </c>
      <c r="E83" s="72" t="inlineStr">
        <is>
          <t>Bal</t>
        </is>
      </c>
      <c r="F83" s="12" t="n">
        <v>1</v>
      </c>
      <c r="G83" s="12" t="n">
        <v>1</v>
      </c>
      <c r="H83" s="72" t="n"/>
      <c r="I83" s="72" t="n"/>
      <c r="J83" s="72" t="n"/>
      <c r="K83" s="72" t="inlineStr">
        <is>
          <t>1190-0000</t>
        </is>
      </c>
      <c r="L83" s="72" t="inlineStr">
        <is>
          <t>Cash</t>
        </is>
      </c>
    </row>
    <row r="84">
      <c r="A84" s="72" t="inlineStr">
        <is>
          <t>1110-3300</t>
        </is>
      </c>
      <c r="B84" s="72" t="inlineStr">
        <is>
          <t>Chase Bank NA</t>
        </is>
      </c>
      <c r="C84" s="72" t="inlineStr">
        <is>
          <t>Debit</t>
        </is>
      </c>
      <c r="D84" s="72" t="inlineStr">
        <is>
          <t>Reg</t>
        </is>
      </c>
      <c r="E84" s="72" t="inlineStr">
        <is>
          <t>Bal</t>
        </is>
      </c>
      <c r="F84" s="12" t="n">
        <v>1</v>
      </c>
      <c r="G84" s="12" t="n">
        <v>1</v>
      </c>
      <c r="H84" s="72" t="n"/>
      <c r="I84" s="72" t="n"/>
      <c r="J84" s="72" t="n"/>
      <c r="K84" s="72" t="inlineStr">
        <is>
          <t>1190-0000</t>
        </is>
      </c>
      <c r="L84" s="72" t="inlineStr">
        <is>
          <t>Cash</t>
        </is>
      </c>
    </row>
    <row r="85">
      <c r="A85" s="72" t="inlineStr">
        <is>
          <t>1110-3310</t>
        </is>
      </c>
      <c r="B85" s="72" t="inlineStr">
        <is>
          <t>Gold Coast Bank</t>
        </is>
      </c>
      <c r="C85" s="72" t="inlineStr">
        <is>
          <t>Debit</t>
        </is>
      </c>
      <c r="D85" s="72" t="inlineStr">
        <is>
          <t>Reg</t>
        </is>
      </c>
      <c r="E85" s="72" t="inlineStr">
        <is>
          <t>Bal</t>
        </is>
      </c>
      <c r="F85" s="12" t="n">
        <v>1</v>
      </c>
      <c r="G85" s="12" t="n">
        <v>1</v>
      </c>
      <c r="H85" s="72" t="n"/>
      <c r="I85" s="72" t="n"/>
      <c r="J85" s="72" t="n"/>
      <c r="K85" s="72" t="inlineStr">
        <is>
          <t>1190-0000</t>
        </is>
      </c>
      <c r="L85" s="72" t="inlineStr">
        <is>
          <t>Cash</t>
        </is>
      </c>
    </row>
    <row r="86">
      <c r="A86" s="72" t="inlineStr">
        <is>
          <t>1110-3311</t>
        </is>
      </c>
      <c r="B86" s="72" t="inlineStr">
        <is>
          <t>Gold Coast Bank 2535</t>
        </is>
      </c>
      <c r="C86" s="72" t="inlineStr">
        <is>
          <t>Debit</t>
        </is>
      </c>
      <c r="D86" s="72" t="inlineStr">
        <is>
          <t>Reg</t>
        </is>
      </c>
      <c r="E86" s="72" t="inlineStr">
        <is>
          <t>Bal</t>
        </is>
      </c>
      <c r="F86" s="12" t="n">
        <v>1</v>
      </c>
      <c r="G86" s="12" t="n">
        <v>1</v>
      </c>
      <c r="H86" s="72" t="n"/>
      <c r="I86" s="72" t="n"/>
      <c r="J86" s="72" t="n"/>
      <c r="K86" s="72" t="inlineStr">
        <is>
          <t>1190-0000</t>
        </is>
      </c>
      <c r="L86" s="72" t="inlineStr">
        <is>
          <t>Cash</t>
        </is>
      </c>
    </row>
    <row r="87">
      <c r="A87" s="72" t="inlineStr">
        <is>
          <t>1110-3330</t>
        </is>
      </c>
      <c r="B87" s="72" t="inlineStr">
        <is>
          <t>Wells Fargo Bank</t>
        </is>
      </c>
      <c r="C87" s="72" t="inlineStr">
        <is>
          <t>Debit</t>
        </is>
      </c>
      <c r="D87" s="72" t="inlineStr">
        <is>
          <t>Reg</t>
        </is>
      </c>
      <c r="E87" s="72" t="inlineStr">
        <is>
          <t>Bal</t>
        </is>
      </c>
      <c r="F87" s="12" t="n">
        <v>1</v>
      </c>
      <c r="G87" s="12" t="n">
        <v>1</v>
      </c>
      <c r="H87" s="72" t="n"/>
      <c r="I87" s="72" t="n"/>
      <c r="J87" s="72" t="n"/>
      <c r="K87" s="72" t="inlineStr">
        <is>
          <t>1190-0000</t>
        </is>
      </c>
      <c r="L87" s="72" t="inlineStr">
        <is>
          <t>Cash</t>
        </is>
      </c>
    </row>
    <row r="88">
      <c r="A88" s="72" t="inlineStr">
        <is>
          <t>1110-3333</t>
        </is>
      </c>
      <c r="B88" s="72" t="inlineStr">
        <is>
          <t>Wells Fargo Deposit Acct</t>
        </is>
      </c>
      <c r="C88" s="72" t="inlineStr">
        <is>
          <t>Debit</t>
        </is>
      </c>
      <c r="D88" s="72" t="inlineStr">
        <is>
          <t>Reg</t>
        </is>
      </c>
      <c r="E88" s="72" t="inlineStr">
        <is>
          <t>Bal</t>
        </is>
      </c>
      <c r="F88" s="12" t="n">
        <v>1</v>
      </c>
      <c r="G88" s="12" t="n">
        <v>1</v>
      </c>
      <c r="H88" s="72" t="n"/>
      <c r="I88" s="72" t="n"/>
      <c r="J88" s="72" t="n"/>
      <c r="K88" s="72" t="inlineStr">
        <is>
          <t>1190-0000</t>
        </is>
      </c>
      <c r="L88" s="72" t="inlineStr">
        <is>
          <t>Cash</t>
        </is>
      </c>
    </row>
    <row r="89">
      <c r="A89" s="72" t="inlineStr">
        <is>
          <t>1110-3336</t>
        </is>
      </c>
      <c r="B89" s="72" t="inlineStr">
        <is>
          <t>Wells Fargo SD</t>
        </is>
      </c>
      <c r="C89" s="72" t="inlineStr">
        <is>
          <t>Debit</t>
        </is>
      </c>
      <c r="D89" s="72" t="inlineStr">
        <is>
          <t>Reg</t>
        </is>
      </c>
      <c r="E89" s="72" t="inlineStr">
        <is>
          <t>Bal</t>
        </is>
      </c>
      <c r="F89" s="12" t="n">
        <v>1</v>
      </c>
      <c r="G89" s="12" t="n">
        <v>1</v>
      </c>
      <c r="H89" s="72" t="n"/>
      <c r="I89" s="72" t="n"/>
      <c r="J89" s="72" t="n"/>
      <c r="K89" s="72" t="inlineStr">
        <is>
          <t>1190-0000</t>
        </is>
      </c>
      <c r="L89" s="72" t="inlineStr">
        <is>
          <t>Cash</t>
        </is>
      </c>
    </row>
    <row r="90">
      <c r="A90" s="72" t="inlineStr">
        <is>
          <t>1110-3500</t>
        </is>
      </c>
      <c r="B90" s="72" t="inlineStr">
        <is>
          <t>Fifth Third Bank</t>
        </is>
      </c>
      <c r="C90" s="72" t="inlineStr">
        <is>
          <t>Debit</t>
        </is>
      </c>
      <c r="D90" s="72" t="inlineStr">
        <is>
          <t>Reg</t>
        </is>
      </c>
      <c r="E90" s="72" t="inlineStr">
        <is>
          <t>Bal</t>
        </is>
      </c>
      <c r="F90" s="12" t="n">
        <v>1</v>
      </c>
      <c r="G90" s="12" t="n">
        <v>1</v>
      </c>
      <c r="H90" s="72" t="n"/>
      <c r="I90" s="72" t="n"/>
      <c r="J90" s="72" t="n"/>
      <c r="K90" s="72" t="inlineStr">
        <is>
          <t>1190-0000</t>
        </is>
      </c>
      <c r="L90" s="72" t="inlineStr">
        <is>
          <t>Cash</t>
        </is>
      </c>
    </row>
    <row r="91">
      <c r="A91" s="72" t="inlineStr">
        <is>
          <t>1110-4000</t>
        </is>
      </c>
      <c r="B91" s="72" t="inlineStr">
        <is>
          <t>Community Bank of Oak Park River Forest</t>
        </is>
      </c>
      <c r="C91" s="72" t="inlineStr">
        <is>
          <t>Debit</t>
        </is>
      </c>
      <c r="D91" s="72" t="inlineStr">
        <is>
          <t>Reg</t>
        </is>
      </c>
      <c r="E91" s="72" t="inlineStr">
        <is>
          <t>Bal</t>
        </is>
      </c>
      <c r="F91" s="12" t="n">
        <v>1</v>
      </c>
      <c r="G91" s="12" t="n">
        <v>1</v>
      </c>
      <c r="H91" s="72" t="n"/>
      <c r="I91" s="72" t="n"/>
      <c r="J91" s="72" t="n"/>
      <c r="K91" s="72" t="inlineStr">
        <is>
          <t>1190-0000</t>
        </is>
      </c>
      <c r="L91" s="72" t="inlineStr">
        <is>
          <t>Cash</t>
        </is>
      </c>
    </row>
    <row r="92">
      <c r="A92" s="72" t="inlineStr">
        <is>
          <t>1110-4328</t>
        </is>
      </c>
      <c r="B92" s="72" t="inlineStr">
        <is>
          <t>EP HSS FBHP</t>
        </is>
      </c>
      <c r="C92" s="72" t="inlineStr">
        <is>
          <t>Debit</t>
        </is>
      </c>
      <c r="D92" s="72" t="inlineStr">
        <is>
          <t>Reg</t>
        </is>
      </c>
      <c r="E92" s="72" t="inlineStr">
        <is>
          <t>Bal</t>
        </is>
      </c>
      <c r="F92" s="12" t="n">
        <v>1</v>
      </c>
      <c r="G92" s="12" t="n">
        <v>1</v>
      </c>
      <c r="H92" s="72" t="n"/>
      <c r="I92" s="72" t="n"/>
      <c r="J92" s="72" t="n"/>
      <c r="K92" s="72" t="inlineStr">
        <is>
          <t>1190-0000</t>
        </is>
      </c>
      <c r="L92" s="72" t="inlineStr">
        <is>
          <t>Cash</t>
        </is>
      </c>
    </row>
    <row r="93">
      <c r="A93" s="72" t="inlineStr">
        <is>
          <t>1110-4329</t>
        </is>
      </c>
      <c r="B93" s="72" t="inlineStr">
        <is>
          <t>EP HSS Chase</t>
        </is>
      </c>
      <c r="C93" s="72" t="inlineStr">
        <is>
          <t>Debit</t>
        </is>
      </c>
      <c r="D93" s="72" t="inlineStr">
        <is>
          <t>Reg</t>
        </is>
      </c>
      <c r="E93" s="72" t="inlineStr">
        <is>
          <t>Bal</t>
        </is>
      </c>
      <c r="F93" s="12" t="n">
        <v>1</v>
      </c>
      <c r="G93" s="12" t="n">
        <v>1</v>
      </c>
      <c r="H93" s="72" t="n"/>
      <c r="I93" s="72" t="n"/>
      <c r="J93" s="72" t="n"/>
      <c r="K93" s="72" t="inlineStr">
        <is>
          <t>1190-0000</t>
        </is>
      </c>
      <c r="L93" s="72" t="inlineStr">
        <is>
          <t>Cash</t>
        </is>
      </c>
    </row>
    <row r="94">
      <c r="A94" s="72" t="inlineStr">
        <is>
          <t>1110-4700</t>
        </is>
      </c>
      <c r="B94" s="72" t="inlineStr">
        <is>
          <t>4700 Racine FBHP</t>
        </is>
      </c>
      <c r="C94" s="72" t="inlineStr">
        <is>
          <t>Debit</t>
        </is>
      </c>
      <c r="D94" s="72" t="inlineStr">
        <is>
          <t>Reg</t>
        </is>
      </c>
      <c r="E94" s="72" t="inlineStr">
        <is>
          <t>Bal</t>
        </is>
      </c>
      <c r="F94" s="12" t="n">
        <v>0</v>
      </c>
      <c r="G94" s="12" t="n">
        <v>1</v>
      </c>
      <c r="H94" s="72" t="n"/>
      <c r="I94" s="72" t="n"/>
      <c r="J94" s="72" t="n"/>
      <c r="K94" s="72" t="inlineStr">
        <is>
          <t>1190-0000</t>
        </is>
      </c>
      <c r="L94" s="72" t="inlineStr">
        <is>
          <t>Cash</t>
        </is>
      </c>
    </row>
    <row r="95">
      <c r="A95" s="72" t="inlineStr">
        <is>
          <t>1110-4701</t>
        </is>
      </c>
      <c r="B95" s="72" t="inlineStr">
        <is>
          <t>4700 Racine Interest Reserve FBHP</t>
        </is>
      </c>
      <c r="C95" s="72" t="inlineStr">
        <is>
          <t>Debit</t>
        </is>
      </c>
      <c r="D95" s="72" t="inlineStr">
        <is>
          <t>Reg</t>
        </is>
      </c>
      <c r="E95" s="72" t="inlineStr">
        <is>
          <t>Bal</t>
        </is>
      </c>
      <c r="F95" s="12" t="n">
        <v>1</v>
      </c>
      <c r="G95" s="12" t="n">
        <v>1</v>
      </c>
      <c r="H95" s="72" t="n"/>
      <c r="I95" s="72" t="n"/>
      <c r="J95" s="72" t="n"/>
      <c r="K95" s="72" t="inlineStr">
        <is>
          <t>1190-0000</t>
        </is>
      </c>
      <c r="L95" s="72" t="inlineStr">
        <is>
          <t>Cash</t>
        </is>
      </c>
    </row>
    <row r="96">
      <c r="A96" s="72" t="inlineStr">
        <is>
          <t>1110-4762</t>
        </is>
      </c>
      <c r="B96" s="72" t="inlineStr">
        <is>
          <t>4257 Amalgamated Acct</t>
        </is>
      </c>
      <c r="C96" s="72" t="inlineStr">
        <is>
          <t>Debit</t>
        </is>
      </c>
      <c r="D96" s="72" t="inlineStr">
        <is>
          <t>Reg</t>
        </is>
      </c>
      <c r="E96" s="72" t="inlineStr">
        <is>
          <t>Bal</t>
        </is>
      </c>
      <c r="F96" s="12" t="n">
        <v>1</v>
      </c>
      <c r="G96" s="12" t="n">
        <v>1</v>
      </c>
      <c r="H96" s="72" t="n"/>
      <c r="I96" s="72" t="n"/>
      <c r="J96" s="72" t="n"/>
      <c r="K96" s="72" t="inlineStr">
        <is>
          <t>1190-0000</t>
        </is>
      </c>
      <c r="L96" s="72" t="inlineStr">
        <is>
          <t>Cash</t>
        </is>
      </c>
    </row>
    <row r="97">
      <c r="A97" s="72" t="inlineStr">
        <is>
          <t>1110-4897</t>
        </is>
      </c>
      <c r="B97" s="72" t="inlineStr">
        <is>
          <t>EP 7825 W Tower Providence</t>
        </is>
      </c>
      <c r="C97" s="72" t="inlineStr">
        <is>
          <t>Debit</t>
        </is>
      </c>
      <c r="D97" s="72" t="inlineStr">
        <is>
          <t>Reg</t>
        </is>
      </c>
      <c r="E97" s="72" t="inlineStr">
        <is>
          <t>Bal</t>
        </is>
      </c>
      <c r="F97" s="12" t="n">
        <v>1</v>
      </c>
      <c r="G97" s="12" t="n">
        <v>1</v>
      </c>
      <c r="H97" s="72" t="n"/>
      <c r="I97" s="72" t="n"/>
      <c r="J97" s="72" t="n"/>
      <c r="K97" s="72" t="inlineStr">
        <is>
          <t>1190-0000</t>
        </is>
      </c>
      <c r="L97" s="72" t="inlineStr">
        <is>
          <t>Cash</t>
        </is>
      </c>
    </row>
    <row r="98">
      <c r="A98" s="72" t="inlineStr">
        <is>
          <t>1110-4898</t>
        </is>
      </c>
      <c r="B98" s="72" t="inlineStr">
        <is>
          <t>EP 7825 W Tower Chase</t>
        </is>
      </c>
      <c r="C98" s="72" t="inlineStr">
        <is>
          <t>Debit</t>
        </is>
      </c>
      <c r="D98" s="72" t="inlineStr">
        <is>
          <t>Reg</t>
        </is>
      </c>
      <c r="E98" s="72" t="inlineStr">
        <is>
          <t>Bal</t>
        </is>
      </c>
      <c r="F98" s="12" t="n">
        <v>1</v>
      </c>
      <c r="G98" s="12" t="n">
        <v>1</v>
      </c>
      <c r="H98" s="72" t="n"/>
      <c r="I98" s="72" t="n"/>
      <c r="J98" s="72" t="n"/>
      <c r="K98" s="72" t="inlineStr">
        <is>
          <t>1190-0000</t>
        </is>
      </c>
      <c r="L98" s="72" t="inlineStr">
        <is>
          <t>Cash</t>
        </is>
      </c>
    </row>
    <row r="99">
      <c r="A99" s="72" t="inlineStr">
        <is>
          <t>1110-4899</t>
        </is>
      </c>
      <c r="B99" s="72" t="inlineStr">
        <is>
          <t>EP SWSS LLC Amalgamated</t>
        </is>
      </c>
      <c r="C99" s="72" t="inlineStr">
        <is>
          <t>Debit</t>
        </is>
      </c>
      <c r="D99" s="72" t="inlineStr">
        <is>
          <t>Reg</t>
        </is>
      </c>
      <c r="E99" s="72" t="inlineStr">
        <is>
          <t>Bal</t>
        </is>
      </c>
      <c r="F99" s="12" t="n">
        <v>1</v>
      </c>
      <c r="G99" s="12" t="n">
        <v>1</v>
      </c>
      <c r="H99" s="72" t="n"/>
      <c r="I99" s="72" t="n"/>
      <c r="J99" s="72" t="n"/>
      <c r="K99" s="72" t="inlineStr">
        <is>
          <t>1190-0000</t>
        </is>
      </c>
      <c r="L99" s="72" t="inlineStr">
        <is>
          <t>Cash</t>
        </is>
      </c>
    </row>
    <row r="100">
      <c r="A100" s="72" t="inlineStr">
        <is>
          <t>1110-4900</t>
        </is>
      </c>
      <c r="B100" s="72" t="inlineStr">
        <is>
          <t>EP 101 E Chicago First Merchants</t>
        </is>
      </c>
      <c r="C100" s="72" t="inlineStr">
        <is>
          <t>Debit</t>
        </is>
      </c>
      <c r="D100" s="72" t="inlineStr">
        <is>
          <t>Reg</t>
        </is>
      </c>
      <c r="E100" s="72" t="inlineStr">
        <is>
          <t>Bal</t>
        </is>
      </c>
      <c r="F100" s="12" t="n">
        <v>1</v>
      </c>
      <c r="G100" s="12" t="n">
        <v>1</v>
      </c>
      <c r="H100" s="72" t="n"/>
      <c r="I100" s="72" t="n"/>
      <c r="J100" s="72" t="n"/>
      <c r="K100" s="72" t="inlineStr">
        <is>
          <t>1190-0000</t>
        </is>
      </c>
      <c r="L100" s="72" t="inlineStr">
        <is>
          <t>Cash</t>
        </is>
      </c>
    </row>
    <row r="101">
      <c r="A101" s="72" t="inlineStr">
        <is>
          <t>1110-4901</t>
        </is>
      </c>
      <c r="B101" s="72" t="inlineStr">
        <is>
          <t>EP HSS 2 Chase</t>
        </is>
      </c>
      <c r="C101" s="72" t="inlineStr">
        <is>
          <t>Debit</t>
        </is>
      </c>
      <c r="D101" s="72" t="inlineStr">
        <is>
          <t>Reg</t>
        </is>
      </c>
      <c r="E101" s="72" t="inlineStr">
        <is>
          <t>Bal</t>
        </is>
      </c>
      <c r="F101" s="12" t="n">
        <v>1</v>
      </c>
      <c r="G101" s="12" t="n">
        <v>1</v>
      </c>
      <c r="H101" s="72" t="n"/>
      <c r="I101" s="72" t="n"/>
      <c r="J101" s="72" t="n"/>
      <c r="K101" s="72" t="inlineStr">
        <is>
          <t>1190-0000</t>
        </is>
      </c>
      <c r="L101" s="72" t="inlineStr">
        <is>
          <t>Cash</t>
        </is>
      </c>
    </row>
    <row r="102">
      <c r="A102" s="72" t="inlineStr">
        <is>
          <t>1110-4902</t>
        </is>
      </c>
      <c r="B102" s="72" t="inlineStr">
        <is>
          <t>EP HSS 2 Inland Bank</t>
        </is>
      </c>
      <c r="C102" s="72" t="inlineStr">
        <is>
          <t>Debit</t>
        </is>
      </c>
      <c r="D102" s="72" t="inlineStr">
        <is>
          <t>Reg</t>
        </is>
      </c>
      <c r="E102" s="72" t="inlineStr">
        <is>
          <t>Bal</t>
        </is>
      </c>
      <c r="F102" s="12" t="n">
        <v>1</v>
      </c>
      <c r="G102" s="12" t="n">
        <v>1</v>
      </c>
      <c r="H102" s="72" t="n"/>
      <c r="I102" s="72" t="n"/>
      <c r="J102" s="72" t="n"/>
      <c r="K102" s="72" t="inlineStr">
        <is>
          <t>1190-0000</t>
        </is>
      </c>
      <c r="L102" s="72" t="inlineStr">
        <is>
          <t>Cash</t>
        </is>
      </c>
    </row>
    <row r="103">
      <c r="A103" s="72" t="inlineStr">
        <is>
          <t>1110-4903</t>
        </is>
      </c>
      <c r="B103" s="72" t="inlineStr">
        <is>
          <t>Storsafe of West Bend Chase</t>
        </is>
      </c>
      <c r="C103" s="72" t="inlineStr">
        <is>
          <t>Debit</t>
        </is>
      </c>
      <c r="D103" s="72" t="inlineStr">
        <is>
          <t>Reg</t>
        </is>
      </c>
      <c r="E103" s="72" t="inlineStr">
        <is>
          <t>Bal</t>
        </is>
      </c>
      <c r="F103" s="12" t="n">
        <v>1</v>
      </c>
      <c r="G103" s="12" t="n">
        <v>1</v>
      </c>
      <c r="H103" s="72" t="n"/>
      <c r="I103" s="72" t="n"/>
      <c r="J103" s="72" t="n"/>
      <c r="K103" s="72" t="inlineStr">
        <is>
          <t>1190-0000</t>
        </is>
      </c>
      <c r="L103" s="72" t="inlineStr">
        <is>
          <t>Cash</t>
        </is>
      </c>
    </row>
    <row r="104">
      <c r="A104" s="72" t="inlineStr">
        <is>
          <t>1110-4904</t>
        </is>
      </c>
      <c r="B104" s="72" t="inlineStr">
        <is>
          <t>Storsafe of West Bend Bank 5/9</t>
        </is>
      </c>
      <c r="C104" s="72" t="inlineStr">
        <is>
          <t>Debit</t>
        </is>
      </c>
      <c r="D104" s="72" t="inlineStr">
        <is>
          <t>Reg</t>
        </is>
      </c>
      <c r="E104" s="72" t="inlineStr">
        <is>
          <t>Bal</t>
        </is>
      </c>
      <c r="F104" s="12" t="n">
        <v>1</v>
      </c>
      <c r="G104" s="12" t="n">
        <v>1</v>
      </c>
      <c r="H104" s="72" t="n"/>
      <c r="I104" s="72" t="n"/>
      <c r="J104" s="72" t="n"/>
      <c r="K104" s="72" t="inlineStr">
        <is>
          <t>1190-0000</t>
        </is>
      </c>
      <c r="L104" s="72" t="inlineStr">
        <is>
          <t>Cash</t>
        </is>
      </c>
    </row>
    <row r="105">
      <c r="A105" s="72" t="inlineStr">
        <is>
          <t>1110-4905</t>
        </is>
      </c>
      <c r="B105" s="72" t="inlineStr">
        <is>
          <t>Storsafe of Trenton Chase</t>
        </is>
      </c>
      <c r="C105" s="72" t="inlineStr">
        <is>
          <t>Debit</t>
        </is>
      </c>
      <c r="D105" s="72" t="inlineStr">
        <is>
          <t>Reg</t>
        </is>
      </c>
      <c r="E105" s="72" t="inlineStr">
        <is>
          <t>Bal</t>
        </is>
      </c>
      <c r="F105" s="12" t="n">
        <v>1</v>
      </c>
      <c r="G105" s="12" t="n">
        <v>1</v>
      </c>
      <c r="H105" s="72" t="n"/>
      <c r="I105" s="72" t="n"/>
      <c r="J105" s="72" t="n"/>
      <c r="K105" s="72" t="inlineStr">
        <is>
          <t>1190-0000</t>
        </is>
      </c>
      <c r="L105" s="72" t="inlineStr">
        <is>
          <t>Cash</t>
        </is>
      </c>
    </row>
    <row r="106">
      <c r="A106" s="72" t="inlineStr">
        <is>
          <t>1110-4906</t>
        </is>
      </c>
      <c r="B106" s="72" t="inlineStr">
        <is>
          <t>Storsafe of Trenton Bank 5/9</t>
        </is>
      </c>
      <c r="C106" s="72" t="inlineStr">
        <is>
          <t>Debit</t>
        </is>
      </c>
      <c r="D106" s="72" t="inlineStr">
        <is>
          <t>Reg</t>
        </is>
      </c>
      <c r="E106" s="72" t="inlineStr">
        <is>
          <t>Bal</t>
        </is>
      </c>
      <c r="F106" s="12" t="n">
        <v>1</v>
      </c>
      <c r="G106" s="12" t="n">
        <v>1</v>
      </c>
      <c r="H106" s="72" t="n"/>
      <c r="I106" s="72" t="n"/>
      <c r="J106" s="72" t="n"/>
      <c r="K106" s="72" t="inlineStr">
        <is>
          <t>1190-0000</t>
        </is>
      </c>
      <c r="L106" s="72" t="inlineStr">
        <is>
          <t>Cash</t>
        </is>
      </c>
    </row>
    <row r="107">
      <c r="A107" s="72" t="inlineStr">
        <is>
          <t>1110-4907</t>
        </is>
      </c>
      <c r="B107" s="72" t="inlineStr">
        <is>
          <t>EP SWSS Chase Checking</t>
        </is>
      </c>
      <c r="C107" s="72" t="inlineStr">
        <is>
          <t>Debit</t>
        </is>
      </c>
      <c r="D107" s="72" t="inlineStr">
        <is>
          <t>Reg</t>
        </is>
      </c>
      <c r="E107" s="72" t="inlineStr">
        <is>
          <t>Bal</t>
        </is>
      </c>
      <c r="F107" s="12" t="n">
        <v>1</v>
      </c>
      <c r="G107" s="12" t="n">
        <v>1</v>
      </c>
      <c r="H107" s="72" t="n"/>
      <c r="I107" s="72" t="n"/>
      <c r="J107" s="72" t="n"/>
      <c r="K107" s="72" t="inlineStr">
        <is>
          <t>1190-0000</t>
        </is>
      </c>
      <c r="L107" s="72" t="inlineStr">
        <is>
          <t>Cash</t>
        </is>
      </c>
    </row>
    <row r="108">
      <c r="A108" s="72" t="inlineStr">
        <is>
          <t>1110-4908</t>
        </is>
      </c>
      <c r="B108" s="72" t="inlineStr">
        <is>
          <t>EP MSS Owner First Merchant</t>
        </is>
      </c>
      <c r="C108" s="72" t="inlineStr">
        <is>
          <t>Debit</t>
        </is>
      </c>
      <c r="D108" s="72" t="inlineStr">
        <is>
          <t>Reg</t>
        </is>
      </c>
      <c r="E108" s="72" t="inlineStr">
        <is>
          <t>Bal</t>
        </is>
      </c>
      <c r="F108" s="12" t="n">
        <v>1</v>
      </c>
      <c r="G108" s="12" t="n">
        <v>1</v>
      </c>
      <c r="H108" s="72" t="n"/>
      <c r="I108" s="72" t="n"/>
      <c r="J108" s="72" t="n"/>
      <c r="K108" s="72" t="inlineStr">
        <is>
          <t>1190-0000</t>
        </is>
      </c>
      <c r="L108" s="72" t="inlineStr">
        <is>
          <t>Cash, Exclude</t>
        </is>
      </c>
    </row>
    <row r="109">
      <c r="A109" s="72" t="inlineStr">
        <is>
          <t>1110-4909</t>
        </is>
      </c>
      <c r="B109" s="72" t="inlineStr">
        <is>
          <t>EP MSS 1st Merchants</t>
        </is>
      </c>
      <c r="C109" s="72" t="inlineStr">
        <is>
          <t>Debit</t>
        </is>
      </c>
      <c r="D109" s="72" t="inlineStr">
        <is>
          <t>Reg</t>
        </is>
      </c>
      <c r="E109" s="72" t="inlineStr">
        <is>
          <t>Bal</t>
        </is>
      </c>
      <c r="F109" s="12" t="n">
        <v>1</v>
      </c>
      <c r="G109" s="12" t="n">
        <v>1</v>
      </c>
      <c r="H109" s="72" t="n"/>
      <c r="I109" s="72" t="n"/>
      <c r="J109" s="72" t="n"/>
      <c r="K109" s="72" t="inlineStr">
        <is>
          <t>1190-0000</t>
        </is>
      </c>
      <c r="L109" s="72" t="inlineStr">
        <is>
          <t>Cash</t>
        </is>
      </c>
    </row>
    <row r="110">
      <c r="A110" s="72" t="inlineStr">
        <is>
          <t>1110-4910</t>
        </is>
      </c>
      <c r="B110" s="72" t="inlineStr">
        <is>
          <t>EP SWSS Forte Bank Checking</t>
        </is>
      </c>
      <c r="C110" s="72" t="inlineStr">
        <is>
          <t>Debit</t>
        </is>
      </c>
      <c r="D110" s="72" t="inlineStr">
        <is>
          <t>Reg</t>
        </is>
      </c>
      <c r="E110" s="72" t="inlineStr">
        <is>
          <t>Bal</t>
        </is>
      </c>
      <c r="F110" s="12" t="n">
        <v>1</v>
      </c>
      <c r="G110" s="12" t="n">
        <v>1</v>
      </c>
      <c r="H110" s="72" t="n"/>
      <c r="I110" s="72" t="n"/>
      <c r="J110" s="72" t="n"/>
      <c r="K110" s="72" t="inlineStr">
        <is>
          <t>1190-0000</t>
        </is>
      </c>
      <c r="L110" s="72" t="inlineStr">
        <is>
          <t>Cash</t>
        </is>
      </c>
    </row>
    <row r="111">
      <c r="A111" s="72" t="inlineStr">
        <is>
          <t>1110-4911</t>
        </is>
      </c>
      <c r="B111" s="72" t="inlineStr">
        <is>
          <t>EP PWSS Forte Bank</t>
        </is>
      </c>
      <c r="C111" s="72" t="inlineStr">
        <is>
          <t>Debit</t>
        </is>
      </c>
      <c r="D111" s="72" t="inlineStr">
        <is>
          <t>Reg</t>
        </is>
      </c>
      <c r="E111" s="72" t="inlineStr">
        <is>
          <t>Bal</t>
        </is>
      </c>
      <c r="F111" s="12" t="n">
        <v>1</v>
      </c>
      <c r="G111" s="12" t="n">
        <v>1</v>
      </c>
      <c r="H111" s="72" t="n"/>
      <c r="I111" s="72" t="n"/>
      <c r="J111" s="72" t="n"/>
      <c r="K111" s="72" t="inlineStr">
        <is>
          <t>1190-0000</t>
        </is>
      </c>
      <c r="L111" s="72" t="inlineStr">
        <is>
          <t>Cash</t>
        </is>
      </c>
    </row>
    <row r="112">
      <c r="A112" s="72" t="inlineStr">
        <is>
          <t>1110-4912</t>
        </is>
      </c>
      <c r="B112" s="72" t="inlineStr">
        <is>
          <t>EP Schererville Office Amalgamated</t>
        </is>
      </c>
      <c r="C112" s="72" t="inlineStr">
        <is>
          <t>Debit</t>
        </is>
      </c>
      <c r="D112" s="72" t="inlineStr">
        <is>
          <t>Reg</t>
        </is>
      </c>
      <c r="E112" s="72" t="inlineStr">
        <is>
          <t>Bal</t>
        </is>
      </c>
      <c r="F112" s="12" t="n">
        <v>1</v>
      </c>
      <c r="G112" s="12" t="n">
        <v>1</v>
      </c>
      <c r="H112" s="72" t="n"/>
      <c r="I112" s="72" t="n"/>
      <c r="J112" s="72" t="n"/>
      <c r="K112" s="72" t="inlineStr">
        <is>
          <t>1190-0000</t>
        </is>
      </c>
      <c r="L112" s="72" t="inlineStr">
        <is>
          <t>Cash</t>
        </is>
      </c>
    </row>
    <row r="113">
      <c r="A113" s="72" t="inlineStr">
        <is>
          <t>1110-4913</t>
        </is>
      </c>
      <c r="B113" s="72" t="inlineStr">
        <is>
          <t>EP PWSS Forte Reserve</t>
        </is>
      </c>
      <c r="C113" s="72" t="inlineStr">
        <is>
          <t>Debit</t>
        </is>
      </c>
      <c r="D113" s="72" t="inlineStr">
        <is>
          <t>Reg</t>
        </is>
      </c>
      <c r="E113" s="72" t="inlineStr">
        <is>
          <t>Bal</t>
        </is>
      </c>
      <c r="F113" s="12" t="n">
        <v>1</v>
      </c>
      <c r="G113" s="12" t="n">
        <v>1</v>
      </c>
      <c r="H113" s="72" t="n"/>
      <c r="I113" s="72" t="n"/>
      <c r="J113" s="72" t="n"/>
      <c r="K113" s="72" t="inlineStr">
        <is>
          <t>1190-0000</t>
        </is>
      </c>
      <c r="L113" s="72" t="inlineStr">
        <is>
          <t>Cash</t>
        </is>
      </c>
    </row>
    <row r="114">
      <c r="A114" s="72" t="inlineStr">
        <is>
          <t>1110-4914</t>
        </is>
      </c>
      <c r="B114" s="72" t="inlineStr">
        <is>
          <t>Storsafe of Trotwood Chase</t>
        </is>
      </c>
      <c r="C114" s="72" t="inlineStr">
        <is>
          <t>Debit</t>
        </is>
      </c>
      <c r="D114" s="72" t="inlineStr">
        <is>
          <t>Reg</t>
        </is>
      </c>
      <c r="E114" s="72" t="inlineStr">
        <is>
          <t>Bal</t>
        </is>
      </c>
      <c r="F114" s="12" t="n">
        <v>1</v>
      </c>
      <c r="G114" s="12" t="n">
        <v>1</v>
      </c>
      <c r="H114" s="72" t="n"/>
      <c r="I114" s="72" t="n"/>
      <c r="J114" s="72" t="n"/>
      <c r="K114" s="72" t="inlineStr">
        <is>
          <t>1190-0000</t>
        </is>
      </c>
      <c r="L114" s="72" t="inlineStr">
        <is>
          <t>Cash</t>
        </is>
      </c>
    </row>
    <row r="115">
      <c r="A115" s="72" t="inlineStr">
        <is>
          <t>1110-4915</t>
        </is>
      </c>
      <c r="B115" s="72" t="inlineStr">
        <is>
          <t>31031 Big Pine Key MetCap</t>
        </is>
      </c>
      <c r="C115" s="72" t="inlineStr">
        <is>
          <t>Debit</t>
        </is>
      </c>
      <c r="D115" s="72" t="inlineStr">
        <is>
          <t>Reg</t>
        </is>
      </c>
      <c r="E115" s="72" t="inlineStr">
        <is>
          <t>Bal</t>
        </is>
      </c>
      <c r="F115" s="12" t="n">
        <v>1</v>
      </c>
      <c r="G115" s="12" t="n">
        <v>1</v>
      </c>
      <c r="H115" s="72" t="n"/>
      <c r="I115" s="72" t="n"/>
      <c r="J115" s="72" t="n"/>
      <c r="K115" s="72" t="inlineStr">
        <is>
          <t>1190-0000</t>
        </is>
      </c>
      <c r="L115" s="72" t="inlineStr">
        <is>
          <t>Cash</t>
        </is>
      </c>
    </row>
    <row r="116">
      <c r="A116" s="72" t="inlineStr">
        <is>
          <t>1110-4916</t>
        </is>
      </c>
      <c r="B116" s="72" t="inlineStr">
        <is>
          <t>SS Rockledge Burling</t>
        </is>
      </c>
      <c r="C116" s="72" t="inlineStr">
        <is>
          <t>Debit</t>
        </is>
      </c>
      <c r="D116" s="72" t="inlineStr">
        <is>
          <t>Reg</t>
        </is>
      </c>
      <c r="E116" s="72" t="inlineStr">
        <is>
          <t>Bal</t>
        </is>
      </c>
      <c r="F116" s="12" t="n">
        <v>1</v>
      </c>
      <c r="G116" s="12" t="n">
        <v>1</v>
      </c>
      <c r="H116" s="72" t="n"/>
      <c r="I116" s="72" t="n"/>
      <c r="J116" s="72" t="n"/>
      <c r="K116" s="72" t="inlineStr">
        <is>
          <t>1190-0000</t>
        </is>
      </c>
      <c r="L116" s="72" t="inlineStr">
        <is>
          <t>Cash</t>
        </is>
      </c>
    </row>
    <row r="117">
      <c r="A117" s="72" t="inlineStr">
        <is>
          <t>1110-4917</t>
        </is>
      </c>
      <c r="B117" s="72" t="inlineStr">
        <is>
          <t>SS Palm Bay Burling Bank</t>
        </is>
      </c>
      <c r="C117" s="72" t="inlineStr">
        <is>
          <t>Debit</t>
        </is>
      </c>
      <c r="D117" s="72" t="inlineStr">
        <is>
          <t>Reg</t>
        </is>
      </c>
      <c r="E117" s="72" t="inlineStr">
        <is>
          <t>Bal</t>
        </is>
      </c>
      <c r="F117" s="12" t="n">
        <v>1</v>
      </c>
      <c r="G117" s="12" t="n">
        <v>1</v>
      </c>
      <c r="H117" s="72" t="n"/>
      <c r="I117" s="72" t="n"/>
      <c r="J117" s="72" t="n"/>
      <c r="K117" s="72" t="inlineStr">
        <is>
          <t>1190-0000</t>
        </is>
      </c>
      <c r="L117" s="72" t="inlineStr">
        <is>
          <t>Cash</t>
        </is>
      </c>
    </row>
    <row r="118">
      <c r="A118" s="72" t="inlineStr">
        <is>
          <t>1110-4918</t>
        </is>
      </c>
      <c r="B118" s="72" t="inlineStr">
        <is>
          <t>SS Palm Shores Chase</t>
        </is>
      </c>
      <c r="C118" s="72" t="inlineStr">
        <is>
          <t>Debit</t>
        </is>
      </c>
      <c r="D118" s="72" t="inlineStr">
        <is>
          <t>Reg</t>
        </is>
      </c>
      <c r="E118" s="72" t="inlineStr">
        <is>
          <t>Bal</t>
        </is>
      </c>
      <c r="F118" s="12" t="n">
        <v>1</v>
      </c>
      <c r="G118" s="12" t="n">
        <v>1</v>
      </c>
      <c r="H118" s="72" t="n"/>
      <c r="I118" s="72" t="n"/>
      <c r="J118" s="72" t="n"/>
      <c r="K118" s="72" t="inlineStr">
        <is>
          <t>1190-0000</t>
        </is>
      </c>
      <c r="L118" s="72" t="inlineStr">
        <is>
          <t>Cash</t>
        </is>
      </c>
    </row>
    <row r="119">
      <c r="A119" s="72" t="inlineStr">
        <is>
          <t>1110-4919</t>
        </is>
      </c>
      <c r="B119" s="72" t="inlineStr">
        <is>
          <t>SS Palm Shores Burling Bank</t>
        </is>
      </c>
      <c r="C119" s="72" t="inlineStr">
        <is>
          <t>Debit</t>
        </is>
      </c>
      <c r="D119" s="72" t="inlineStr">
        <is>
          <t>Reg</t>
        </is>
      </c>
      <c r="E119" s="72" t="inlineStr">
        <is>
          <t>Bal</t>
        </is>
      </c>
      <c r="F119" s="12" t="n">
        <v>1</v>
      </c>
      <c r="G119" s="12" t="n">
        <v>1</v>
      </c>
      <c r="H119" s="72" t="n"/>
      <c r="I119" s="72" t="n"/>
      <c r="J119" s="72" t="n"/>
      <c r="K119" s="72" t="inlineStr">
        <is>
          <t>1190-0000</t>
        </is>
      </c>
      <c r="L119" s="72" t="inlineStr">
        <is>
          <t>Cash</t>
        </is>
      </c>
    </row>
    <row r="120">
      <c r="A120" s="72" t="inlineStr">
        <is>
          <t>1110-4920</t>
        </is>
      </c>
      <c r="B120" s="72" t="inlineStr">
        <is>
          <t>EP 5520 Salem Bend First Merchants</t>
        </is>
      </c>
      <c r="C120" s="72" t="inlineStr">
        <is>
          <t>Debit</t>
        </is>
      </c>
      <c r="D120" s="72" t="inlineStr">
        <is>
          <t>Reg</t>
        </is>
      </c>
      <c r="E120" s="72" t="inlineStr">
        <is>
          <t>Bal</t>
        </is>
      </c>
      <c r="F120" s="12" t="n">
        <v>1</v>
      </c>
      <c r="G120" s="12" t="n">
        <v>1</v>
      </c>
      <c r="H120" s="72" t="n"/>
      <c r="I120" s="72" t="n"/>
      <c r="J120" s="72" t="n"/>
      <c r="K120" s="72" t="inlineStr">
        <is>
          <t>1190-0000</t>
        </is>
      </c>
      <c r="L120" s="72" t="inlineStr">
        <is>
          <t>Cash</t>
        </is>
      </c>
    </row>
    <row r="121">
      <c r="A121" s="72" t="inlineStr">
        <is>
          <t>1110-4921</t>
        </is>
      </c>
      <c r="B121" s="72" t="inlineStr">
        <is>
          <t>A Storage USA First Merchants</t>
        </is>
      </c>
      <c r="C121" s="72" t="inlineStr">
        <is>
          <t>Debit</t>
        </is>
      </c>
      <c r="D121" s="72" t="inlineStr">
        <is>
          <t>Reg</t>
        </is>
      </c>
      <c r="E121" s="72" t="inlineStr">
        <is>
          <t>Bal</t>
        </is>
      </c>
      <c r="F121" s="12" t="n">
        <v>1</v>
      </c>
      <c r="G121" s="12" t="n">
        <v>1</v>
      </c>
      <c r="H121" s="72" t="n"/>
      <c r="I121" s="72" t="n"/>
      <c r="J121" s="72" t="n"/>
      <c r="K121" s="72" t="inlineStr">
        <is>
          <t>1190-0000</t>
        </is>
      </c>
      <c r="L121" s="72" t="inlineStr">
        <is>
          <t>Cash</t>
        </is>
      </c>
    </row>
    <row r="122">
      <c r="A122" s="72" t="inlineStr">
        <is>
          <t>1110-4922</t>
        </is>
      </c>
      <c r="B122" s="72" t="inlineStr">
        <is>
          <t>EP HSS 2 FBHP</t>
        </is>
      </c>
      <c r="C122" s="72" t="inlineStr">
        <is>
          <t>Debit</t>
        </is>
      </c>
      <c r="D122" s="72" t="inlineStr">
        <is>
          <t>Reg</t>
        </is>
      </c>
      <c r="E122" s="72" t="inlineStr">
        <is>
          <t>Bal</t>
        </is>
      </c>
      <c r="F122" s="12" t="n">
        <v>1</v>
      </c>
      <c r="G122" s="12" t="n">
        <v>1</v>
      </c>
      <c r="H122" s="72" t="n"/>
      <c r="I122" s="72" t="n"/>
      <c r="J122" s="72" t="n"/>
      <c r="K122" s="72" t="inlineStr">
        <is>
          <t>1190-0000</t>
        </is>
      </c>
      <c r="L122" s="72" t="inlineStr">
        <is>
          <t>Cash</t>
        </is>
      </c>
    </row>
    <row r="123">
      <c r="A123" s="72" t="inlineStr">
        <is>
          <t>1110-4923</t>
        </is>
      </c>
      <c r="B123" s="72" t="inlineStr">
        <is>
          <t>SS Venice Amalgamated</t>
        </is>
      </c>
      <c r="C123" s="72" t="inlineStr">
        <is>
          <t>Debit</t>
        </is>
      </c>
      <c r="D123" s="72" t="inlineStr">
        <is>
          <t>Reg</t>
        </is>
      </c>
      <c r="E123" s="72" t="inlineStr">
        <is>
          <t>Bal</t>
        </is>
      </c>
      <c r="F123" s="12" t="n">
        <v>1</v>
      </c>
      <c r="G123" s="12" t="n">
        <v>1</v>
      </c>
      <c r="H123" s="72" t="n"/>
      <c r="I123" s="72" t="n"/>
      <c r="J123" s="72" t="n"/>
      <c r="K123" s="72" t="inlineStr">
        <is>
          <t>1190-0000</t>
        </is>
      </c>
      <c r="L123" s="72" t="inlineStr">
        <is>
          <t>Cash</t>
        </is>
      </c>
    </row>
    <row r="124">
      <c r="A124" s="72" t="inlineStr">
        <is>
          <t>1110-4924</t>
        </is>
      </c>
      <c r="B124" s="72" t="inlineStr">
        <is>
          <t>SS Venice Chase</t>
        </is>
      </c>
      <c r="C124" s="72" t="inlineStr">
        <is>
          <t>Debit</t>
        </is>
      </c>
      <c r="D124" s="72" t="inlineStr">
        <is>
          <t>Reg</t>
        </is>
      </c>
      <c r="E124" s="72" t="inlineStr">
        <is>
          <t>Bal</t>
        </is>
      </c>
      <c r="F124" s="12" t="n">
        <v>1</v>
      </c>
      <c r="G124" s="12" t="n">
        <v>1</v>
      </c>
      <c r="H124" s="72" t="n"/>
      <c r="I124" s="72" t="n"/>
      <c r="J124" s="72" t="n"/>
      <c r="K124" s="72" t="inlineStr">
        <is>
          <t>1190-0000</t>
        </is>
      </c>
      <c r="L124" s="72" t="inlineStr">
        <is>
          <t>Cash</t>
        </is>
      </c>
    </row>
    <row r="125">
      <c r="A125" s="72" t="inlineStr">
        <is>
          <t>1110-4925</t>
        </is>
      </c>
      <c r="B125" s="72" t="inlineStr">
        <is>
          <t>Storsafe of Cary Chase</t>
        </is>
      </c>
      <c r="C125" s="72" t="inlineStr">
        <is>
          <t>Debit</t>
        </is>
      </c>
      <c r="D125" s="72" t="inlineStr">
        <is>
          <t>Reg</t>
        </is>
      </c>
      <c r="E125" s="72" t="inlineStr">
        <is>
          <t>Bal</t>
        </is>
      </c>
      <c r="F125" s="12" t="n">
        <v>1</v>
      </c>
      <c r="G125" s="12" t="n">
        <v>1</v>
      </c>
      <c r="H125" s="72" t="n"/>
      <c r="I125" s="72" t="n"/>
      <c r="J125" s="72" t="n"/>
      <c r="K125" s="72" t="inlineStr">
        <is>
          <t>1190-0000</t>
        </is>
      </c>
      <c r="L125" s="72" t="inlineStr">
        <is>
          <t>Cash</t>
        </is>
      </c>
    </row>
    <row r="126">
      <c r="A126" s="72" t="inlineStr">
        <is>
          <t>1110-4926</t>
        </is>
      </c>
      <c r="B126" s="72" t="inlineStr">
        <is>
          <t>SS of Munster Amalgamated</t>
        </is>
      </c>
      <c r="C126" s="72" t="inlineStr">
        <is>
          <t>Debit</t>
        </is>
      </c>
      <c r="D126" s="72" t="inlineStr">
        <is>
          <t>Reg</t>
        </is>
      </c>
      <c r="E126" s="72" t="inlineStr">
        <is>
          <t>Bal</t>
        </is>
      </c>
      <c r="F126" s="12" t="n">
        <v>1</v>
      </c>
      <c r="G126" s="12" t="n">
        <v>1</v>
      </c>
      <c r="H126" s="72" t="n"/>
      <c r="I126" s="72" t="n"/>
      <c r="J126" s="72" t="n"/>
      <c r="K126" s="72" t="inlineStr">
        <is>
          <t>1190-0000</t>
        </is>
      </c>
      <c r="L126" s="72" t="inlineStr">
        <is>
          <t>Cash</t>
        </is>
      </c>
    </row>
    <row r="127">
      <c r="A127" s="72" t="inlineStr">
        <is>
          <t>1110-4927</t>
        </is>
      </c>
      <c r="B127" s="72" t="inlineStr">
        <is>
          <t>SS of Munster Chase</t>
        </is>
      </c>
      <c r="C127" s="72" t="inlineStr">
        <is>
          <t>Debit</t>
        </is>
      </c>
      <c r="D127" s="72" t="inlineStr">
        <is>
          <t>Reg</t>
        </is>
      </c>
      <c r="E127" s="72" t="inlineStr">
        <is>
          <t>Bal</t>
        </is>
      </c>
      <c r="F127" s="12" t="n">
        <v>1</v>
      </c>
      <c r="G127" s="12" t="n">
        <v>1</v>
      </c>
      <c r="H127" s="72" t="n"/>
      <c r="I127" s="72" t="n"/>
      <c r="J127" s="72" t="n"/>
      <c r="K127" s="72" t="inlineStr">
        <is>
          <t>1190-0000</t>
        </is>
      </c>
      <c r="L127" s="72" t="inlineStr">
        <is>
          <t>Cash</t>
        </is>
      </c>
    </row>
    <row r="128">
      <c r="A128" s="72" t="inlineStr">
        <is>
          <t>1110-4937</t>
        </is>
      </c>
      <c r="B128" s="72" t="inlineStr">
        <is>
          <t>Storsafe of Cary Providence</t>
        </is>
      </c>
      <c r="C128" s="72" t="inlineStr">
        <is>
          <t>Debit</t>
        </is>
      </c>
      <c r="D128" s="72" t="inlineStr">
        <is>
          <t>Reg</t>
        </is>
      </c>
      <c r="E128" s="72" t="inlineStr">
        <is>
          <t>Bal</t>
        </is>
      </c>
      <c r="F128" s="12" t="n">
        <v>1</v>
      </c>
      <c r="G128" s="12" t="n">
        <v>1</v>
      </c>
      <c r="H128" s="72" t="n"/>
      <c r="I128" s="72" t="n"/>
      <c r="J128" s="72" t="n"/>
      <c r="K128" s="72" t="inlineStr">
        <is>
          <t>1190-0000</t>
        </is>
      </c>
      <c r="L128" s="72" t="inlineStr">
        <is>
          <t>Cash</t>
        </is>
      </c>
    </row>
    <row r="129">
      <c r="A129" s="72" t="inlineStr">
        <is>
          <t>1110-4938</t>
        </is>
      </c>
      <c r="B129" s="72" t="inlineStr">
        <is>
          <t>SS of MI City Chase</t>
        </is>
      </c>
      <c r="C129" s="72" t="inlineStr">
        <is>
          <t>Debit</t>
        </is>
      </c>
      <c r="D129" s="72" t="inlineStr">
        <is>
          <t>Reg</t>
        </is>
      </c>
      <c r="E129" s="72" t="inlineStr">
        <is>
          <t>Bal</t>
        </is>
      </c>
      <c r="F129" s="12" t="n">
        <v>1</v>
      </c>
      <c r="G129" s="12" t="n">
        <v>1</v>
      </c>
      <c r="H129" s="72" t="n"/>
      <c r="I129" s="72" t="n"/>
      <c r="J129" s="72" t="n"/>
      <c r="K129" s="72" t="inlineStr">
        <is>
          <t>1190-0000</t>
        </is>
      </c>
      <c r="L129" s="72" t="inlineStr">
        <is>
          <t>Cash</t>
        </is>
      </c>
    </row>
    <row r="130">
      <c r="A130" s="72" t="inlineStr">
        <is>
          <t>1110-4939</t>
        </is>
      </c>
      <c r="B130" s="72" t="inlineStr">
        <is>
          <t>SS of Silver Springs Chase</t>
        </is>
      </c>
      <c r="C130" s="72" t="inlineStr">
        <is>
          <t>Debit</t>
        </is>
      </c>
      <c r="D130" s="72" t="inlineStr">
        <is>
          <t>Reg</t>
        </is>
      </c>
      <c r="E130" s="72" t="inlineStr">
        <is>
          <t>Bal</t>
        </is>
      </c>
      <c r="F130" s="12" t="n">
        <v>1</v>
      </c>
      <c r="G130" s="12" t="n">
        <v>1</v>
      </c>
      <c r="H130" s="72" t="n"/>
      <c r="I130" s="72" t="n"/>
      <c r="J130" s="72" t="n"/>
      <c r="K130" s="72" t="inlineStr">
        <is>
          <t>1190-0000</t>
        </is>
      </c>
      <c r="L130" s="72" t="inlineStr">
        <is>
          <t>Cash</t>
        </is>
      </c>
    </row>
    <row r="131">
      <c r="A131" s="72" t="inlineStr">
        <is>
          <t>1110-4940</t>
        </is>
      </c>
      <c r="B131" s="72" t="inlineStr">
        <is>
          <t>SS DRE JV MetCap</t>
        </is>
      </c>
      <c r="C131" s="72" t="inlineStr">
        <is>
          <t>Debit</t>
        </is>
      </c>
      <c r="D131" s="72" t="inlineStr">
        <is>
          <t>Reg</t>
        </is>
      </c>
      <c r="E131" s="72" t="inlineStr">
        <is>
          <t>Bal</t>
        </is>
      </c>
      <c r="F131" s="12" t="n">
        <v>1</v>
      </c>
      <c r="G131" s="12" t="n">
        <v>1</v>
      </c>
      <c r="H131" s="72" t="n"/>
      <c r="I131" s="72" t="n"/>
      <c r="J131" s="72" t="n"/>
      <c r="K131" s="72" t="inlineStr">
        <is>
          <t>1190-0000</t>
        </is>
      </c>
      <c r="L131" s="72" t="inlineStr">
        <is>
          <t>Cash</t>
        </is>
      </c>
    </row>
    <row r="132">
      <c r="A132" s="72" t="inlineStr">
        <is>
          <t>1110-4941</t>
        </is>
      </c>
      <c r="B132" s="72" t="inlineStr">
        <is>
          <t>EP Storsafe MetCap</t>
        </is>
      </c>
      <c r="C132" s="72" t="inlineStr">
        <is>
          <t>Debit</t>
        </is>
      </c>
      <c r="D132" s="72" t="inlineStr">
        <is>
          <t>Reg</t>
        </is>
      </c>
      <c r="E132" s="72" t="inlineStr">
        <is>
          <t>Bal</t>
        </is>
      </c>
      <c r="F132" s="12" t="n">
        <v>1</v>
      </c>
      <c r="G132" s="12" t="n">
        <v>1</v>
      </c>
      <c r="H132" s="72" t="n"/>
      <c r="I132" s="72" t="n"/>
      <c r="J132" s="72" t="n"/>
      <c r="K132" s="72" t="inlineStr">
        <is>
          <t>1190-0000</t>
        </is>
      </c>
      <c r="L132" s="72" t="inlineStr">
        <is>
          <t>Cash</t>
        </is>
      </c>
    </row>
    <row r="133">
      <c r="A133" s="72" t="inlineStr">
        <is>
          <t>1110-4942</t>
        </is>
      </c>
      <c r="B133" s="72" t="inlineStr">
        <is>
          <t>SS of MI City Amalgamated</t>
        </is>
      </c>
      <c r="C133" s="72" t="inlineStr">
        <is>
          <t>Debit</t>
        </is>
      </c>
      <c r="D133" s="72" t="inlineStr">
        <is>
          <t>Reg</t>
        </is>
      </c>
      <c r="E133" s="72" t="inlineStr">
        <is>
          <t>Bal</t>
        </is>
      </c>
      <c r="F133" s="12" t="n">
        <v>1</v>
      </c>
      <c r="G133" s="12" t="n">
        <v>1</v>
      </c>
      <c r="H133" s="72" t="n"/>
      <c r="I133" s="72" t="n"/>
      <c r="J133" s="72" t="n"/>
      <c r="K133" s="72" t="inlineStr">
        <is>
          <t>1190-0000</t>
        </is>
      </c>
      <c r="L133" s="72" t="inlineStr">
        <is>
          <t>Cash</t>
        </is>
      </c>
    </row>
    <row r="134">
      <c r="A134" s="72" t="inlineStr">
        <is>
          <t>1110-4943</t>
        </is>
      </c>
      <c r="B134" s="72" t="inlineStr">
        <is>
          <t>Rockledge Key Bank</t>
        </is>
      </c>
      <c r="C134" s="72" t="inlineStr">
        <is>
          <t>Debit</t>
        </is>
      </c>
      <c r="D134" s="72" t="inlineStr">
        <is>
          <t>Reg</t>
        </is>
      </c>
      <c r="E134" s="72" t="inlineStr">
        <is>
          <t>Bal</t>
        </is>
      </c>
      <c r="F134" s="12" t="n">
        <v>1</v>
      </c>
      <c r="G134" s="12" t="n">
        <v>1</v>
      </c>
      <c r="H134" s="72" t="n"/>
      <c r="I134" s="72" t="n"/>
      <c r="J134" s="72" t="n"/>
      <c r="K134" s="72" t="inlineStr">
        <is>
          <t>1190-0000</t>
        </is>
      </c>
      <c r="L134" s="72" t="inlineStr">
        <is>
          <t>Cash</t>
        </is>
      </c>
    </row>
    <row r="135">
      <c r="A135" s="72" t="inlineStr">
        <is>
          <t>1110-4944</t>
        </is>
      </c>
      <c r="B135" s="72" t="inlineStr">
        <is>
          <t>Palm Bay Key Bank</t>
        </is>
      </c>
      <c r="C135" s="72" t="inlineStr">
        <is>
          <t>Debit</t>
        </is>
      </c>
      <c r="D135" s="72" t="inlineStr">
        <is>
          <t>Reg</t>
        </is>
      </c>
      <c r="E135" s="72" t="inlineStr">
        <is>
          <t>Bal</t>
        </is>
      </c>
      <c r="F135" s="12" t="n">
        <v>1</v>
      </c>
      <c r="G135" s="12" t="n">
        <v>1</v>
      </c>
      <c r="H135" s="72" t="n"/>
      <c r="I135" s="72" t="n"/>
      <c r="J135" s="72" t="n"/>
      <c r="K135" s="72" t="inlineStr">
        <is>
          <t>1190-0000</t>
        </is>
      </c>
      <c r="L135" s="72" t="inlineStr">
        <is>
          <t>Cash</t>
        </is>
      </c>
    </row>
    <row r="136">
      <c r="A136" s="72" t="inlineStr">
        <is>
          <t>1110-4945</t>
        </is>
      </c>
      <c r="B136" s="72" t="inlineStr">
        <is>
          <t>Silver Springs Equitable Bank</t>
        </is>
      </c>
      <c r="C136" s="72" t="inlineStr">
        <is>
          <t>Debit</t>
        </is>
      </c>
      <c r="D136" s="72" t="inlineStr">
        <is>
          <t>Reg</t>
        </is>
      </c>
      <c r="E136" s="72" t="inlineStr">
        <is>
          <t>Inc</t>
        </is>
      </c>
      <c r="F136" s="12" t="n">
        <v>1</v>
      </c>
      <c r="G136" s="12" t="n">
        <v>1</v>
      </c>
      <c r="H136" s="72" t="n"/>
      <c r="I136" s="72" t="n"/>
      <c r="J136" s="72" t="n"/>
      <c r="K136" s="72" t="n"/>
      <c r="L136" s="72" t="inlineStr">
        <is>
          <t>ExclReg, Exclude</t>
        </is>
      </c>
    </row>
    <row r="137">
      <c r="A137" s="72" t="inlineStr">
        <is>
          <t>1110-4946</t>
        </is>
      </c>
      <c r="B137" s="72" t="inlineStr">
        <is>
          <t>Silver Springs Equitable Bank</t>
        </is>
      </c>
      <c r="C137" s="72" t="inlineStr">
        <is>
          <t>Debit</t>
        </is>
      </c>
      <c r="D137" s="72" t="inlineStr">
        <is>
          <t>Reg</t>
        </is>
      </c>
      <c r="E137" s="72" t="inlineStr">
        <is>
          <t>Bal</t>
        </is>
      </c>
      <c r="F137" s="12" t="n">
        <v>1</v>
      </c>
      <c r="G137" s="12" t="n">
        <v>1</v>
      </c>
      <c r="H137" s="72" t="n"/>
      <c r="I137" s="72" t="n"/>
      <c r="J137" s="72" t="n"/>
      <c r="K137" s="72" t="inlineStr">
        <is>
          <t>1190-0000</t>
        </is>
      </c>
      <c r="L137" s="72" t="inlineStr">
        <is>
          <t>Cash</t>
        </is>
      </c>
    </row>
    <row r="138">
      <c r="A138" s="72" t="inlineStr">
        <is>
          <t>1110-4947</t>
        </is>
      </c>
      <c r="B138" s="72" t="inlineStr">
        <is>
          <t>Crown Point West Chase</t>
        </is>
      </c>
      <c r="C138" s="72" t="inlineStr">
        <is>
          <t>Debit</t>
        </is>
      </c>
      <c r="D138" s="72" t="inlineStr">
        <is>
          <t>Reg</t>
        </is>
      </c>
      <c r="E138" s="72" t="inlineStr">
        <is>
          <t>Bal</t>
        </is>
      </c>
      <c r="F138" s="12" t="n">
        <v>1</v>
      </c>
      <c r="G138" s="12" t="n">
        <v>1</v>
      </c>
      <c r="H138" s="72" t="n"/>
      <c r="I138" s="72" t="n"/>
      <c r="J138" s="72" t="n"/>
      <c r="K138" s="72" t="inlineStr">
        <is>
          <t>1190-0000</t>
        </is>
      </c>
      <c r="L138" s="72" t="inlineStr">
        <is>
          <t>Cash</t>
        </is>
      </c>
    </row>
    <row r="139">
      <c r="A139" s="72" t="inlineStr">
        <is>
          <t>1110-4948</t>
        </is>
      </c>
      <c r="B139" s="72" t="inlineStr">
        <is>
          <t>Merrillville South Chase</t>
        </is>
      </c>
      <c r="C139" s="72" t="inlineStr">
        <is>
          <t>Debit</t>
        </is>
      </c>
      <c r="D139" s="72" t="inlineStr">
        <is>
          <t>Reg</t>
        </is>
      </c>
      <c r="E139" s="72" t="inlineStr">
        <is>
          <t>Bal</t>
        </is>
      </c>
      <c r="F139" s="12" t="n">
        <v>1</v>
      </c>
      <c r="G139" s="12" t="n">
        <v>1</v>
      </c>
      <c r="H139" s="72" t="n"/>
      <c r="I139" s="72" t="n"/>
      <c r="J139" s="72" t="n"/>
      <c r="K139" s="72" t="inlineStr">
        <is>
          <t>1190-0000</t>
        </is>
      </c>
      <c r="L139" s="72" t="inlineStr">
        <is>
          <t>Cash</t>
        </is>
      </c>
    </row>
    <row r="140">
      <c r="A140" s="72" t="inlineStr">
        <is>
          <t>1110-4949</t>
        </is>
      </c>
      <c r="B140" s="72" t="inlineStr">
        <is>
          <t>SS of Palm Bay Busey Bank</t>
        </is>
      </c>
      <c r="C140" s="72" t="inlineStr">
        <is>
          <t>Debit</t>
        </is>
      </c>
      <c r="D140" s="72" t="inlineStr">
        <is>
          <t>Reg</t>
        </is>
      </c>
      <c r="E140" s="72" t="inlineStr">
        <is>
          <t>Bal</t>
        </is>
      </c>
      <c r="F140" s="12" t="n">
        <v>1</v>
      </c>
      <c r="G140" s="12" t="n">
        <v>1</v>
      </c>
      <c r="H140" s="72" t="n"/>
      <c r="I140" s="72" t="n"/>
      <c r="J140" s="72" t="n"/>
      <c r="K140" s="72" t="inlineStr">
        <is>
          <t>1190-0000</t>
        </is>
      </c>
      <c r="L140" s="72" t="inlineStr">
        <is>
          <t>Cash</t>
        </is>
      </c>
    </row>
    <row r="141">
      <c r="A141" s="72" t="inlineStr">
        <is>
          <t>1110-4950</t>
        </is>
      </c>
      <c r="B141" s="72" t="inlineStr">
        <is>
          <t>SS of Port Washington Chase</t>
        </is>
      </c>
      <c r="C141" s="72" t="inlineStr">
        <is>
          <t>Debit</t>
        </is>
      </c>
      <c r="D141" s="72" t="inlineStr">
        <is>
          <t>Reg</t>
        </is>
      </c>
      <c r="E141" s="72" t="inlineStr">
        <is>
          <t>Bal</t>
        </is>
      </c>
      <c r="F141" s="12" t="n">
        <v>1</v>
      </c>
      <c r="G141" s="12" t="n">
        <v>1</v>
      </c>
      <c r="H141" s="72" t="n"/>
      <c r="I141" s="72" t="n"/>
      <c r="J141" s="72" t="n"/>
      <c r="K141" s="72" t="inlineStr">
        <is>
          <t>1190-0000</t>
        </is>
      </c>
      <c r="L141" s="72" t="inlineStr">
        <is>
          <t>Cash</t>
        </is>
      </c>
    </row>
    <row r="142">
      <c r="A142" s="72" t="inlineStr">
        <is>
          <t>1110-4951</t>
        </is>
      </c>
      <c r="B142" s="72" t="inlineStr">
        <is>
          <t>MSS Chase</t>
        </is>
      </c>
      <c r="C142" s="72" t="inlineStr">
        <is>
          <t>Debit</t>
        </is>
      </c>
      <c r="D142" s="72" t="inlineStr">
        <is>
          <t>Reg</t>
        </is>
      </c>
      <c r="E142" s="72" t="inlineStr">
        <is>
          <t>Bal</t>
        </is>
      </c>
      <c r="F142" s="12" t="n">
        <v>1</v>
      </c>
      <c r="G142" s="12" t="n">
        <v>1</v>
      </c>
      <c r="H142" s="72" t="n"/>
      <c r="I142" s="72" t="n"/>
      <c r="J142" s="72" t="n"/>
      <c r="K142" s="72" t="inlineStr">
        <is>
          <t>1190-0000</t>
        </is>
      </c>
      <c r="L142" s="72" t="inlineStr">
        <is>
          <t>Cash</t>
        </is>
      </c>
    </row>
    <row r="143">
      <c r="A143" s="72" t="inlineStr">
        <is>
          <t>1110-4952</t>
        </is>
      </c>
      <c r="B143" s="72" t="inlineStr">
        <is>
          <t>CPSS Chase</t>
        </is>
      </c>
      <c r="C143" s="72" t="inlineStr">
        <is>
          <t>Debit</t>
        </is>
      </c>
      <c r="D143" s="72" t="inlineStr">
        <is>
          <t>Reg</t>
        </is>
      </c>
      <c r="E143" s="72" t="inlineStr">
        <is>
          <t>Bal</t>
        </is>
      </c>
      <c r="F143" s="12" t="n">
        <v>1</v>
      </c>
      <c r="G143" s="12" t="n">
        <v>1</v>
      </c>
      <c r="H143" s="72" t="n"/>
      <c r="I143" s="72" t="n"/>
      <c r="J143" s="72" t="n"/>
      <c r="K143" s="72" t="inlineStr">
        <is>
          <t>1190-0000</t>
        </is>
      </c>
      <c r="L143" s="72" t="inlineStr">
        <is>
          <t>Cash</t>
        </is>
      </c>
    </row>
    <row r="144">
      <c r="A144" s="72" t="inlineStr">
        <is>
          <t>1110-4953</t>
        </is>
      </c>
      <c r="B144" s="72" t="inlineStr">
        <is>
          <t>NFSS Chase</t>
        </is>
      </c>
      <c r="C144" s="72" t="inlineStr">
        <is>
          <t>Debit</t>
        </is>
      </c>
      <c r="D144" s="72" t="inlineStr">
        <is>
          <t>Reg</t>
        </is>
      </c>
      <c r="E144" s="72" t="inlineStr">
        <is>
          <t>Bal</t>
        </is>
      </c>
      <c r="F144" s="12" t="n">
        <v>1</v>
      </c>
      <c r="G144" s="12" t="n">
        <v>1</v>
      </c>
      <c r="H144" s="72" t="n"/>
      <c r="I144" s="72" t="n"/>
      <c r="J144" s="72" t="n"/>
      <c r="K144" s="72" t="inlineStr">
        <is>
          <t>1190-0000</t>
        </is>
      </c>
      <c r="L144" s="72" t="inlineStr">
        <is>
          <t>Cash</t>
        </is>
      </c>
    </row>
    <row r="145">
      <c r="A145" s="72" t="inlineStr">
        <is>
          <t>1110-4954</t>
        </is>
      </c>
      <c r="B145" s="72" t="inlineStr">
        <is>
          <t>SSWwd Chase</t>
        </is>
      </c>
      <c r="C145" s="72" t="inlineStr">
        <is>
          <t>Debit</t>
        </is>
      </c>
      <c r="D145" s="72" t="inlineStr">
        <is>
          <t>Reg</t>
        </is>
      </c>
      <c r="E145" s="72" t="inlineStr">
        <is>
          <t>Bal</t>
        </is>
      </c>
      <c r="F145" s="12" t="n">
        <v>1</v>
      </c>
      <c r="G145" s="12" t="n">
        <v>1</v>
      </c>
      <c r="H145" s="72" t="n"/>
      <c r="I145" s="72" t="n"/>
      <c r="J145" s="72" t="n"/>
      <c r="K145" s="72" t="inlineStr">
        <is>
          <t>1190-0000</t>
        </is>
      </c>
      <c r="L145" s="72" t="inlineStr">
        <is>
          <t>Cash</t>
        </is>
      </c>
    </row>
    <row r="146">
      <c r="A146" s="72" t="inlineStr">
        <is>
          <t>1110-4955</t>
        </is>
      </c>
      <c r="B146" s="72" t="inlineStr">
        <is>
          <t>SSWwd Busey</t>
        </is>
      </c>
      <c r="C146" s="72" t="inlineStr">
        <is>
          <t>Debit</t>
        </is>
      </c>
      <c r="D146" s="72" t="inlineStr">
        <is>
          <t>Reg</t>
        </is>
      </c>
      <c r="E146" s="72" t="inlineStr">
        <is>
          <t>Bal</t>
        </is>
      </c>
      <c r="F146" s="12" t="n">
        <v>1</v>
      </c>
      <c r="G146" s="12" t="n">
        <v>1</v>
      </c>
      <c r="H146" s="72" t="n"/>
      <c r="I146" s="72" t="n"/>
      <c r="J146" s="72" t="n"/>
      <c r="K146" s="72" t="inlineStr">
        <is>
          <t>1190-0000</t>
        </is>
      </c>
      <c r="L146" s="72" t="inlineStr">
        <is>
          <t>Cash</t>
        </is>
      </c>
    </row>
    <row r="147">
      <c r="A147" s="72" t="inlineStr">
        <is>
          <t>1110-4957</t>
        </is>
      </c>
      <c r="B147" s="72" t="inlineStr">
        <is>
          <t>Crown Point West Centier Operating</t>
        </is>
      </c>
      <c r="C147" s="72" t="inlineStr">
        <is>
          <t>Debit</t>
        </is>
      </c>
      <c r="D147" s="72" t="inlineStr">
        <is>
          <t>Reg</t>
        </is>
      </c>
      <c r="E147" s="72" t="inlineStr">
        <is>
          <t>Bal</t>
        </is>
      </c>
      <c r="F147" s="12" t="n">
        <v>1</v>
      </c>
      <c r="G147" s="12" t="n">
        <v>1</v>
      </c>
      <c r="H147" s="72" t="n"/>
      <c r="I147" s="72" t="n"/>
      <c r="J147" s="72" t="n"/>
      <c r="K147" s="72" t="inlineStr">
        <is>
          <t>1190-0000</t>
        </is>
      </c>
      <c r="L147" s="72" t="inlineStr">
        <is>
          <t>Cash</t>
        </is>
      </c>
    </row>
    <row r="148">
      <c r="A148" s="72" t="inlineStr">
        <is>
          <t>1110-4958</t>
        </is>
      </c>
      <c r="B148" s="72" t="inlineStr">
        <is>
          <t>Rockledge Centier Money Market</t>
        </is>
      </c>
      <c r="C148" s="72" t="inlineStr">
        <is>
          <t>Debit</t>
        </is>
      </c>
      <c r="D148" s="72" t="inlineStr">
        <is>
          <t>Reg</t>
        </is>
      </c>
      <c r="E148" s="72" t="inlineStr">
        <is>
          <t>Bal</t>
        </is>
      </c>
      <c r="F148" s="12" t="n">
        <v>1</v>
      </c>
      <c r="G148" s="12" t="n">
        <v>1</v>
      </c>
      <c r="H148" s="72" t="n"/>
      <c r="I148" s="72" t="n"/>
      <c r="J148" s="72" t="n"/>
      <c r="K148" s="72" t="inlineStr">
        <is>
          <t>1190-0000</t>
        </is>
      </c>
      <c r="L148" s="72" t="inlineStr">
        <is>
          <t>Cash</t>
        </is>
      </c>
    </row>
    <row r="149">
      <c r="A149" s="72" t="inlineStr">
        <is>
          <t>1110-4959</t>
        </is>
      </c>
      <c r="B149" s="72" t="inlineStr">
        <is>
          <t>MSSSouth Amal</t>
        </is>
      </c>
      <c r="C149" s="72" t="inlineStr">
        <is>
          <t>Debit</t>
        </is>
      </c>
      <c r="D149" s="72" t="inlineStr">
        <is>
          <t>Reg</t>
        </is>
      </c>
      <c r="E149" s="72" t="inlineStr">
        <is>
          <t>Bal</t>
        </is>
      </c>
      <c r="F149" s="12" t="n">
        <v>1</v>
      </c>
      <c r="G149" s="12" t="n">
        <v>1</v>
      </c>
      <c r="H149" s="72" t="n"/>
      <c r="I149" s="72" t="n"/>
      <c r="J149" s="72" t="n"/>
      <c r="K149" s="72" t="inlineStr">
        <is>
          <t>1190-0000</t>
        </is>
      </c>
      <c r="L149" s="72" t="inlineStr">
        <is>
          <t>Cash</t>
        </is>
      </c>
    </row>
    <row r="150">
      <c r="A150" s="72" t="inlineStr">
        <is>
          <t>1110-4960</t>
        </is>
      </c>
      <c r="B150" s="72" t="inlineStr">
        <is>
          <t>Candler Chase</t>
        </is>
      </c>
      <c r="C150" s="72" t="inlineStr">
        <is>
          <t>Debit</t>
        </is>
      </c>
      <c r="D150" s="72" t="inlineStr">
        <is>
          <t>Reg</t>
        </is>
      </c>
      <c r="E150" s="72" t="inlineStr">
        <is>
          <t>Bal</t>
        </is>
      </c>
      <c r="F150" s="12" t="n">
        <v>1</v>
      </c>
      <c r="G150" s="12" t="n">
        <v>1</v>
      </c>
      <c r="H150" s="72" t="n"/>
      <c r="I150" s="72" t="n"/>
      <c r="J150" s="72" t="n"/>
      <c r="K150" s="72" t="inlineStr">
        <is>
          <t>1190-0000</t>
        </is>
      </c>
      <c r="L150" s="72" t="inlineStr">
        <is>
          <t>Cash</t>
        </is>
      </c>
    </row>
    <row r="151">
      <c r="A151" s="72" t="inlineStr">
        <is>
          <t>1110-4961</t>
        </is>
      </c>
      <c r="B151" s="72" t="inlineStr">
        <is>
          <t>Storsafe DRE JV 2 MetCap</t>
        </is>
      </c>
      <c r="C151" s="72" t="inlineStr">
        <is>
          <t>Debit</t>
        </is>
      </c>
      <c r="D151" s="72" t="inlineStr">
        <is>
          <t>Reg</t>
        </is>
      </c>
      <c r="E151" s="72" t="inlineStr">
        <is>
          <t>Bal</t>
        </is>
      </c>
      <c r="F151" s="12" t="n">
        <v>1</v>
      </c>
      <c r="G151" s="12" t="n">
        <v>1</v>
      </c>
      <c r="H151" s="72" t="n"/>
      <c r="I151" s="72" t="n"/>
      <c r="J151" s="72" t="n"/>
      <c r="K151" s="72" t="inlineStr">
        <is>
          <t>1190-0000</t>
        </is>
      </c>
      <c r="L151" s="72" t="inlineStr">
        <is>
          <t>Cash</t>
        </is>
      </c>
    </row>
    <row r="152">
      <c r="A152" s="72" t="inlineStr">
        <is>
          <t>1110-4962</t>
        </is>
      </c>
      <c r="B152" s="72" t="inlineStr">
        <is>
          <t>EP Storsafe 2 MetCap</t>
        </is>
      </c>
      <c r="C152" s="72" t="inlineStr">
        <is>
          <t>Debit</t>
        </is>
      </c>
      <c r="D152" s="72" t="inlineStr">
        <is>
          <t>Reg</t>
        </is>
      </c>
      <c r="E152" s="72" t="inlineStr">
        <is>
          <t>Bal</t>
        </is>
      </c>
      <c r="F152" s="12" t="n">
        <v>1</v>
      </c>
      <c r="G152" s="12" t="n">
        <v>1</v>
      </c>
      <c r="H152" s="72" t="n"/>
      <c r="I152" s="72" t="n"/>
      <c r="J152" s="72" t="n"/>
      <c r="K152" s="72" t="inlineStr">
        <is>
          <t>1190-0000</t>
        </is>
      </c>
      <c r="L152" s="72" t="inlineStr">
        <is>
          <t>Cash</t>
        </is>
      </c>
    </row>
    <row r="153">
      <c r="A153" s="72" t="inlineStr">
        <is>
          <t>1110-4963</t>
        </is>
      </c>
      <c r="B153" s="72" t="inlineStr">
        <is>
          <t>SS Downtown Venice Busey</t>
        </is>
      </c>
      <c r="C153" s="72" t="inlineStr">
        <is>
          <t>Debit</t>
        </is>
      </c>
      <c r="D153" s="72" t="inlineStr">
        <is>
          <t>Reg</t>
        </is>
      </c>
      <c r="E153" s="72" t="inlineStr">
        <is>
          <t>Bal</t>
        </is>
      </c>
      <c r="F153" s="12" t="n">
        <v>1</v>
      </c>
      <c r="G153" s="12" t="n">
        <v>1</v>
      </c>
      <c r="H153" s="72" t="n"/>
      <c r="I153" s="72" t="n"/>
      <c r="J153" s="72" t="n"/>
      <c r="K153" s="72" t="inlineStr">
        <is>
          <t>1190-0000</t>
        </is>
      </c>
      <c r="L153" s="72" t="inlineStr">
        <is>
          <t>Cash</t>
        </is>
      </c>
    </row>
    <row r="154">
      <c r="A154" s="72" t="inlineStr">
        <is>
          <t>1110-4964</t>
        </is>
      </c>
      <c r="B154" s="72" t="inlineStr">
        <is>
          <t>SS Downtown Venice UHaul Busey</t>
        </is>
      </c>
      <c r="C154" s="72" t="inlineStr">
        <is>
          <t>Debit</t>
        </is>
      </c>
      <c r="D154" s="72" t="inlineStr">
        <is>
          <t>Reg</t>
        </is>
      </c>
      <c r="E154" s="72" t="inlineStr">
        <is>
          <t>Bal</t>
        </is>
      </c>
      <c r="F154" s="12" t="n">
        <v>1</v>
      </c>
      <c r="G154" s="12" t="n">
        <v>1</v>
      </c>
      <c r="H154" s="72" t="n"/>
      <c r="I154" s="72" t="n"/>
      <c r="J154" s="72" t="n"/>
      <c r="K154" s="72" t="inlineStr">
        <is>
          <t>1190-0000</t>
        </is>
      </c>
      <c r="L154" s="72" t="inlineStr">
        <is>
          <t>Cash</t>
        </is>
      </c>
    </row>
    <row r="155">
      <c r="A155" s="72" t="inlineStr">
        <is>
          <t>1110-4965</t>
        </is>
      </c>
      <c r="B155" s="72" t="inlineStr">
        <is>
          <t>SS of Downtown Venice Chase</t>
        </is>
      </c>
      <c r="C155" s="72" t="inlineStr">
        <is>
          <t>Debit</t>
        </is>
      </c>
      <c r="D155" s="72" t="inlineStr">
        <is>
          <t>Reg</t>
        </is>
      </c>
      <c r="E155" s="72" t="inlineStr">
        <is>
          <t>Bal</t>
        </is>
      </c>
      <c r="F155" s="12" t="n">
        <v>1</v>
      </c>
      <c r="G155" s="12" t="n">
        <v>1</v>
      </c>
      <c r="H155" s="72" t="n"/>
      <c r="I155" s="72" t="n"/>
      <c r="J155" s="72" t="n"/>
      <c r="K155" s="72" t="inlineStr">
        <is>
          <t>1190-0000</t>
        </is>
      </c>
      <c r="L155" s="72" t="inlineStr">
        <is>
          <t>Cash</t>
        </is>
      </c>
    </row>
    <row r="156">
      <c r="A156" s="72" t="inlineStr">
        <is>
          <t>1110-4966</t>
        </is>
      </c>
      <c r="B156" s="72" t="inlineStr">
        <is>
          <t>SS of Venice UHaul Amalgamated</t>
        </is>
      </c>
      <c r="C156" s="72" t="inlineStr">
        <is>
          <t>Debit</t>
        </is>
      </c>
      <c r="D156" s="72" t="inlineStr">
        <is>
          <t>Reg</t>
        </is>
      </c>
      <c r="E156" s="72" t="inlineStr">
        <is>
          <t>Bal</t>
        </is>
      </c>
      <c r="F156" s="12" t="n">
        <v>1</v>
      </c>
      <c r="G156" s="12" t="n">
        <v>1</v>
      </c>
      <c r="H156" s="72" t="n"/>
      <c r="I156" s="72" t="n"/>
      <c r="J156" s="72" t="n"/>
      <c r="K156" s="72" t="inlineStr">
        <is>
          <t>1190-0000</t>
        </is>
      </c>
      <c r="L156" s="72" t="inlineStr">
        <is>
          <t>Cash</t>
        </is>
      </c>
    </row>
    <row r="157">
      <c r="A157" s="72" t="inlineStr">
        <is>
          <t>1110-4967</t>
        </is>
      </c>
      <c r="B157" s="72" t="inlineStr">
        <is>
          <t>SS of China Grove Chase</t>
        </is>
      </c>
      <c r="C157" s="72" t="inlineStr">
        <is>
          <t>Debit</t>
        </is>
      </c>
      <c r="D157" s="72" t="inlineStr">
        <is>
          <t>Reg</t>
        </is>
      </c>
      <c r="E157" s="72" t="inlineStr">
        <is>
          <t>Bal</t>
        </is>
      </c>
      <c r="F157" s="12" t="n">
        <v>1</v>
      </c>
      <c r="G157" s="12" t="n">
        <v>1</v>
      </c>
      <c r="H157" s="72" t="n"/>
      <c r="I157" s="72" t="n"/>
      <c r="J157" s="72" t="n"/>
      <c r="K157" s="72" t="inlineStr">
        <is>
          <t>1190-0000</t>
        </is>
      </c>
      <c r="L157" s="72" t="inlineStr">
        <is>
          <t>Cash</t>
        </is>
      </c>
    </row>
    <row r="158">
      <c r="A158" s="72" t="inlineStr">
        <is>
          <t>1110-4968</t>
        </is>
      </c>
      <c r="B158" s="72" t="inlineStr">
        <is>
          <t>SS of China Grove Pan American</t>
        </is>
      </c>
      <c r="C158" s="72" t="inlineStr">
        <is>
          <t>Debit</t>
        </is>
      </c>
      <c r="D158" s="72" t="inlineStr">
        <is>
          <t>Reg</t>
        </is>
      </c>
      <c r="E158" s="72" t="inlineStr">
        <is>
          <t>Bal</t>
        </is>
      </c>
      <c r="F158" s="12" t="n">
        <v>1</v>
      </c>
      <c r="G158" s="12" t="n">
        <v>1</v>
      </c>
      <c r="H158" s="72" t="n"/>
      <c r="I158" s="72" t="n"/>
      <c r="J158" s="72" t="n"/>
      <c r="K158" s="72" t="inlineStr">
        <is>
          <t>1190-0000</t>
        </is>
      </c>
      <c r="L158" s="72" t="inlineStr">
        <is>
          <t>Cash</t>
        </is>
      </c>
    </row>
    <row r="159">
      <c r="A159" s="72" t="inlineStr">
        <is>
          <t>1110-4969</t>
        </is>
      </c>
      <c r="B159" s="72" t="inlineStr">
        <is>
          <t>EP 2201 Amal Tax &amp; Insurance</t>
        </is>
      </c>
      <c r="C159" s="72" t="inlineStr">
        <is>
          <t>Debit</t>
        </is>
      </c>
      <c r="D159" s="72" t="inlineStr">
        <is>
          <t>Reg</t>
        </is>
      </c>
      <c r="E159" s="72" t="inlineStr">
        <is>
          <t>Bal</t>
        </is>
      </c>
      <c r="F159" s="12" t="n">
        <v>1</v>
      </c>
      <c r="G159" s="12" t="n">
        <v>1</v>
      </c>
      <c r="H159" s="72" t="n"/>
      <c r="I159" s="72" t="n"/>
      <c r="J159" s="72" t="n"/>
      <c r="K159" s="72" t="inlineStr">
        <is>
          <t>1190-0000</t>
        </is>
      </c>
      <c r="L159" s="72" t="inlineStr">
        <is>
          <t>Cash</t>
        </is>
      </c>
    </row>
    <row r="160">
      <c r="A160" s="72" t="inlineStr">
        <is>
          <t>1110-4970</t>
        </is>
      </c>
      <c r="B160" s="72" t="inlineStr">
        <is>
          <t>SS Candler Tax &amp; Ins Chase</t>
        </is>
      </c>
      <c r="C160" s="72" t="inlineStr">
        <is>
          <t>Debit</t>
        </is>
      </c>
      <c r="D160" s="72" t="inlineStr">
        <is>
          <t>Reg</t>
        </is>
      </c>
      <c r="E160" s="72" t="inlineStr">
        <is>
          <t>Bal</t>
        </is>
      </c>
      <c r="F160" s="12" t="n">
        <v>1</v>
      </c>
      <c r="G160" s="12" t="n">
        <v>1</v>
      </c>
      <c r="H160" s="72" t="n"/>
      <c r="I160" s="72" t="n"/>
      <c r="J160" s="72" t="n"/>
      <c r="K160" s="72" t="inlineStr">
        <is>
          <t>1190-0000</t>
        </is>
      </c>
      <c r="L160" s="72" t="inlineStr">
        <is>
          <t>Cash</t>
        </is>
      </c>
    </row>
    <row r="161">
      <c r="A161" s="72" t="inlineStr">
        <is>
          <t>1110-4971</t>
        </is>
      </c>
      <c r="B161" s="72" t="inlineStr">
        <is>
          <t>Storsafe Management Solutions - Cary</t>
        </is>
      </c>
      <c r="C161" s="72" t="inlineStr">
        <is>
          <t>Debit</t>
        </is>
      </c>
      <c r="D161" s="72" t="inlineStr">
        <is>
          <t>Reg</t>
        </is>
      </c>
      <c r="E161" s="72" t="inlineStr">
        <is>
          <t>Bal</t>
        </is>
      </c>
      <c r="F161" s="12" t="n">
        <v>1</v>
      </c>
      <c r="G161" s="12" t="n">
        <v>1</v>
      </c>
      <c r="H161" s="72" t="n"/>
      <c r="I161" s="72" t="n"/>
      <c r="J161" s="72" t="n"/>
      <c r="K161" s="72" t="inlineStr">
        <is>
          <t>1190-0000</t>
        </is>
      </c>
      <c r="L161" s="72" t="inlineStr">
        <is>
          <t>Cash</t>
        </is>
      </c>
    </row>
    <row r="162">
      <c r="A162" s="72" t="inlineStr">
        <is>
          <t>1110-4972</t>
        </is>
      </c>
      <c r="B162" s="72" t="inlineStr">
        <is>
          <t>SS of Palm Shores PanAm</t>
        </is>
      </c>
      <c r="C162" s="72" t="inlineStr">
        <is>
          <t>Debit</t>
        </is>
      </c>
      <c r="D162" s="72" t="inlineStr">
        <is>
          <t>Reg</t>
        </is>
      </c>
      <c r="E162" s="72" t="inlineStr">
        <is>
          <t>Bal</t>
        </is>
      </c>
      <c r="F162" s="12" t="n">
        <v>1</v>
      </c>
      <c r="G162" s="12" t="n">
        <v>1</v>
      </c>
      <c r="H162" s="72" t="n"/>
      <c r="I162" s="72" t="n"/>
      <c r="J162" s="72" t="n"/>
      <c r="K162" s="72" t="inlineStr">
        <is>
          <t>1190-0000</t>
        </is>
      </c>
      <c r="L162" s="72" t="inlineStr">
        <is>
          <t>Cash</t>
        </is>
      </c>
    </row>
    <row r="163">
      <c r="A163" s="72" t="inlineStr">
        <is>
          <t>1110-4973</t>
        </is>
      </c>
      <c r="B163" s="72" t="inlineStr">
        <is>
          <t>SS of Cedar Lake Centier</t>
        </is>
      </c>
      <c r="C163" s="72" t="inlineStr">
        <is>
          <t>Debit</t>
        </is>
      </c>
      <c r="D163" s="72" t="inlineStr">
        <is>
          <t>Reg</t>
        </is>
      </c>
      <c r="E163" s="72" t="inlineStr">
        <is>
          <t>Bal</t>
        </is>
      </c>
      <c r="F163" s="12" t="n">
        <v>1</v>
      </c>
      <c r="G163" s="12" t="n">
        <v>1</v>
      </c>
      <c r="H163" s="72" t="n"/>
      <c r="I163" s="72" t="n"/>
      <c r="J163" s="72" t="n"/>
      <c r="K163" s="72" t="inlineStr">
        <is>
          <t>1190-0000</t>
        </is>
      </c>
      <c r="L163" s="72" t="inlineStr">
        <is>
          <t>Cash</t>
        </is>
      </c>
    </row>
    <row r="164">
      <c r="A164" s="72" t="inlineStr">
        <is>
          <t>1110-4974</t>
        </is>
      </c>
      <c r="B164" s="72" t="inlineStr">
        <is>
          <t>Storsafe Management Solutions - Crystal Lake</t>
        </is>
      </c>
      <c r="C164" s="72" t="inlineStr">
        <is>
          <t>Debit</t>
        </is>
      </c>
      <c r="D164" s="72" t="inlineStr">
        <is>
          <t>Reg</t>
        </is>
      </c>
      <c r="E164" s="72" t="inlineStr">
        <is>
          <t>Bal</t>
        </is>
      </c>
      <c r="F164" s="12" t="n">
        <v>1</v>
      </c>
      <c r="G164" s="12" t="n">
        <v>1</v>
      </c>
      <c r="H164" s="72" t="n"/>
      <c r="I164" s="72" t="n"/>
      <c r="J164" s="72" t="n"/>
      <c r="K164" s="72" t="inlineStr">
        <is>
          <t>1190-0000</t>
        </is>
      </c>
      <c r="L164" s="72" t="inlineStr">
        <is>
          <t>Cash</t>
        </is>
      </c>
    </row>
    <row r="165">
      <c r="A165" s="72" t="inlineStr">
        <is>
          <t>1110-4975</t>
        </is>
      </c>
      <c r="B165" s="72" t="inlineStr">
        <is>
          <t>SS of Melbourne Chase</t>
        </is>
      </c>
      <c r="C165" s="72" t="inlineStr">
        <is>
          <t>Debit</t>
        </is>
      </c>
      <c r="D165" s="72" t="inlineStr">
        <is>
          <t>Reg</t>
        </is>
      </c>
      <c r="E165" s="72" t="inlineStr">
        <is>
          <t>Bal</t>
        </is>
      </c>
      <c r="F165" s="12" t="n">
        <v>1</v>
      </c>
      <c r="G165" s="12" t="n">
        <v>1</v>
      </c>
      <c r="H165" s="72" t="n"/>
      <c r="I165" s="72" t="n"/>
      <c r="J165" s="72" t="n"/>
      <c r="K165" s="72" t="inlineStr">
        <is>
          <t>1190-0000</t>
        </is>
      </c>
      <c r="L165" s="72" t="inlineStr">
        <is>
          <t>Cash</t>
        </is>
      </c>
    </row>
    <row r="166">
      <c r="A166" s="72" t="inlineStr">
        <is>
          <t>1110-4976</t>
        </is>
      </c>
      <c r="B166" s="72" t="inlineStr">
        <is>
          <t>SS of Lexington Choice Bank</t>
        </is>
      </c>
      <c r="C166" s="72" t="inlineStr">
        <is>
          <t>Debit</t>
        </is>
      </c>
      <c r="D166" s="72" t="inlineStr">
        <is>
          <t>Reg</t>
        </is>
      </c>
      <c r="E166" s="72" t="inlineStr">
        <is>
          <t>Bal</t>
        </is>
      </c>
      <c r="F166" s="12" t="n">
        <v>1</v>
      </c>
      <c r="G166" s="12" t="n">
        <v>1</v>
      </c>
      <c r="H166" s="72" t="n"/>
      <c r="I166" s="72" t="n"/>
      <c r="J166" s="72" t="n"/>
      <c r="K166" s="72" t="inlineStr">
        <is>
          <t>1190-0000</t>
        </is>
      </c>
      <c r="L166" s="72" t="inlineStr">
        <is>
          <t>Cash</t>
        </is>
      </c>
    </row>
    <row r="167">
      <c r="A167" s="72" t="inlineStr">
        <is>
          <t>1110-4977</t>
        </is>
      </c>
      <c r="B167" s="72" t="inlineStr">
        <is>
          <t>EP HSS Pan American</t>
        </is>
      </c>
      <c r="C167" s="72" t="inlineStr">
        <is>
          <t>Debit</t>
        </is>
      </c>
      <c r="D167" s="72" t="inlineStr">
        <is>
          <t>Reg</t>
        </is>
      </c>
      <c r="E167" s="72" t="inlineStr">
        <is>
          <t>Bal</t>
        </is>
      </c>
      <c r="F167" s="12" t="n">
        <v>1</v>
      </c>
      <c r="G167" s="12" t="n">
        <v>1</v>
      </c>
      <c r="H167" s="72" t="n"/>
      <c r="I167" s="72" t="n"/>
      <c r="J167" s="72" t="n"/>
      <c r="K167" s="72" t="inlineStr">
        <is>
          <t>1190-0000</t>
        </is>
      </c>
      <c r="L167" s="72" t="inlineStr">
        <is>
          <t>Cash</t>
        </is>
      </c>
    </row>
    <row r="168">
      <c r="A168" s="72" t="inlineStr">
        <is>
          <t>1110-4978</t>
        </is>
      </c>
      <c r="B168" s="72" t="inlineStr">
        <is>
          <t>EP HSS Pan Am Insurance</t>
        </is>
      </c>
      <c r="C168" s="72" t="inlineStr">
        <is>
          <t>Debit</t>
        </is>
      </c>
      <c r="D168" s="72" t="inlineStr">
        <is>
          <t>Reg</t>
        </is>
      </c>
      <c r="E168" s="72" t="inlineStr">
        <is>
          <t>Bal</t>
        </is>
      </c>
      <c r="F168" s="12" t="n">
        <v>1</v>
      </c>
      <c r="G168" s="12" t="n">
        <v>1</v>
      </c>
      <c r="H168" s="72" t="n"/>
      <c r="I168" s="72" t="n"/>
      <c r="J168" s="72" t="n"/>
      <c r="K168" s="72" t="inlineStr">
        <is>
          <t>1190-0000</t>
        </is>
      </c>
      <c r="L168" s="72" t="inlineStr">
        <is>
          <t>Cash</t>
        </is>
      </c>
    </row>
    <row r="169">
      <c r="A169" s="72" t="inlineStr">
        <is>
          <t>1110-4979</t>
        </is>
      </c>
      <c r="B169" s="72" t="inlineStr">
        <is>
          <t>EP HSS 2 Pan American</t>
        </is>
      </c>
      <c r="C169" s="72" t="inlineStr">
        <is>
          <t>Debit</t>
        </is>
      </c>
      <c r="D169" s="72" t="inlineStr">
        <is>
          <t>Reg</t>
        </is>
      </c>
      <c r="E169" s="72" t="inlineStr">
        <is>
          <t>Bal</t>
        </is>
      </c>
      <c r="F169" s="12" t="n">
        <v>1</v>
      </c>
      <c r="G169" s="12" t="n">
        <v>1</v>
      </c>
      <c r="H169" s="72" t="n"/>
      <c r="I169" s="72" t="n"/>
      <c r="J169" s="72" t="n"/>
      <c r="K169" s="72" t="inlineStr">
        <is>
          <t>1190-0000</t>
        </is>
      </c>
      <c r="L169" s="72" t="inlineStr">
        <is>
          <t>Cash</t>
        </is>
      </c>
    </row>
    <row r="170">
      <c r="A170" s="72" t="inlineStr">
        <is>
          <t>1110-4980</t>
        </is>
      </c>
      <c r="B170" s="72" t="inlineStr">
        <is>
          <t>Lexington Chase</t>
        </is>
      </c>
      <c r="C170" s="72" t="inlineStr">
        <is>
          <t>Debit</t>
        </is>
      </c>
      <c r="D170" s="72" t="inlineStr">
        <is>
          <t>Reg</t>
        </is>
      </c>
      <c r="E170" s="72" t="inlineStr">
        <is>
          <t>Bal</t>
        </is>
      </c>
      <c r="F170" s="12" t="n">
        <v>1</v>
      </c>
      <c r="G170" s="12" t="n">
        <v>1</v>
      </c>
      <c r="H170" s="72" t="n"/>
      <c r="I170" s="72" t="n"/>
      <c r="J170" s="72" t="n"/>
      <c r="K170" s="72" t="inlineStr">
        <is>
          <t>1190-0000</t>
        </is>
      </c>
      <c r="L170" s="72" t="inlineStr">
        <is>
          <t>Cash</t>
        </is>
      </c>
    </row>
    <row r="171">
      <c r="A171" s="72" t="inlineStr">
        <is>
          <t>1110-4981</t>
        </is>
      </c>
      <c r="B171" s="72" t="inlineStr">
        <is>
          <t>Melbourne Cypress</t>
        </is>
      </c>
      <c r="C171" s="72" t="inlineStr">
        <is>
          <t>Debit</t>
        </is>
      </c>
      <c r="D171" s="72" t="inlineStr">
        <is>
          <t>Reg</t>
        </is>
      </c>
      <c r="E171" s="72" t="inlineStr">
        <is>
          <t>Bal</t>
        </is>
      </c>
      <c r="F171" s="12" t="n">
        <v>1</v>
      </c>
      <c r="G171" s="12" t="n">
        <v>1</v>
      </c>
      <c r="H171" s="72" t="n"/>
      <c r="I171" s="72" t="n"/>
      <c r="J171" s="72" t="n"/>
      <c r="K171" s="72" t="inlineStr">
        <is>
          <t>1190-0000</t>
        </is>
      </c>
      <c r="L171" s="72" t="inlineStr">
        <is>
          <t>Cash</t>
        </is>
      </c>
    </row>
    <row r="172">
      <c r="A172" s="72" t="inlineStr">
        <is>
          <t>1110-4982</t>
        </is>
      </c>
      <c r="B172" s="72" t="inlineStr">
        <is>
          <t>Bristol Choice</t>
        </is>
      </c>
      <c r="C172" s="72" t="inlineStr">
        <is>
          <t>Debit</t>
        </is>
      </c>
      <c r="D172" s="72" t="inlineStr">
        <is>
          <t>Reg</t>
        </is>
      </c>
      <c r="E172" s="72" t="inlineStr">
        <is>
          <t>Bal</t>
        </is>
      </c>
      <c r="F172" s="12" t="n">
        <v>1</v>
      </c>
      <c r="G172" s="12" t="n">
        <v>1</v>
      </c>
      <c r="H172" s="72" t="n"/>
      <c r="I172" s="72" t="n"/>
      <c r="J172" s="72" t="n"/>
      <c r="K172" s="72" t="inlineStr">
        <is>
          <t>1190-0000</t>
        </is>
      </c>
      <c r="L172" s="72" t="inlineStr">
        <is>
          <t>Cash</t>
        </is>
      </c>
    </row>
    <row r="173">
      <c r="A173" s="72" t="inlineStr">
        <is>
          <t>1110-4983</t>
        </is>
      </c>
      <c r="B173" s="72" t="inlineStr">
        <is>
          <t>SMS NFSS Chase</t>
        </is>
      </c>
      <c r="C173" s="72" t="inlineStr">
        <is>
          <t>Debit</t>
        </is>
      </c>
      <c r="D173" s="72" t="inlineStr">
        <is>
          <t>Reg</t>
        </is>
      </c>
      <c r="E173" s="72" t="inlineStr">
        <is>
          <t>Bal</t>
        </is>
      </c>
      <c r="F173" s="12" t="n">
        <v>1</v>
      </c>
      <c r="G173" s="12" t="n">
        <v>1</v>
      </c>
      <c r="H173" s="72" t="n"/>
      <c r="I173" s="72" t="n"/>
      <c r="J173" s="72" t="n"/>
      <c r="K173" s="72" t="inlineStr">
        <is>
          <t>1190-0000</t>
        </is>
      </c>
      <c r="L173" s="72" t="inlineStr">
        <is>
          <t>Cash</t>
        </is>
      </c>
    </row>
    <row r="174">
      <c r="A174" s="72" t="inlineStr">
        <is>
          <t>1110-4984</t>
        </is>
      </c>
      <c r="B174" s="72" t="inlineStr">
        <is>
          <t>Downtown Venice Pan American</t>
        </is>
      </c>
      <c r="C174" s="72" t="inlineStr">
        <is>
          <t>Debit</t>
        </is>
      </c>
      <c r="D174" s="72" t="inlineStr">
        <is>
          <t>Reg</t>
        </is>
      </c>
      <c r="E174" s="72" t="inlineStr">
        <is>
          <t>Bal</t>
        </is>
      </c>
      <c r="F174" s="12" t="n">
        <v>1</v>
      </c>
      <c r="G174" s="12" t="n">
        <v>1</v>
      </c>
      <c r="H174" s="72" t="n"/>
      <c r="I174" s="72" t="n"/>
      <c r="J174" s="72" t="n"/>
      <c r="K174" s="72" t="inlineStr">
        <is>
          <t>1190-0000</t>
        </is>
      </c>
      <c r="L174" s="72" t="inlineStr">
        <is>
          <t>Cash</t>
        </is>
      </c>
    </row>
    <row r="175">
      <c r="A175" s="72" t="inlineStr">
        <is>
          <t>1110-5000</t>
        </is>
      </c>
      <c r="B175" s="72" t="inlineStr">
        <is>
          <t>M&amp;P Chase</t>
        </is>
      </c>
      <c r="C175" s="72" t="inlineStr">
        <is>
          <t>Debit</t>
        </is>
      </c>
      <c r="D175" s="72" t="inlineStr">
        <is>
          <t>Reg</t>
        </is>
      </c>
      <c r="E175" s="72" t="inlineStr">
        <is>
          <t>Bal</t>
        </is>
      </c>
      <c r="F175" s="12" t="n">
        <v>1</v>
      </c>
      <c r="G175" s="12" t="n">
        <v>1</v>
      </c>
      <c r="H175" s="72" t="n"/>
      <c r="I175" s="72" t="n"/>
      <c r="J175" s="72" t="n"/>
      <c r="K175" s="72" t="inlineStr">
        <is>
          <t>1190-0000</t>
        </is>
      </c>
      <c r="L175" s="72" t="inlineStr">
        <is>
          <t>Cash</t>
        </is>
      </c>
    </row>
    <row r="176">
      <c r="A176" s="72" t="inlineStr">
        <is>
          <t>1110-5001</t>
        </is>
      </c>
      <c r="B176" s="72" t="inlineStr">
        <is>
          <t>M&amp;P Chase Trust</t>
        </is>
      </c>
      <c r="C176" s="72" t="inlineStr">
        <is>
          <t>Debit</t>
        </is>
      </c>
      <c r="D176" s="72" t="inlineStr">
        <is>
          <t>Reg</t>
        </is>
      </c>
      <c r="E176" s="72" t="inlineStr">
        <is>
          <t>Bal</t>
        </is>
      </c>
      <c r="F176" s="12" t="n">
        <v>1</v>
      </c>
      <c r="G176" s="12" t="n">
        <v>1</v>
      </c>
      <c r="H176" s="72" t="n"/>
      <c r="I176" s="72" t="n"/>
      <c r="J176" s="72" t="n"/>
      <c r="K176" s="72" t="inlineStr">
        <is>
          <t>1190-0000</t>
        </is>
      </c>
      <c r="L176" s="72" t="inlineStr">
        <is>
          <t>Cash</t>
        </is>
      </c>
    </row>
    <row r="177">
      <c r="A177" s="72" t="inlineStr">
        <is>
          <t>1110-5050</t>
        </is>
      </c>
      <c r="B177" s="72" t="inlineStr">
        <is>
          <t>M&amp;P BF</t>
        </is>
      </c>
      <c r="C177" s="72" t="inlineStr">
        <is>
          <t>Debit</t>
        </is>
      </c>
      <c r="D177" s="72" t="inlineStr">
        <is>
          <t>Reg</t>
        </is>
      </c>
      <c r="E177" s="72" t="inlineStr">
        <is>
          <t>Bal</t>
        </is>
      </c>
      <c r="F177" s="12" t="n">
        <v>1</v>
      </c>
      <c r="G177" s="12" t="n">
        <v>1</v>
      </c>
      <c r="H177" s="72" t="n"/>
      <c r="I177" s="72" t="n"/>
      <c r="J177" s="72" t="n"/>
      <c r="K177" s="72" t="inlineStr">
        <is>
          <t>1190-0000</t>
        </is>
      </c>
      <c r="L177" s="72" t="inlineStr">
        <is>
          <t>Cash</t>
        </is>
      </c>
    </row>
    <row r="178">
      <c r="A178" s="72" t="inlineStr">
        <is>
          <t>1110-5100</t>
        </is>
      </c>
      <c r="B178" s="72" t="inlineStr">
        <is>
          <t>M&amp;P Bank Financial</t>
        </is>
      </c>
      <c r="C178" s="72" t="inlineStr">
        <is>
          <t>Debit</t>
        </is>
      </c>
      <c r="D178" s="72" t="inlineStr">
        <is>
          <t>Reg</t>
        </is>
      </c>
      <c r="E178" s="72" t="inlineStr">
        <is>
          <t>Bal</t>
        </is>
      </c>
      <c r="F178" s="12" t="n">
        <v>1</v>
      </c>
      <c r="G178" s="12" t="n">
        <v>1</v>
      </c>
      <c r="H178" s="72" t="n"/>
      <c r="I178" s="72" t="n"/>
      <c r="J178" s="72" t="n"/>
      <c r="K178" s="72" t="inlineStr">
        <is>
          <t>1190-0000</t>
        </is>
      </c>
      <c r="L178" s="72" t="inlineStr">
        <is>
          <t>Cash</t>
        </is>
      </c>
    </row>
    <row r="179">
      <c r="A179" s="72" t="inlineStr">
        <is>
          <t>1110-5101</t>
        </is>
      </c>
      <c r="B179" s="72" t="inlineStr">
        <is>
          <t>Morgan Stanley 7746</t>
        </is>
      </c>
      <c r="C179" s="72" t="inlineStr">
        <is>
          <t>Debit</t>
        </is>
      </c>
      <c r="D179" s="72" t="inlineStr">
        <is>
          <t>Reg</t>
        </is>
      </c>
      <c r="E179" s="72" t="inlineStr">
        <is>
          <t>Bal</t>
        </is>
      </c>
      <c r="F179" s="12" t="n">
        <v>1</v>
      </c>
      <c r="G179" s="12" t="n">
        <v>1</v>
      </c>
      <c r="H179" s="72" t="n"/>
      <c r="I179" s="72" t="n"/>
      <c r="J179" s="72" t="n"/>
      <c r="K179" s="72" t="inlineStr">
        <is>
          <t>1190-0000</t>
        </is>
      </c>
      <c r="L179" s="72" t="inlineStr">
        <is>
          <t>Cash</t>
        </is>
      </c>
    </row>
    <row r="180">
      <c r="A180" s="72" t="inlineStr">
        <is>
          <t>1120-0000</t>
        </is>
      </c>
      <c r="B180" s="72" t="inlineStr">
        <is>
          <t>Escrow Cash  Tenant Deposits</t>
        </is>
      </c>
      <c r="C180" s="72" t="inlineStr">
        <is>
          <t>Debit</t>
        </is>
      </c>
      <c r="D180" s="72" t="inlineStr">
        <is>
          <t>Reg</t>
        </is>
      </c>
      <c r="E180" s="72" t="inlineStr">
        <is>
          <t>Bal</t>
        </is>
      </c>
      <c r="F180" s="12" t="n">
        <v>1</v>
      </c>
      <c r="G180" s="12" t="n">
        <v>1</v>
      </c>
      <c r="H180" s="72" t="n"/>
      <c r="I180" s="72" t="n"/>
      <c r="J180" s="72" t="n"/>
      <c r="K180" s="72" t="inlineStr">
        <is>
          <t>1190-0000</t>
        </is>
      </c>
      <c r="L180" s="72" t="inlineStr">
        <is>
          <t>Cash</t>
        </is>
      </c>
    </row>
    <row r="181">
      <c r="A181" s="72" t="inlineStr">
        <is>
          <t>1120-1000</t>
        </is>
      </c>
      <c r="B181" s="72" t="inlineStr">
        <is>
          <t>Escrow Cash  Tenant Deposits</t>
        </is>
      </c>
      <c r="C181" s="72" t="inlineStr">
        <is>
          <t>Debit</t>
        </is>
      </c>
      <c r="D181" s="72" t="inlineStr">
        <is>
          <t>Reg</t>
        </is>
      </c>
      <c r="E181" s="72" t="inlineStr">
        <is>
          <t>Bal</t>
        </is>
      </c>
      <c r="F181" s="12" t="n">
        <v>1</v>
      </c>
      <c r="G181" s="12" t="n">
        <v>1</v>
      </c>
      <c r="H181" s="72" t="n"/>
      <c r="I181" s="72" t="n"/>
      <c r="J181" s="72" t="n"/>
      <c r="K181" s="72" t="inlineStr">
        <is>
          <t>1190-0000</t>
        </is>
      </c>
      <c r="L181" s="72" t="inlineStr">
        <is>
          <t>Cash</t>
        </is>
      </c>
    </row>
    <row r="182">
      <c r="A182" s="72" t="inlineStr">
        <is>
          <t>1121-0000</t>
        </is>
      </c>
      <c r="B182" s="72" t="inlineStr">
        <is>
          <t>Escrow Cash Tenant Dep 6333</t>
        </is>
      </c>
      <c r="C182" s="72" t="inlineStr">
        <is>
          <t>Debit</t>
        </is>
      </c>
      <c r="D182" s="72" t="inlineStr">
        <is>
          <t>Reg</t>
        </is>
      </c>
      <c r="E182" s="72" t="inlineStr">
        <is>
          <t>Bal</t>
        </is>
      </c>
      <c r="F182" s="12" t="n">
        <v>1</v>
      </c>
      <c r="G182" s="12" t="n">
        <v>1</v>
      </c>
      <c r="H182" s="72" t="n"/>
      <c r="I182" s="72" t="n"/>
      <c r="J182" s="72" t="n"/>
      <c r="K182" s="72" t="inlineStr">
        <is>
          <t>1190-0000</t>
        </is>
      </c>
      <c r="L182" s="72" t="inlineStr">
        <is>
          <t>Cash</t>
        </is>
      </c>
    </row>
    <row r="183">
      <c r="A183" s="72" t="inlineStr">
        <is>
          <t>1121-1000</t>
        </is>
      </c>
      <c r="B183" s="72" t="inlineStr">
        <is>
          <t>Escrow Cash Tenant Dep Carmen</t>
        </is>
      </c>
      <c r="C183" s="72" t="inlineStr">
        <is>
          <t>Debit</t>
        </is>
      </c>
      <c r="D183" s="72" t="inlineStr">
        <is>
          <t>Reg</t>
        </is>
      </c>
      <c r="E183" s="72" t="inlineStr">
        <is>
          <t>Bal</t>
        </is>
      </c>
      <c r="F183" s="12" t="n">
        <v>1</v>
      </c>
      <c r="G183" s="12" t="n">
        <v>1</v>
      </c>
      <c r="H183" s="72" t="n"/>
      <c r="I183" s="72" t="n"/>
      <c r="J183" s="72" t="n"/>
      <c r="K183" s="72" t="inlineStr">
        <is>
          <t>1190-0000</t>
        </is>
      </c>
      <c r="L183" s="72" t="inlineStr">
        <is>
          <t>Cash</t>
        </is>
      </c>
    </row>
    <row r="184">
      <c r="A184" s="72" t="inlineStr">
        <is>
          <t>1121-2001</t>
        </is>
      </c>
      <c r="B184" s="72" t="inlineStr">
        <is>
          <t>Recovery Accrual/Sprinklers</t>
        </is>
      </c>
      <c r="C184" s="72" t="inlineStr">
        <is>
          <t>Debit</t>
        </is>
      </c>
      <c r="D184" s="72" t="inlineStr">
        <is>
          <t>Reg</t>
        </is>
      </c>
      <c r="E184" s="72" t="inlineStr">
        <is>
          <t>Bal</t>
        </is>
      </c>
      <c r="F184" s="12" t="n">
        <v>1</v>
      </c>
      <c r="G184" s="12" t="n">
        <v>1</v>
      </c>
      <c r="H184" s="72" t="n"/>
      <c r="I184" s="72" t="n"/>
      <c r="J184" s="72" t="n"/>
      <c r="K184" s="72" t="inlineStr">
        <is>
          <t>1190-0000</t>
        </is>
      </c>
      <c r="L184" s="72" t="inlineStr">
        <is>
          <t>Cash</t>
        </is>
      </c>
    </row>
    <row r="185">
      <c r="A185" s="72" t="inlineStr">
        <is>
          <t>1130-0000</t>
        </is>
      </c>
      <c r="B185" s="72" t="inlineStr">
        <is>
          <t>Owner Held Deposists</t>
        </is>
      </c>
      <c r="C185" s="72" t="inlineStr">
        <is>
          <t>Debit</t>
        </is>
      </c>
      <c r="D185" s="72" t="inlineStr">
        <is>
          <t>Reg</t>
        </is>
      </c>
      <c r="E185" s="72" t="inlineStr">
        <is>
          <t>Bal</t>
        </is>
      </c>
      <c r="F185" s="12" t="n">
        <v>1</v>
      </c>
      <c r="G185" s="12" t="n">
        <v>1</v>
      </c>
      <c r="H185" s="72" t="n"/>
      <c r="I185" s="72" t="n"/>
      <c r="J185" s="72" t="n"/>
      <c r="K185" s="72" t="inlineStr">
        <is>
          <t>1190-0000</t>
        </is>
      </c>
      <c r="L185" s="72" t="inlineStr">
        <is>
          <t>Cash Flow</t>
        </is>
      </c>
    </row>
    <row r="186">
      <c r="A186" s="72" t="inlineStr">
        <is>
          <t>1131-0000</t>
        </is>
      </c>
      <c r="B186" s="72" t="inlineStr">
        <is>
          <t>Petty Cash Ledger</t>
        </is>
      </c>
      <c r="C186" s="72" t="inlineStr">
        <is>
          <t>Debit</t>
        </is>
      </c>
      <c r="D186" s="72" t="inlineStr">
        <is>
          <t>Reg</t>
        </is>
      </c>
      <c r="E186" s="72" t="inlineStr">
        <is>
          <t>Bal</t>
        </is>
      </c>
      <c r="F186" s="12" t="n">
        <v>1</v>
      </c>
      <c r="G186" s="12" t="n">
        <v>1</v>
      </c>
      <c r="H186" s="72" t="n"/>
      <c r="I186" s="72" t="n"/>
      <c r="J186" s="72" t="n"/>
      <c r="K186" s="72" t="inlineStr">
        <is>
          <t>1190-0000</t>
        </is>
      </c>
      <c r="L186" s="72" t="inlineStr">
        <is>
          <t>Cash</t>
        </is>
      </c>
    </row>
    <row r="187">
      <c r="A187" s="72" t="inlineStr">
        <is>
          <t>1135-0000</t>
        </is>
      </c>
      <c r="B187" s="72" t="inlineStr">
        <is>
          <t>Savings Cash 2</t>
        </is>
      </c>
      <c r="C187" s="72" t="inlineStr">
        <is>
          <t>Debit</t>
        </is>
      </c>
      <c r="D187" s="72" t="inlineStr">
        <is>
          <t>Reg</t>
        </is>
      </c>
      <c r="E187" s="72" t="inlineStr">
        <is>
          <t>Bal</t>
        </is>
      </c>
      <c r="F187" s="12" t="n">
        <v>1</v>
      </c>
      <c r="G187" s="12" t="n">
        <v>1</v>
      </c>
      <c r="H187" s="72" t="n"/>
      <c r="I187" s="72" t="n"/>
      <c r="J187" s="72" t="n"/>
      <c r="K187" s="72" t="inlineStr">
        <is>
          <t>1190-0000</t>
        </is>
      </c>
      <c r="L187" s="72" t="inlineStr">
        <is>
          <t>Cash</t>
        </is>
      </c>
    </row>
    <row r="188">
      <c r="A188" s="72" t="inlineStr">
        <is>
          <t>1140-0000</t>
        </is>
      </c>
      <c r="B188" s="72" t="inlineStr">
        <is>
          <t>Association Reserve Account</t>
        </is>
      </c>
      <c r="C188" s="72" t="inlineStr">
        <is>
          <t>Debit</t>
        </is>
      </c>
      <c r="D188" s="72" t="inlineStr">
        <is>
          <t>Reg</t>
        </is>
      </c>
      <c r="E188" s="72" t="inlineStr">
        <is>
          <t>Bal</t>
        </is>
      </c>
      <c r="F188" s="12" t="n">
        <v>1</v>
      </c>
      <c r="G188" s="12" t="n">
        <v>1</v>
      </c>
      <c r="H188" s="72" t="n"/>
      <c r="I188" s="72" t="n"/>
      <c r="J188" s="72" t="n"/>
      <c r="K188" s="72" t="inlineStr">
        <is>
          <t>1190-0000</t>
        </is>
      </c>
      <c r="L188" s="72" t="inlineStr">
        <is>
          <t>Cash</t>
        </is>
      </c>
    </row>
    <row r="189">
      <c r="A189" s="72" t="inlineStr">
        <is>
          <t>1140-8521</t>
        </is>
      </c>
      <c r="B189" s="72" t="inlineStr">
        <is>
          <t>21.8521 Association Reserve Account</t>
        </is>
      </c>
      <c r="C189" s="72" t="inlineStr">
        <is>
          <t>Debit</t>
        </is>
      </c>
      <c r="D189" s="72" t="inlineStr">
        <is>
          <t>Reg</t>
        </is>
      </c>
      <c r="E189" s="72" t="inlineStr">
        <is>
          <t>Inc</t>
        </is>
      </c>
      <c r="F189" s="12" t="n">
        <v>0</v>
      </c>
      <c r="G189" s="12" t="n">
        <v>1</v>
      </c>
      <c r="H189" s="72" t="n"/>
      <c r="I189" s="72" t="n"/>
      <c r="J189" s="72" t="n"/>
      <c r="K189" s="72" t="n"/>
      <c r="L189" s="72" t="inlineStr">
        <is>
          <t>Cash</t>
        </is>
      </c>
    </row>
    <row r="190">
      <c r="A190" s="72" t="inlineStr">
        <is>
          <t>1150-0000</t>
        </is>
      </c>
      <c r="B190" s="72" t="inlineStr">
        <is>
          <t>Rent to RDG</t>
        </is>
      </c>
      <c r="C190" s="72" t="inlineStr">
        <is>
          <t>Debit</t>
        </is>
      </c>
      <c r="D190" s="72" t="inlineStr">
        <is>
          <t>Reg</t>
        </is>
      </c>
      <c r="E190" s="72" t="inlineStr">
        <is>
          <t>Bal</t>
        </is>
      </c>
      <c r="F190" s="12" t="n">
        <v>1</v>
      </c>
      <c r="G190" s="12" t="n">
        <v>1</v>
      </c>
      <c r="H190" s="72" t="n"/>
      <c r="I190" s="72" t="n"/>
      <c r="J190" s="72" t="n"/>
      <c r="K190" s="72" t="n"/>
      <c r="L190" s="72" t="inlineStr">
        <is>
          <t>Cash</t>
        </is>
      </c>
    </row>
    <row r="191">
      <c r="A191" s="72" t="inlineStr">
        <is>
          <t>1160-0000</t>
        </is>
      </c>
      <c r="B191" s="72" t="inlineStr">
        <is>
          <t>Deposits to RDG</t>
        </is>
      </c>
      <c r="C191" s="72" t="inlineStr">
        <is>
          <t>Debit</t>
        </is>
      </c>
      <c r="D191" s="72" t="inlineStr">
        <is>
          <t>Reg</t>
        </is>
      </c>
      <c r="E191" s="72" t="inlineStr">
        <is>
          <t>Bal</t>
        </is>
      </c>
      <c r="F191" s="12" t="n">
        <v>1</v>
      </c>
      <c r="G191" s="12" t="n">
        <v>1</v>
      </c>
      <c r="H191" s="72" t="n"/>
      <c r="I191" s="72" t="n"/>
      <c r="J191" s="72" t="n"/>
      <c r="K191" s="72" t="n"/>
      <c r="L191" s="72" t="inlineStr">
        <is>
          <t>Cash</t>
        </is>
      </c>
    </row>
    <row r="192">
      <c r="A192" s="72" t="inlineStr">
        <is>
          <t>1170-0000</t>
        </is>
      </c>
      <c r="B192" s="72" t="inlineStr">
        <is>
          <t>Transfers to RDG</t>
        </is>
      </c>
      <c r="C192" s="72" t="inlineStr">
        <is>
          <t>Debit</t>
        </is>
      </c>
      <c r="D192" s="72" t="inlineStr">
        <is>
          <t>Reg</t>
        </is>
      </c>
      <c r="E192" s="72" t="inlineStr">
        <is>
          <t>Bal</t>
        </is>
      </c>
      <c r="F192" s="12" t="n">
        <v>1</v>
      </c>
      <c r="G192" s="12" t="n">
        <v>1</v>
      </c>
      <c r="H192" s="72" t="n"/>
      <c r="I192" s="72" t="n"/>
      <c r="J192" s="72" t="n"/>
      <c r="K192" s="72" t="n"/>
      <c r="L192" s="72" t="inlineStr">
        <is>
          <t>Cash</t>
        </is>
      </c>
    </row>
    <row r="193">
      <c r="A193" s="72" t="inlineStr">
        <is>
          <t>1180-0000</t>
        </is>
      </c>
      <c r="B193" s="72" t="inlineStr">
        <is>
          <t>Funds To From Martin &amp; Marbry</t>
        </is>
      </c>
      <c r="C193" s="72" t="inlineStr">
        <is>
          <t>Debit</t>
        </is>
      </c>
      <c r="D193" s="72" t="inlineStr">
        <is>
          <t>Reg</t>
        </is>
      </c>
      <c r="E193" s="72" t="inlineStr">
        <is>
          <t>Bal</t>
        </is>
      </c>
      <c r="F193" s="12" t="n">
        <v>1</v>
      </c>
      <c r="G193" s="12" t="n">
        <v>1</v>
      </c>
      <c r="H193" s="72" t="n"/>
      <c r="I193" s="72" t="n"/>
      <c r="J193" s="72" t="n"/>
      <c r="K193" s="72" t="inlineStr">
        <is>
          <t>2990-0000</t>
        </is>
      </c>
      <c r="L193" s="72" t="inlineStr">
        <is>
          <t>Cash, ExclReg</t>
        </is>
      </c>
    </row>
    <row r="194">
      <c r="A194" s="72" t="inlineStr">
        <is>
          <t>1190-0000</t>
        </is>
      </c>
      <c r="B194" s="72" t="inlineStr">
        <is>
          <t>TOTAL CASH</t>
        </is>
      </c>
      <c r="C194" s="72" t="inlineStr">
        <is>
          <t>Debit</t>
        </is>
      </c>
      <c r="D194" s="72" t="inlineStr">
        <is>
          <t>Tot</t>
        </is>
      </c>
      <c r="E194" s="72" t="inlineStr">
        <is>
          <t>Bal</t>
        </is>
      </c>
      <c r="F194" s="12" t="n">
        <v>2</v>
      </c>
      <c r="G194" s="12" t="n">
        <v>1</v>
      </c>
      <c r="H194" s="72" t="n"/>
      <c r="I194" s="72" t="n"/>
      <c r="J194" s="72" t="n"/>
      <c r="K194" s="72" t="inlineStr">
        <is>
          <t>1990-0000</t>
        </is>
      </c>
      <c r="L194" s="72" t="n"/>
    </row>
    <row r="195">
      <c r="A195" s="72" t="inlineStr">
        <is>
          <t>1190-0020</t>
        </is>
      </c>
      <c r="B195" s="72" t="inlineStr">
        <is>
          <t>American Eagle Bank</t>
        </is>
      </c>
      <c r="C195" s="72" t="inlineStr">
        <is>
          <t>Debit</t>
        </is>
      </c>
      <c r="D195" s="72" t="inlineStr">
        <is>
          <t>Reg</t>
        </is>
      </c>
      <c r="E195" s="72" t="inlineStr">
        <is>
          <t>Bal</t>
        </is>
      </c>
      <c r="F195" s="12" t="n">
        <v>1</v>
      </c>
      <c r="G195" s="12" t="n">
        <v>1</v>
      </c>
      <c r="H195" s="72" t="n"/>
      <c r="I195" s="72" t="n"/>
      <c r="J195" s="72" t="n"/>
      <c r="K195" s="72" t="inlineStr">
        <is>
          <t>1190-0000</t>
        </is>
      </c>
      <c r="L195" s="72" t="inlineStr">
        <is>
          <t>Cash</t>
        </is>
      </c>
    </row>
    <row r="196">
      <c r="A196" s="72" t="inlineStr">
        <is>
          <t>1200-0000</t>
        </is>
      </c>
      <c r="B196" s="72" t="inlineStr">
        <is>
          <t>RESTRICTED CASH</t>
        </is>
      </c>
      <c r="C196" s="72" t="inlineStr">
        <is>
          <t>Debit</t>
        </is>
      </c>
      <c r="D196" s="72" t="inlineStr">
        <is>
          <t>Head</t>
        </is>
      </c>
      <c r="E196" s="72" t="inlineStr">
        <is>
          <t>Bal</t>
        </is>
      </c>
      <c r="F196" s="12" t="n">
        <v>1</v>
      </c>
      <c r="G196" s="12" t="n">
        <v>2</v>
      </c>
      <c r="H196" s="72" t="n"/>
      <c r="I196" s="72" t="n"/>
      <c r="J196" s="72" t="n"/>
      <c r="K196" s="72" t="inlineStr">
        <is>
          <t>1250-0000</t>
        </is>
      </c>
      <c r="L196" s="72" t="n"/>
    </row>
    <row r="197">
      <c r="A197" s="72" t="inlineStr">
        <is>
          <t>1200-0001</t>
        </is>
      </c>
      <c r="B197" s="72" t="inlineStr">
        <is>
          <t>Interest Reserve</t>
        </is>
      </c>
      <c r="C197" s="72" t="inlineStr">
        <is>
          <t>Debit</t>
        </is>
      </c>
      <c r="D197" s="72" t="inlineStr">
        <is>
          <t>Reg</t>
        </is>
      </c>
      <c r="E197" s="72" t="inlineStr">
        <is>
          <t>Bal</t>
        </is>
      </c>
      <c r="F197" s="12" t="n">
        <v>2</v>
      </c>
      <c r="G197" s="12" t="n">
        <v>1</v>
      </c>
      <c r="H197" s="72" t="n"/>
      <c r="I197" s="72" t="n"/>
      <c r="J197" s="72" t="n"/>
      <c r="K197" s="72" t="inlineStr">
        <is>
          <t>1250-0000</t>
        </is>
      </c>
      <c r="L197" s="72" t="inlineStr">
        <is>
          <t>Cash Flow</t>
        </is>
      </c>
    </row>
    <row r="198">
      <c r="A198" s="72" t="inlineStr">
        <is>
          <t>1200-0002</t>
        </is>
      </c>
      <c r="B198" s="72" t="inlineStr">
        <is>
          <t>Insurance &amp; RET Reserves</t>
        </is>
      </c>
      <c r="C198" s="72" t="inlineStr">
        <is>
          <t>Debit</t>
        </is>
      </c>
      <c r="D198" s="72" t="inlineStr">
        <is>
          <t>Reg</t>
        </is>
      </c>
      <c r="E198" s="72" t="inlineStr">
        <is>
          <t>Bal</t>
        </is>
      </c>
      <c r="F198" s="12" t="n">
        <v>2</v>
      </c>
      <c r="G198" s="12" t="n">
        <v>1</v>
      </c>
      <c r="H198" s="72" t="n"/>
      <c r="I198" s="72" t="n"/>
      <c r="J198" s="72" t="n"/>
      <c r="K198" s="72" t="inlineStr">
        <is>
          <t>1250-0000</t>
        </is>
      </c>
      <c r="L198" s="72" t="inlineStr">
        <is>
          <t>Cash Flow</t>
        </is>
      </c>
    </row>
    <row r="199">
      <c r="A199" s="72" t="inlineStr">
        <is>
          <t>1200-0003</t>
        </is>
      </c>
      <c r="B199" s="72" t="inlineStr">
        <is>
          <t>Escrow Reserve</t>
        </is>
      </c>
      <c r="C199" s="72" t="inlineStr">
        <is>
          <t>Debit</t>
        </is>
      </c>
      <c r="D199" s="72" t="inlineStr">
        <is>
          <t>Reg</t>
        </is>
      </c>
      <c r="E199" s="72" t="inlineStr">
        <is>
          <t>Bal</t>
        </is>
      </c>
      <c r="F199" s="12" t="n">
        <v>2</v>
      </c>
      <c r="G199" s="12" t="n">
        <v>1</v>
      </c>
      <c r="H199" s="72" t="n"/>
      <c r="I199" s="72" t="n"/>
      <c r="J199" s="72" t="n"/>
      <c r="K199" s="72" t="inlineStr">
        <is>
          <t>1250-0000</t>
        </is>
      </c>
      <c r="L199" s="72" t="inlineStr">
        <is>
          <t>Cash Flow</t>
        </is>
      </c>
    </row>
    <row r="200">
      <c r="A200" s="72" t="inlineStr">
        <is>
          <t>1200-0004</t>
        </is>
      </c>
      <c r="B200" s="72" t="inlineStr">
        <is>
          <t>Escrow Construction</t>
        </is>
      </c>
      <c r="C200" s="72" t="inlineStr">
        <is>
          <t>Debit</t>
        </is>
      </c>
      <c r="D200" s="72" t="inlineStr">
        <is>
          <t>Reg</t>
        </is>
      </c>
      <c r="E200" s="72" t="inlineStr">
        <is>
          <t>Bal</t>
        </is>
      </c>
      <c r="F200" s="12" t="n">
        <v>2</v>
      </c>
      <c r="G200" s="12" t="n">
        <v>1</v>
      </c>
      <c r="H200" s="72" t="n"/>
      <c r="I200" s="72" t="n"/>
      <c r="J200" s="72" t="n"/>
      <c r="K200" s="72" t="inlineStr">
        <is>
          <t>1250-0000</t>
        </is>
      </c>
      <c r="L200" s="72" t="inlineStr">
        <is>
          <t>Cash Flow</t>
        </is>
      </c>
    </row>
    <row r="201">
      <c r="A201" s="72" t="inlineStr">
        <is>
          <t>1200-0005</t>
        </is>
      </c>
      <c r="B201" s="72" t="inlineStr">
        <is>
          <t>Utility Security Deposits</t>
        </is>
      </c>
      <c r="C201" s="72" t="inlineStr">
        <is>
          <t>Debit</t>
        </is>
      </c>
      <c r="D201" s="72" t="inlineStr">
        <is>
          <t>Reg</t>
        </is>
      </c>
      <c r="E201" s="72" t="inlineStr">
        <is>
          <t>Bal</t>
        </is>
      </c>
      <c r="F201" s="12" t="n">
        <v>2</v>
      </c>
      <c r="G201" s="12" t="n">
        <v>1</v>
      </c>
      <c r="H201" s="72" t="n"/>
      <c r="I201" s="72" t="n"/>
      <c r="J201" s="72" t="n"/>
      <c r="K201" s="72" t="inlineStr">
        <is>
          <t>1250-0000</t>
        </is>
      </c>
      <c r="L201" s="72" t="inlineStr">
        <is>
          <t>Cash Flow</t>
        </is>
      </c>
    </row>
    <row r="202">
      <c r="A202" s="72" t="inlineStr">
        <is>
          <t>1200-0006</t>
        </is>
      </c>
      <c r="B202" s="72" t="inlineStr">
        <is>
          <t>Crown Point West Centier</t>
        </is>
      </c>
      <c r="C202" s="72" t="inlineStr">
        <is>
          <t>Debit</t>
        </is>
      </c>
      <c r="D202" s="72" t="inlineStr">
        <is>
          <t>Reg</t>
        </is>
      </c>
      <c r="E202" s="72" t="inlineStr">
        <is>
          <t>Bal</t>
        </is>
      </c>
      <c r="F202" s="12" t="n">
        <v>2</v>
      </c>
      <c r="G202" s="12" t="n">
        <v>1</v>
      </c>
      <c r="H202" s="72" t="n"/>
      <c r="I202" s="72" t="n"/>
      <c r="J202" s="72" t="n"/>
      <c r="K202" s="72" t="inlineStr">
        <is>
          <t>1250-0000</t>
        </is>
      </c>
      <c r="L202" s="72" t="inlineStr">
        <is>
          <t>Cash</t>
        </is>
      </c>
    </row>
    <row r="203">
      <c r="A203" s="72" t="inlineStr">
        <is>
          <t>1200-0007</t>
        </is>
      </c>
      <c r="B203" s="72" t="inlineStr">
        <is>
          <t>HSS FBC Pledged DDA</t>
        </is>
      </c>
      <c r="C203" s="72" t="inlineStr">
        <is>
          <t>Debit</t>
        </is>
      </c>
      <c r="D203" s="72" t="inlineStr">
        <is>
          <t>Reg</t>
        </is>
      </c>
      <c r="E203" s="72" t="inlineStr">
        <is>
          <t>Bal</t>
        </is>
      </c>
      <c r="F203" s="12" t="n">
        <v>2</v>
      </c>
      <c r="G203" s="12" t="n">
        <v>1</v>
      </c>
      <c r="H203" s="72" t="n"/>
      <c r="I203" s="72" t="n"/>
      <c r="J203" s="72" t="n"/>
      <c r="K203" s="72" t="inlineStr">
        <is>
          <t>1250-0000</t>
        </is>
      </c>
      <c r="L203" s="72" t="inlineStr">
        <is>
          <t>Cash</t>
        </is>
      </c>
    </row>
    <row r="204">
      <c r="A204" s="72" t="inlineStr">
        <is>
          <t>1200-0008</t>
        </is>
      </c>
      <c r="B204" s="72" t="inlineStr">
        <is>
          <t>SS of Crown Point West Held</t>
        </is>
      </c>
      <c r="C204" s="72" t="inlineStr">
        <is>
          <t>Debit</t>
        </is>
      </c>
      <c r="D204" s="72" t="inlineStr">
        <is>
          <t>Reg</t>
        </is>
      </c>
      <c r="E204" s="72" t="inlineStr">
        <is>
          <t>Bal</t>
        </is>
      </c>
      <c r="F204" s="12" t="n">
        <v>2</v>
      </c>
      <c r="G204" s="12" t="n">
        <v>1</v>
      </c>
      <c r="H204" s="72" t="n"/>
      <c r="I204" s="72" t="n"/>
      <c r="J204" s="72" t="n"/>
      <c r="K204" s="72" t="inlineStr">
        <is>
          <t>1250-0000</t>
        </is>
      </c>
      <c r="L204" s="72" t="inlineStr">
        <is>
          <t>Cash</t>
        </is>
      </c>
    </row>
    <row r="205">
      <c r="A205" s="72" t="inlineStr">
        <is>
          <t>1200-0009</t>
        </is>
      </c>
      <c r="B205" s="72" t="inlineStr">
        <is>
          <t>2201 3rd Party Operating Account</t>
        </is>
      </c>
      <c r="C205" s="72" t="inlineStr">
        <is>
          <t>Debit</t>
        </is>
      </c>
      <c r="D205" s="72" t="inlineStr">
        <is>
          <t>Reg</t>
        </is>
      </c>
      <c r="E205" s="72" t="inlineStr">
        <is>
          <t>Bal</t>
        </is>
      </c>
      <c r="F205" s="12" t="n">
        <v>2</v>
      </c>
      <c r="G205" s="12" t="n">
        <v>1</v>
      </c>
      <c r="H205" s="72" t="n"/>
      <c r="I205" s="72" t="n"/>
      <c r="J205" s="72" t="n"/>
      <c r="K205" s="72" t="inlineStr">
        <is>
          <t>1250-0000</t>
        </is>
      </c>
      <c r="L205" s="72" t="inlineStr">
        <is>
          <t>Cash</t>
        </is>
      </c>
    </row>
    <row r="206">
      <c r="A206" s="72" t="inlineStr">
        <is>
          <t>1250-0000</t>
        </is>
      </c>
      <c r="B206" s="72" t="inlineStr">
        <is>
          <t>TOTAL RESTRICTED CASH</t>
        </is>
      </c>
      <c r="C206" s="72" t="inlineStr">
        <is>
          <t>Debit</t>
        </is>
      </c>
      <c r="D206" s="72" t="inlineStr">
        <is>
          <t>Tot</t>
        </is>
      </c>
      <c r="E206" s="72" t="inlineStr">
        <is>
          <t>Bal</t>
        </is>
      </c>
      <c r="F206" s="12" t="n">
        <v>2</v>
      </c>
      <c r="G206" s="12" t="n">
        <v>1</v>
      </c>
      <c r="H206" s="72" t="n"/>
      <c r="I206" s="72" t="n"/>
      <c r="J206" s="72" t="n"/>
      <c r="K206" s="72" t="inlineStr">
        <is>
          <t>1990-0000</t>
        </is>
      </c>
      <c r="L206" s="72" t="n"/>
    </row>
    <row r="207">
      <c r="A207" s="72" t="inlineStr">
        <is>
          <t>1300-0000</t>
        </is>
      </c>
      <c r="B207" s="72" t="inlineStr">
        <is>
          <t>Accounts Receivable</t>
        </is>
      </c>
      <c r="C207" s="72" t="inlineStr">
        <is>
          <t>Debit</t>
        </is>
      </c>
      <c r="D207" s="72" t="inlineStr">
        <is>
          <t>Reg</t>
        </is>
      </c>
      <c r="E207" s="72" t="inlineStr">
        <is>
          <t>Bal</t>
        </is>
      </c>
      <c r="F207" s="12" t="n">
        <v>1</v>
      </c>
      <c r="G207" s="12" t="n">
        <v>2</v>
      </c>
      <c r="H207" s="72" t="n"/>
      <c r="I207" s="72" t="n"/>
      <c r="J207" s="72" t="n"/>
      <c r="K207" s="72" t="inlineStr">
        <is>
          <t>1990-0000</t>
        </is>
      </c>
      <c r="L207" s="72" t="inlineStr">
        <is>
          <t>Cash Flow, AR</t>
        </is>
      </c>
    </row>
    <row r="208">
      <c r="A208" s="72" t="inlineStr">
        <is>
          <t>1350-0000</t>
        </is>
      </c>
      <c r="B208" s="72" t="inlineStr">
        <is>
          <t>Pre-Paid Expenses</t>
        </is>
      </c>
      <c r="C208" s="72" t="inlineStr">
        <is>
          <t>Debit</t>
        </is>
      </c>
      <c r="D208" s="72" t="inlineStr">
        <is>
          <t>Head</t>
        </is>
      </c>
      <c r="E208" s="72" t="inlineStr">
        <is>
          <t>Bal</t>
        </is>
      </c>
      <c r="F208" s="12" t="n">
        <v>1</v>
      </c>
      <c r="G208" s="12" t="n">
        <v>2</v>
      </c>
      <c r="H208" s="72" t="n"/>
      <c r="I208" s="72" t="n"/>
      <c r="J208" s="72" t="n"/>
      <c r="K208" s="72" t="inlineStr">
        <is>
          <t>1350-9999</t>
        </is>
      </c>
      <c r="L208" s="72" t="n"/>
    </row>
    <row r="209">
      <c r="A209" s="72" t="inlineStr">
        <is>
          <t>1350-0001</t>
        </is>
      </c>
      <c r="B209" s="72" t="inlineStr">
        <is>
          <t>Pre-Paid Insurance</t>
        </is>
      </c>
      <c r="C209" s="72" t="inlineStr">
        <is>
          <t>Debit</t>
        </is>
      </c>
      <c r="D209" s="72" t="inlineStr">
        <is>
          <t>Reg</t>
        </is>
      </c>
      <c r="E209" s="72" t="inlineStr">
        <is>
          <t>Bal</t>
        </is>
      </c>
      <c r="F209" s="12" t="n">
        <v>1</v>
      </c>
      <c r="G209" s="12" t="n">
        <v>1</v>
      </c>
      <c r="H209" s="72" t="n"/>
      <c r="I209" s="72" t="n"/>
      <c r="J209" s="72" t="n"/>
      <c r="K209" s="72" t="inlineStr">
        <is>
          <t>1350-9999</t>
        </is>
      </c>
      <c r="L209" s="72" t="inlineStr">
        <is>
          <t>Cash Flow</t>
        </is>
      </c>
    </row>
    <row r="210">
      <c r="A210" s="72" t="inlineStr">
        <is>
          <t>1350-0002</t>
        </is>
      </c>
      <c r="B210" s="72" t="inlineStr">
        <is>
          <t>Pre-Paid Association Fees</t>
        </is>
      </c>
      <c r="C210" s="72" t="inlineStr">
        <is>
          <t>Debit</t>
        </is>
      </c>
      <c r="D210" s="72" t="inlineStr">
        <is>
          <t>Reg</t>
        </is>
      </c>
      <c r="E210" s="72" t="inlineStr">
        <is>
          <t>Bal</t>
        </is>
      </c>
      <c r="F210" s="12" t="n">
        <v>1</v>
      </c>
      <c r="G210" s="12" t="n">
        <v>1</v>
      </c>
      <c r="H210" s="72" t="n"/>
      <c r="I210" s="72" t="n"/>
      <c r="J210" s="72" t="n"/>
      <c r="K210" s="72" t="inlineStr">
        <is>
          <t>1350-9999</t>
        </is>
      </c>
      <c r="L210" s="72" t="inlineStr">
        <is>
          <t>Cash Flow</t>
        </is>
      </c>
    </row>
    <row r="211">
      <c r="A211" s="72" t="inlineStr">
        <is>
          <t>1350-9000</t>
        </is>
      </c>
      <c r="B211" s="72" t="inlineStr">
        <is>
          <t>Pre-Paid Expenses - Other</t>
        </is>
      </c>
      <c r="C211" s="72" t="inlineStr">
        <is>
          <t>Debit</t>
        </is>
      </c>
      <c r="D211" s="72" t="inlineStr">
        <is>
          <t>Reg</t>
        </is>
      </c>
      <c r="E211" s="72" t="inlineStr">
        <is>
          <t>Bal</t>
        </is>
      </c>
      <c r="F211" s="12" t="n">
        <v>1</v>
      </c>
      <c r="G211" s="12" t="n">
        <v>1</v>
      </c>
      <c r="H211" s="72" t="n"/>
      <c r="I211" s="72" t="n"/>
      <c r="J211" s="72" t="n"/>
      <c r="K211" s="72" t="inlineStr">
        <is>
          <t>1350-9999</t>
        </is>
      </c>
      <c r="L211" s="72" t="inlineStr">
        <is>
          <t>Cash Flow</t>
        </is>
      </c>
    </row>
    <row r="212">
      <c r="A212" s="72" t="inlineStr">
        <is>
          <t>1350-9999</t>
        </is>
      </c>
      <c r="B212" s="72" t="inlineStr">
        <is>
          <t>Total Pre-Paid Expenses</t>
        </is>
      </c>
      <c r="C212" s="72" t="inlineStr">
        <is>
          <t>Debit</t>
        </is>
      </c>
      <c r="D212" s="72" t="inlineStr">
        <is>
          <t>Tot</t>
        </is>
      </c>
      <c r="E212" s="72" t="inlineStr">
        <is>
          <t>Bal</t>
        </is>
      </c>
      <c r="F212" s="12" t="n">
        <v>2</v>
      </c>
      <c r="G212" s="12" t="n">
        <v>1</v>
      </c>
      <c r="H212" s="72" t="n"/>
      <c r="I212" s="72" t="n"/>
      <c r="J212" s="72" t="n"/>
      <c r="K212" s="72" t="inlineStr">
        <is>
          <t>1990-0000</t>
        </is>
      </c>
      <c r="L212" s="72" t="n"/>
    </row>
    <row r="213">
      <c r="A213" s="72" t="inlineStr">
        <is>
          <t>1400-0000</t>
        </is>
      </c>
      <c r="B213" s="72" t="inlineStr">
        <is>
          <t>PROPERTY</t>
        </is>
      </c>
      <c r="C213" s="72" t="inlineStr">
        <is>
          <t>Debit</t>
        </is>
      </c>
      <c r="D213" s="72" t="inlineStr">
        <is>
          <t>Head</t>
        </is>
      </c>
      <c r="E213" s="72" t="inlineStr">
        <is>
          <t>Bal</t>
        </is>
      </c>
      <c r="F213" s="12" t="n">
        <v>1</v>
      </c>
      <c r="G213" s="12" t="n">
        <v>2</v>
      </c>
      <c r="H213" s="72" t="n"/>
      <c r="I213" s="72" t="n"/>
      <c r="J213" s="72" t="n"/>
      <c r="K213" s="72" t="inlineStr">
        <is>
          <t>1890-0000</t>
        </is>
      </c>
      <c r="L213" s="72" t="n"/>
    </row>
    <row r="214">
      <c r="A214" s="72" t="inlineStr">
        <is>
          <t>1401-0000</t>
        </is>
      </c>
      <c r="B214" s="72" t="inlineStr">
        <is>
          <t>Property</t>
        </is>
      </c>
      <c r="C214" s="72" t="inlineStr">
        <is>
          <t>Debit</t>
        </is>
      </c>
      <c r="D214" s="72" t="inlineStr">
        <is>
          <t>Reg</t>
        </is>
      </c>
      <c r="E214" s="72" t="inlineStr">
        <is>
          <t>Bal</t>
        </is>
      </c>
      <c r="F214" s="12" t="n">
        <v>1</v>
      </c>
      <c r="G214" s="12" t="n">
        <v>1</v>
      </c>
      <c r="H214" s="72" t="n"/>
      <c r="I214" s="72" t="n"/>
      <c r="J214" s="72" t="n"/>
      <c r="K214" s="72" t="inlineStr">
        <is>
          <t>1890-0000</t>
        </is>
      </c>
      <c r="L214" s="72" t="inlineStr">
        <is>
          <t>Cash Flow</t>
        </is>
      </c>
    </row>
    <row r="215">
      <c r="A215" s="72" t="inlineStr">
        <is>
          <t>1401-0001</t>
        </is>
      </c>
      <c r="B215" s="72" t="inlineStr">
        <is>
          <t>Single Family Home</t>
        </is>
      </c>
      <c r="C215" s="72" t="inlineStr">
        <is>
          <t>Debit</t>
        </is>
      </c>
      <c r="D215" s="72" t="inlineStr">
        <is>
          <t>Reg</t>
        </is>
      </c>
      <c r="E215" s="72" t="inlineStr">
        <is>
          <t>Bal</t>
        </is>
      </c>
      <c r="F215" s="12" t="n">
        <v>1</v>
      </c>
      <c r="G215" s="12" t="n">
        <v>1</v>
      </c>
      <c r="H215" s="72" t="n"/>
      <c r="I215" s="72" t="n"/>
      <c r="J215" s="72" t="n"/>
      <c r="K215" s="72" t="inlineStr">
        <is>
          <t>1890-0000</t>
        </is>
      </c>
      <c r="L215" s="72" t="inlineStr">
        <is>
          <t>Cash Flow</t>
        </is>
      </c>
    </row>
    <row r="216">
      <c r="A216" s="72" t="inlineStr">
        <is>
          <t>1401-0002</t>
        </is>
      </c>
      <c r="B216" s="72" t="inlineStr">
        <is>
          <t>Condo</t>
        </is>
      </c>
      <c r="C216" s="72" t="inlineStr">
        <is>
          <t>Debit</t>
        </is>
      </c>
      <c r="D216" s="72" t="inlineStr">
        <is>
          <t>Reg</t>
        </is>
      </c>
      <c r="E216" s="72" t="inlineStr">
        <is>
          <t>Bal</t>
        </is>
      </c>
      <c r="F216" s="12" t="n">
        <v>1</v>
      </c>
      <c r="G216" s="12" t="n">
        <v>1</v>
      </c>
      <c r="H216" s="72" t="n"/>
      <c r="I216" s="72" t="n"/>
      <c r="J216" s="72" t="n"/>
      <c r="K216" s="72" t="inlineStr">
        <is>
          <t>1890-0000</t>
        </is>
      </c>
      <c r="L216" s="72" t="inlineStr">
        <is>
          <t>Cash Flow</t>
        </is>
      </c>
    </row>
    <row r="217">
      <c r="A217" s="72" t="inlineStr">
        <is>
          <t>1401-0003</t>
        </is>
      </c>
      <c r="B217" s="72" t="inlineStr">
        <is>
          <t>Commercial Building</t>
        </is>
      </c>
      <c r="C217" s="72" t="inlineStr">
        <is>
          <t>Debit</t>
        </is>
      </c>
      <c r="D217" s="72" t="inlineStr">
        <is>
          <t>Reg</t>
        </is>
      </c>
      <c r="E217" s="72" t="inlineStr">
        <is>
          <t>Bal</t>
        </is>
      </c>
      <c r="F217" s="12" t="n">
        <v>1</v>
      </c>
      <c r="G217" s="12" t="n">
        <v>1</v>
      </c>
      <c r="H217" s="72" t="n"/>
      <c r="I217" s="72" t="n"/>
      <c r="J217" s="72" t="n"/>
      <c r="K217" s="72" t="inlineStr">
        <is>
          <t>1890-0000</t>
        </is>
      </c>
      <c r="L217" s="72" t="inlineStr">
        <is>
          <t>Cash Flow</t>
        </is>
      </c>
    </row>
    <row r="218">
      <c r="A218" s="72" t="inlineStr">
        <is>
          <t>1401-0004</t>
        </is>
      </c>
      <c r="B218" s="72" t="inlineStr">
        <is>
          <t>MASS Units</t>
        </is>
      </c>
      <c r="C218" s="72" t="inlineStr">
        <is>
          <t>Debit</t>
        </is>
      </c>
      <c r="D218" s="72" t="inlineStr">
        <is>
          <t>Reg</t>
        </is>
      </c>
      <c r="E218" s="72" t="inlineStr">
        <is>
          <t>Bal</t>
        </is>
      </c>
      <c r="F218" s="12" t="n">
        <v>1</v>
      </c>
      <c r="G218" s="12" t="n">
        <v>1</v>
      </c>
      <c r="H218" s="72" t="n"/>
      <c r="I218" s="72" t="n"/>
      <c r="J218" s="72" t="n"/>
      <c r="K218" s="72" t="inlineStr">
        <is>
          <t>1890-0000</t>
        </is>
      </c>
      <c r="L218" s="72" t="inlineStr">
        <is>
          <t>Cash Flow</t>
        </is>
      </c>
    </row>
    <row r="219">
      <c r="A219" s="72" t="inlineStr">
        <is>
          <t>1401-0100</t>
        </is>
      </c>
      <c r="B219" s="72" t="inlineStr">
        <is>
          <t>Funds Held For Closing</t>
        </is>
      </c>
      <c r="C219" s="72" t="inlineStr">
        <is>
          <t>Debit</t>
        </is>
      </c>
      <c r="D219" s="72" t="inlineStr">
        <is>
          <t>Reg</t>
        </is>
      </c>
      <c r="E219" s="72" t="inlineStr">
        <is>
          <t>Bal</t>
        </is>
      </c>
      <c r="F219" s="12" t="n">
        <v>1</v>
      </c>
      <c r="G219" s="12" t="n">
        <v>1</v>
      </c>
      <c r="H219" s="72" t="n"/>
      <c r="I219" s="72" t="n"/>
      <c r="J219" s="72" t="n"/>
      <c r="K219" s="72" t="inlineStr">
        <is>
          <t>1890-0000</t>
        </is>
      </c>
      <c r="L219" s="72" t="inlineStr">
        <is>
          <t>Cash Flow</t>
        </is>
      </c>
    </row>
    <row r="220">
      <c r="A220" s="72" t="inlineStr">
        <is>
          <t>1401-1000</t>
        </is>
      </c>
      <c r="B220" s="72" t="inlineStr">
        <is>
          <t>Auction Funds</t>
        </is>
      </c>
      <c r="C220" s="72" t="inlineStr">
        <is>
          <t>Debit</t>
        </is>
      </c>
      <c r="D220" s="72" t="inlineStr">
        <is>
          <t>Reg</t>
        </is>
      </c>
      <c r="E220" s="72" t="inlineStr">
        <is>
          <t>Bal</t>
        </is>
      </c>
      <c r="F220" s="12" t="n">
        <v>1</v>
      </c>
      <c r="G220" s="12" t="n">
        <v>1</v>
      </c>
      <c r="H220" s="72" t="n"/>
      <c r="I220" s="72" t="n"/>
      <c r="J220" s="72" t="n"/>
      <c r="K220" s="72" t="inlineStr">
        <is>
          <t>1890-0000</t>
        </is>
      </c>
      <c r="L220" s="72" t="inlineStr">
        <is>
          <t>Cash Flow</t>
        </is>
      </c>
    </row>
    <row r="221">
      <c r="A221" s="72" t="inlineStr">
        <is>
          <t>1410-0000</t>
        </is>
      </c>
      <c r="B221" s="72" t="inlineStr">
        <is>
          <t>Land</t>
        </is>
      </c>
      <c r="C221" s="72" t="inlineStr">
        <is>
          <t>Debit</t>
        </is>
      </c>
      <c r="D221" s="72" t="inlineStr">
        <is>
          <t>Reg</t>
        </is>
      </c>
      <c r="E221" s="72" t="inlineStr">
        <is>
          <t>Bal</t>
        </is>
      </c>
      <c r="F221" s="12" t="n">
        <v>1</v>
      </c>
      <c r="G221" s="12" t="n">
        <v>1</v>
      </c>
      <c r="H221" s="72" t="n"/>
      <c r="I221" s="72" t="n"/>
      <c r="J221" s="72" t="n"/>
      <c r="K221" s="72" t="inlineStr">
        <is>
          <t>1890-0000</t>
        </is>
      </c>
      <c r="L221" s="72" t="inlineStr">
        <is>
          <t>Cash Flow</t>
        </is>
      </c>
    </row>
    <row r="222">
      <c r="A222" s="72" t="inlineStr">
        <is>
          <t>1410-0001</t>
        </is>
      </c>
      <c r="B222" s="72" t="inlineStr">
        <is>
          <t>Land  754 Adj</t>
        </is>
      </c>
      <c r="C222" s="72" t="inlineStr">
        <is>
          <t>Debit</t>
        </is>
      </c>
      <c r="D222" s="72" t="inlineStr">
        <is>
          <t>Reg</t>
        </is>
      </c>
      <c r="E222" s="72" t="inlineStr">
        <is>
          <t>Bal</t>
        </is>
      </c>
      <c r="F222" s="12" t="n">
        <v>1</v>
      </c>
      <c r="G222" s="12" t="n">
        <v>1</v>
      </c>
      <c r="H222" s="72" t="n"/>
      <c r="I222" s="72" t="n"/>
      <c r="J222" s="72" t="n"/>
      <c r="K222" s="72" t="inlineStr">
        <is>
          <t>1890-0000</t>
        </is>
      </c>
      <c r="L222" s="72" t="inlineStr">
        <is>
          <t>Cash Flow</t>
        </is>
      </c>
    </row>
    <row r="223">
      <c r="A223" s="72" t="inlineStr">
        <is>
          <t>1410-1000</t>
        </is>
      </c>
      <c r="B223" s="72" t="inlineStr">
        <is>
          <t>Investment in 1341 Foster</t>
        </is>
      </c>
      <c r="C223" s="72" t="inlineStr">
        <is>
          <t>Debit</t>
        </is>
      </c>
      <c r="D223" s="72" t="inlineStr">
        <is>
          <t>Reg</t>
        </is>
      </c>
      <c r="E223" s="72" t="inlineStr">
        <is>
          <t>Bal</t>
        </is>
      </c>
      <c r="F223" s="12" t="n">
        <v>1</v>
      </c>
      <c r="G223" s="12" t="n">
        <v>1</v>
      </c>
      <c r="H223" s="72" t="n"/>
      <c r="I223" s="72" t="n"/>
      <c r="J223" s="72" t="n"/>
      <c r="K223" s="72" t="inlineStr">
        <is>
          <t>1890-0000</t>
        </is>
      </c>
      <c r="L223" s="72" t="inlineStr">
        <is>
          <t>Cash Flow</t>
        </is>
      </c>
    </row>
    <row r="224">
      <c r="A224" s="72" t="inlineStr">
        <is>
          <t>1411-0000</t>
        </is>
      </c>
      <c r="B224" s="72" t="inlineStr">
        <is>
          <t>Inv Holdings 1602 Darrow</t>
        </is>
      </c>
      <c r="C224" s="72" t="inlineStr">
        <is>
          <t>Debit</t>
        </is>
      </c>
      <c r="D224" s="72" t="inlineStr">
        <is>
          <t>Reg</t>
        </is>
      </c>
      <c r="E224" s="72" t="inlineStr">
        <is>
          <t>Bal</t>
        </is>
      </c>
      <c r="F224" s="12" t="n">
        <v>1</v>
      </c>
      <c r="G224" s="12" t="n">
        <v>1</v>
      </c>
      <c r="H224" s="72" t="n"/>
      <c r="I224" s="72" t="n"/>
      <c r="J224" s="72" t="n"/>
      <c r="K224" s="72" t="inlineStr">
        <is>
          <t>1890-0000</t>
        </is>
      </c>
      <c r="L224" s="72" t="inlineStr">
        <is>
          <t>Cash Flow</t>
        </is>
      </c>
    </row>
    <row r="225">
      <c r="A225" s="72" t="inlineStr">
        <is>
          <t>1412-0000</t>
        </is>
      </c>
      <c r="B225" s="72" t="inlineStr">
        <is>
          <t>Inv Holdings 5408 63rd Street</t>
        </is>
      </c>
      <c r="C225" s="72" t="inlineStr">
        <is>
          <t>Debit</t>
        </is>
      </c>
      <c r="D225" s="72" t="inlineStr">
        <is>
          <t>Reg</t>
        </is>
      </c>
      <c r="E225" s="72" t="inlineStr">
        <is>
          <t>Bal</t>
        </is>
      </c>
      <c r="F225" s="12" t="n">
        <v>1</v>
      </c>
      <c r="G225" s="12" t="n">
        <v>1</v>
      </c>
      <c r="H225" s="72" t="n"/>
      <c r="I225" s="72" t="n"/>
      <c r="J225" s="72" t="n"/>
      <c r="K225" s="72" t="inlineStr">
        <is>
          <t>1890-0000</t>
        </is>
      </c>
      <c r="L225" s="72" t="inlineStr">
        <is>
          <t>Cash Flow</t>
        </is>
      </c>
    </row>
    <row r="226">
      <c r="A226" s="72" t="inlineStr">
        <is>
          <t>1412-1000</t>
        </is>
      </c>
      <c r="B226" s="72" t="inlineStr">
        <is>
          <t>Inv Holdings 9523 74th Street</t>
        </is>
      </c>
      <c r="C226" s="72" t="inlineStr">
        <is>
          <t>Debit</t>
        </is>
      </c>
      <c r="D226" s="72" t="inlineStr">
        <is>
          <t>Reg</t>
        </is>
      </c>
      <c r="E226" s="72" t="inlineStr">
        <is>
          <t>Bal</t>
        </is>
      </c>
      <c r="F226" s="12" t="n">
        <v>1</v>
      </c>
      <c r="G226" s="12" t="n">
        <v>1</v>
      </c>
      <c r="H226" s="72" t="n"/>
      <c r="I226" s="72" t="n"/>
      <c r="J226" s="72" t="n"/>
      <c r="K226" s="72" t="inlineStr">
        <is>
          <t>1890-0000</t>
        </is>
      </c>
      <c r="L226" s="72" t="inlineStr">
        <is>
          <t>Cash Flow</t>
        </is>
      </c>
    </row>
    <row r="227">
      <c r="A227" s="72" t="inlineStr">
        <is>
          <t>1413-0000</t>
        </is>
      </c>
      <c r="B227" s="72" t="inlineStr">
        <is>
          <t>Inv Holdings 6333 N Milwaukee</t>
        </is>
      </c>
      <c r="C227" s="72" t="inlineStr">
        <is>
          <t>Debit</t>
        </is>
      </c>
      <c r="D227" s="72" t="inlineStr">
        <is>
          <t>Reg</t>
        </is>
      </c>
      <c r="E227" s="72" t="inlineStr">
        <is>
          <t>Bal</t>
        </is>
      </c>
      <c r="F227" s="12" t="n">
        <v>1</v>
      </c>
      <c r="G227" s="12" t="n">
        <v>1</v>
      </c>
      <c r="H227" s="72" t="n"/>
      <c r="I227" s="72" t="n"/>
      <c r="J227" s="72" t="n"/>
      <c r="K227" s="72" t="inlineStr">
        <is>
          <t>1890-0000</t>
        </is>
      </c>
      <c r="L227" s="72" t="inlineStr">
        <is>
          <t>Cash Flow</t>
        </is>
      </c>
    </row>
    <row r="228">
      <c r="A228" s="72" t="inlineStr">
        <is>
          <t>1414-0000</t>
        </is>
      </c>
      <c r="B228" s="72" t="inlineStr">
        <is>
          <t>Inv Holdings 9446 73rd Street</t>
        </is>
      </c>
      <c r="C228" s="72" t="inlineStr">
        <is>
          <t>Debit</t>
        </is>
      </c>
      <c r="D228" s="72" t="inlineStr">
        <is>
          <t>Reg</t>
        </is>
      </c>
      <c r="E228" s="72" t="inlineStr">
        <is>
          <t>Bal</t>
        </is>
      </c>
      <c r="F228" s="12" t="n">
        <v>1</v>
      </c>
      <c r="G228" s="12" t="n">
        <v>1</v>
      </c>
      <c r="H228" s="72" t="n"/>
      <c r="I228" s="72" t="n"/>
      <c r="J228" s="72" t="n"/>
      <c r="K228" s="72" t="inlineStr">
        <is>
          <t>1890-0000</t>
        </is>
      </c>
      <c r="L228" s="72" t="inlineStr">
        <is>
          <t>Cash Flow</t>
        </is>
      </c>
    </row>
    <row r="229">
      <c r="A229" s="72" t="inlineStr">
        <is>
          <t>1415-0000</t>
        </is>
      </c>
      <c r="B229" s="72" t="inlineStr">
        <is>
          <t>Inv Holdings 9621 64th Street</t>
        </is>
      </c>
      <c r="C229" s="72" t="inlineStr">
        <is>
          <t>Debit</t>
        </is>
      </c>
      <c r="D229" s="72" t="inlineStr">
        <is>
          <t>Reg</t>
        </is>
      </c>
      <c r="E229" s="72" t="inlineStr">
        <is>
          <t>Bal</t>
        </is>
      </c>
      <c r="F229" s="12" t="n">
        <v>1</v>
      </c>
      <c r="G229" s="12" t="n">
        <v>1</v>
      </c>
      <c r="H229" s="72" t="n"/>
      <c r="I229" s="72" t="n"/>
      <c r="J229" s="72" t="n"/>
      <c r="K229" s="72" t="inlineStr">
        <is>
          <t>1890-0000</t>
        </is>
      </c>
      <c r="L229" s="72" t="inlineStr">
        <is>
          <t>Cash Flow</t>
        </is>
      </c>
    </row>
    <row r="230">
      <c r="A230" s="72" t="inlineStr">
        <is>
          <t>1416-0000</t>
        </is>
      </c>
      <c r="B230" s="72" t="inlineStr">
        <is>
          <t>Inv Holdings 10010 63rd Street</t>
        </is>
      </c>
      <c r="C230" s="72" t="inlineStr">
        <is>
          <t>Debit</t>
        </is>
      </c>
      <c r="D230" s="72" t="inlineStr">
        <is>
          <t>Reg</t>
        </is>
      </c>
      <c r="E230" s="72" t="inlineStr">
        <is>
          <t>Bal</t>
        </is>
      </c>
      <c r="F230" s="12" t="n">
        <v>1</v>
      </c>
      <c r="G230" s="12" t="n">
        <v>1</v>
      </c>
      <c r="H230" s="72" t="n"/>
      <c r="I230" s="72" t="n"/>
      <c r="J230" s="72" t="n"/>
      <c r="K230" s="72" t="inlineStr">
        <is>
          <t>1890-0000</t>
        </is>
      </c>
      <c r="L230" s="72" t="inlineStr">
        <is>
          <t>Cash Flow</t>
        </is>
      </c>
    </row>
    <row r="231">
      <c r="A231" s="72" t="inlineStr">
        <is>
          <t>1417-0000</t>
        </is>
      </c>
      <c r="B231" s="72" t="inlineStr">
        <is>
          <t>Inv Holdings 5025 TO 5043 Carmen</t>
        </is>
      </c>
      <c r="C231" s="72" t="inlineStr">
        <is>
          <t>Debit</t>
        </is>
      </c>
      <c r="D231" s="72" t="inlineStr">
        <is>
          <t>Reg</t>
        </is>
      </c>
      <c r="E231" s="72" t="inlineStr">
        <is>
          <t>Bal</t>
        </is>
      </c>
      <c r="F231" s="12" t="n">
        <v>1</v>
      </c>
      <c r="G231" s="12" t="n">
        <v>1</v>
      </c>
      <c r="H231" s="72" t="n"/>
      <c r="I231" s="72" t="n"/>
      <c r="J231" s="72" t="n"/>
      <c r="K231" s="72" t="inlineStr">
        <is>
          <t>1890-0000</t>
        </is>
      </c>
      <c r="L231" s="72" t="inlineStr">
        <is>
          <t>Cash Flow</t>
        </is>
      </c>
    </row>
    <row r="232">
      <c r="A232" s="72" t="inlineStr">
        <is>
          <t>1418-0000</t>
        </is>
      </c>
      <c r="B232" s="72" t="inlineStr">
        <is>
          <t>Inv Holdings 6818 N Ashland Unit 1A Chicago IL</t>
        </is>
      </c>
      <c r="C232" s="72" t="inlineStr">
        <is>
          <t>Debit</t>
        </is>
      </c>
      <c r="D232" s="72" t="inlineStr">
        <is>
          <t>Reg</t>
        </is>
      </c>
      <c r="E232" s="72" t="inlineStr">
        <is>
          <t>Bal</t>
        </is>
      </c>
      <c r="F232" s="12" t="n">
        <v>1</v>
      </c>
      <c r="G232" s="12" t="n">
        <v>1</v>
      </c>
      <c r="H232" s="72" t="n"/>
      <c r="I232" s="72" t="n"/>
      <c r="J232" s="72" t="n"/>
      <c r="K232" s="72" t="inlineStr">
        <is>
          <t>1890-0000</t>
        </is>
      </c>
      <c r="L232" s="72" t="inlineStr">
        <is>
          <t>Cash Flow</t>
        </is>
      </c>
    </row>
    <row r="233">
      <c r="A233" s="72" t="inlineStr">
        <is>
          <t>1419-0000</t>
        </is>
      </c>
      <c r="B233" s="72" t="inlineStr">
        <is>
          <t>Inv Holdings 3839 N Ashland Chicago IL</t>
        </is>
      </c>
      <c r="C233" s="72" t="inlineStr">
        <is>
          <t>Debit</t>
        </is>
      </c>
      <c r="D233" s="72" t="inlineStr">
        <is>
          <t>Reg</t>
        </is>
      </c>
      <c r="E233" s="72" t="inlineStr">
        <is>
          <t>Bal</t>
        </is>
      </c>
      <c r="F233" s="12" t="n">
        <v>1</v>
      </c>
      <c r="G233" s="12" t="n">
        <v>1</v>
      </c>
      <c r="H233" s="72" t="n"/>
      <c r="I233" s="72" t="n"/>
      <c r="J233" s="72" t="n"/>
      <c r="K233" s="72" t="inlineStr">
        <is>
          <t>1890-0000</t>
        </is>
      </c>
      <c r="L233" s="72" t="inlineStr">
        <is>
          <t>Cash Flow</t>
        </is>
      </c>
    </row>
    <row r="234">
      <c r="A234" s="72" t="inlineStr">
        <is>
          <t>1420-0000</t>
        </is>
      </c>
      <c r="B234" s="72" t="inlineStr">
        <is>
          <t>Inv Holdings 1747 W Wallen Chicago, IL</t>
        </is>
      </c>
      <c r="C234" s="72" t="inlineStr">
        <is>
          <t>Debit</t>
        </is>
      </c>
      <c r="D234" s="72" t="inlineStr">
        <is>
          <t>Reg</t>
        </is>
      </c>
      <c r="E234" s="72" t="inlineStr">
        <is>
          <t>Bal</t>
        </is>
      </c>
      <c r="F234" s="12" t="n">
        <v>1</v>
      </c>
      <c r="G234" s="12" t="n">
        <v>1</v>
      </c>
      <c r="H234" s="72" t="n"/>
      <c r="I234" s="72" t="n"/>
      <c r="J234" s="72" t="n"/>
      <c r="K234" s="72" t="inlineStr">
        <is>
          <t>1890-0000</t>
        </is>
      </c>
      <c r="L234" s="72" t="inlineStr">
        <is>
          <t>Cash Flow</t>
        </is>
      </c>
    </row>
    <row r="235">
      <c r="A235" s="72" t="inlineStr">
        <is>
          <t>1500-0000</t>
        </is>
      </c>
      <c r="B235" s="72" t="inlineStr">
        <is>
          <t>Building</t>
        </is>
      </c>
      <c r="C235" s="72" t="inlineStr">
        <is>
          <t>Debit</t>
        </is>
      </c>
      <c r="D235" s="72" t="inlineStr">
        <is>
          <t>Reg</t>
        </is>
      </c>
      <c r="E235" s="72" t="inlineStr">
        <is>
          <t>Bal</t>
        </is>
      </c>
      <c r="F235" s="12" t="n">
        <v>1</v>
      </c>
      <c r="G235" s="12" t="n">
        <v>1</v>
      </c>
      <c r="H235" s="72" t="n"/>
      <c r="I235" s="72" t="n"/>
      <c r="J235" s="72" t="n"/>
      <c r="K235" s="72" t="inlineStr">
        <is>
          <t>1890-0000</t>
        </is>
      </c>
      <c r="L235" s="72" t="inlineStr">
        <is>
          <t>Cash Flow</t>
        </is>
      </c>
    </row>
    <row r="236">
      <c r="A236" s="72" t="inlineStr">
        <is>
          <t>1500-0001</t>
        </is>
      </c>
      <c r="B236" s="72" t="inlineStr">
        <is>
          <t>5 Year Property</t>
        </is>
      </c>
      <c r="C236" s="72" t="inlineStr">
        <is>
          <t>Debit</t>
        </is>
      </c>
      <c r="D236" s="72" t="inlineStr">
        <is>
          <t>Reg</t>
        </is>
      </c>
      <c r="E236" s="72" t="inlineStr">
        <is>
          <t>Bal</t>
        </is>
      </c>
      <c r="F236" s="12" t="n">
        <v>1</v>
      </c>
      <c r="G236" s="12" t="n">
        <v>1</v>
      </c>
      <c r="H236" s="72" t="n"/>
      <c r="I236" s="72" t="n"/>
      <c r="J236" s="72" t="n"/>
      <c r="K236" s="72" t="inlineStr">
        <is>
          <t>1890-0000</t>
        </is>
      </c>
      <c r="L236" s="72" t="inlineStr">
        <is>
          <t>Cash Flow</t>
        </is>
      </c>
    </row>
    <row r="237">
      <c r="A237" s="72" t="inlineStr">
        <is>
          <t>1500-0005</t>
        </is>
      </c>
      <c r="B237" s="72" t="inlineStr">
        <is>
          <t>Building  754 Adj</t>
        </is>
      </c>
      <c r="C237" s="72" t="inlineStr">
        <is>
          <t>Debit</t>
        </is>
      </c>
      <c r="D237" s="72" t="inlineStr">
        <is>
          <t>Reg</t>
        </is>
      </c>
      <c r="E237" s="72" t="inlineStr">
        <is>
          <t>Bal</t>
        </is>
      </c>
      <c r="F237" s="12" t="n">
        <v>1</v>
      </c>
      <c r="G237" s="12" t="n">
        <v>1</v>
      </c>
      <c r="H237" s="72" t="n"/>
      <c r="I237" s="72" t="n"/>
      <c r="J237" s="72" t="n"/>
      <c r="K237" s="72" t="inlineStr">
        <is>
          <t>1890-0000</t>
        </is>
      </c>
      <c r="L237" s="72" t="inlineStr">
        <is>
          <t>Cash Flow</t>
        </is>
      </c>
    </row>
    <row r="238">
      <c r="A238" s="72" t="inlineStr">
        <is>
          <t>1500-0009</t>
        </is>
      </c>
      <c r="B238" s="72" t="inlineStr">
        <is>
          <t>Working Capital</t>
        </is>
      </c>
      <c r="C238" s="72" t="inlineStr">
        <is>
          <t>Debit</t>
        </is>
      </c>
      <c r="D238" s="72" t="inlineStr">
        <is>
          <t>Reg</t>
        </is>
      </c>
      <c r="E238" s="72" t="inlineStr">
        <is>
          <t>Bal</t>
        </is>
      </c>
      <c r="F238" s="12" t="n">
        <v>0</v>
      </c>
      <c r="G238" s="12" t="n">
        <v>1</v>
      </c>
      <c r="H238" s="72" t="n"/>
      <c r="I238" s="72" t="n"/>
      <c r="J238" s="72" t="n"/>
      <c r="K238" s="72" t="inlineStr">
        <is>
          <t>1990-0000</t>
        </is>
      </c>
      <c r="L238" s="72" t="inlineStr">
        <is>
          <t>Cash Flow</t>
        </is>
      </c>
    </row>
    <row r="239">
      <c r="A239" s="72" t="inlineStr">
        <is>
          <t>1500-0010</t>
        </is>
      </c>
      <c r="B239" s="72" t="inlineStr">
        <is>
          <t>Building Improvements</t>
        </is>
      </c>
      <c r="C239" s="72" t="inlineStr">
        <is>
          <t>Debit</t>
        </is>
      </c>
      <c r="D239" s="72" t="inlineStr">
        <is>
          <t>Reg</t>
        </is>
      </c>
      <c r="E239" s="72" t="inlineStr">
        <is>
          <t>Bal</t>
        </is>
      </c>
      <c r="F239" s="12" t="n">
        <v>1</v>
      </c>
      <c r="G239" s="12" t="n">
        <v>1</v>
      </c>
      <c r="H239" s="72" t="n"/>
      <c r="I239" s="72" t="n"/>
      <c r="J239" s="72" t="n"/>
      <c r="K239" s="72" t="inlineStr">
        <is>
          <t>1890-0000</t>
        </is>
      </c>
      <c r="L239" s="72" t="inlineStr">
        <is>
          <t>Cash Flow</t>
        </is>
      </c>
    </row>
    <row r="240">
      <c r="A240" s="72" t="inlineStr">
        <is>
          <t>1500-0015</t>
        </is>
      </c>
      <c r="B240" s="72" t="inlineStr">
        <is>
          <t>Land Improvements</t>
        </is>
      </c>
      <c r="C240" s="72" t="inlineStr">
        <is>
          <t>Debit</t>
        </is>
      </c>
      <c r="D240" s="72" t="inlineStr">
        <is>
          <t>Reg</t>
        </is>
      </c>
      <c r="E240" s="72" t="inlineStr">
        <is>
          <t>Bal</t>
        </is>
      </c>
      <c r="F240" s="12" t="n">
        <v>1</v>
      </c>
      <c r="G240" s="12" t="n">
        <v>1</v>
      </c>
      <c r="H240" s="72" t="n"/>
      <c r="I240" s="72" t="n"/>
      <c r="J240" s="72" t="n"/>
      <c r="K240" s="72" t="inlineStr">
        <is>
          <t>1890-0000</t>
        </is>
      </c>
      <c r="L240" s="72" t="inlineStr">
        <is>
          <t>Cash Flow</t>
        </is>
      </c>
    </row>
    <row r="241">
      <c r="A241" s="72" t="inlineStr">
        <is>
          <t>1500-0017</t>
        </is>
      </c>
      <c r="B241" s="72" t="inlineStr">
        <is>
          <t>Tenant Improvements</t>
        </is>
      </c>
      <c r="C241" s="72" t="inlineStr">
        <is>
          <t>Debit</t>
        </is>
      </c>
      <c r="D241" s="72" t="inlineStr">
        <is>
          <t>Reg</t>
        </is>
      </c>
      <c r="E241" s="72" t="inlineStr">
        <is>
          <t>Bal</t>
        </is>
      </c>
      <c r="F241" s="12" t="n">
        <v>1</v>
      </c>
      <c r="G241" s="12" t="n">
        <v>1</v>
      </c>
      <c r="H241" s="72" t="n"/>
      <c r="I241" s="72" t="n"/>
      <c r="J241" s="72" t="n"/>
      <c r="K241" s="72" t="inlineStr">
        <is>
          <t>1890-0000</t>
        </is>
      </c>
      <c r="L241" s="72" t="inlineStr">
        <is>
          <t>Cash Flow</t>
        </is>
      </c>
    </row>
    <row r="242">
      <c r="A242" s="72" t="inlineStr">
        <is>
          <t>1500-0018</t>
        </is>
      </c>
      <c r="B242" s="72" t="inlineStr">
        <is>
          <t>Improvements - 7 Year</t>
        </is>
      </c>
      <c r="C242" s="72" t="inlineStr">
        <is>
          <t>Debit</t>
        </is>
      </c>
      <c r="D242" s="72" t="inlineStr">
        <is>
          <t>Reg</t>
        </is>
      </c>
      <c r="E242" s="72" t="inlineStr">
        <is>
          <t>Bal</t>
        </is>
      </c>
      <c r="F242" s="12" t="n">
        <v>1</v>
      </c>
      <c r="G242" s="12" t="n">
        <v>1</v>
      </c>
      <c r="H242" s="72" t="n"/>
      <c r="I242" s="72" t="n"/>
      <c r="J242" s="72" t="n"/>
      <c r="K242" s="72" t="inlineStr">
        <is>
          <t>1890-0000</t>
        </is>
      </c>
      <c r="L242" s="72" t="inlineStr">
        <is>
          <t>Cash Flow</t>
        </is>
      </c>
    </row>
    <row r="243">
      <c r="A243" s="72" t="inlineStr">
        <is>
          <t>1500-0020</t>
        </is>
      </c>
      <c r="B243" s="72" t="inlineStr">
        <is>
          <t>5 YR Rental Real Estate Prop.</t>
        </is>
      </c>
      <c r="C243" s="72" t="inlineStr">
        <is>
          <t>Debit</t>
        </is>
      </c>
      <c r="D243" s="72" t="inlineStr">
        <is>
          <t>Reg</t>
        </is>
      </c>
      <c r="E243" s="72" t="inlineStr">
        <is>
          <t>Bal</t>
        </is>
      </c>
      <c r="F243" s="12" t="n">
        <v>1</v>
      </c>
      <c r="G243" s="12" t="n">
        <v>1</v>
      </c>
      <c r="H243" s="72" t="n"/>
      <c r="I243" s="72" t="n"/>
      <c r="J243" s="72" t="n"/>
      <c r="K243" s="72" t="inlineStr">
        <is>
          <t>1890-0000</t>
        </is>
      </c>
      <c r="L243" s="72" t="inlineStr">
        <is>
          <t>Cash Flow</t>
        </is>
      </c>
    </row>
    <row r="244">
      <c r="A244" s="72" t="inlineStr">
        <is>
          <t>1500-0025</t>
        </is>
      </c>
      <c r="B244" s="72" t="inlineStr">
        <is>
          <t>Appliances</t>
        </is>
      </c>
      <c r="C244" s="72" t="inlineStr">
        <is>
          <t>Debit</t>
        </is>
      </c>
      <c r="D244" s="72" t="inlineStr">
        <is>
          <t>Reg</t>
        </is>
      </c>
      <c r="E244" s="72" t="inlineStr">
        <is>
          <t>Bal</t>
        </is>
      </c>
      <c r="F244" s="12" t="n">
        <v>1</v>
      </c>
      <c r="G244" s="12" t="n">
        <v>1</v>
      </c>
      <c r="H244" s="72" t="n"/>
      <c r="I244" s="72" t="n"/>
      <c r="J244" s="72" t="n"/>
      <c r="K244" s="72" t="inlineStr">
        <is>
          <t>1890-0000</t>
        </is>
      </c>
      <c r="L244" s="72" t="inlineStr">
        <is>
          <t>Cash Flow</t>
        </is>
      </c>
    </row>
    <row r="245">
      <c r="A245" s="72" t="inlineStr">
        <is>
          <t>1500-0030</t>
        </is>
      </c>
      <c r="B245" s="72" t="inlineStr">
        <is>
          <t>Furniture AND  Fixtures</t>
        </is>
      </c>
      <c r="C245" s="72" t="inlineStr">
        <is>
          <t>Debit</t>
        </is>
      </c>
      <c r="D245" s="72" t="inlineStr">
        <is>
          <t>Reg</t>
        </is>
      </c>
      <c r="E245" s="72" t="inlineStr">
        <is>
          <t>Bal</t>
        </is>
      </c>
      <c r="F245" s="12" t="n">
        <v>1</v>
      </c>
      <c r="G245" s="12" t="n">
        <v>1</v>
      </c>
      <c r="H245" s="72" t="n"/>
      <c r="I245" s="72" t="n"/>
      <c r="J245" s="72" t="n"/>
      <c r="K245" s="72" t="inlineStr">
        <is>
          <t>1890-0000</t>
        </is>
      </c>
      <c r="L245" s="72" t="inlineStr">
        <is>
          <t>Cash Flow</t>
        </is>
      </c>
    </row>
    <row r="246">
      <c r="A246" s="72" t="inlineStr">
        <is>
          <t>1500-0031</t>
        </is>
      </c>
      <c r="B246" s="72" t="inlineStr">
        <is>
          <t>Vehicle Purchased</t>
        </is>
      </c>
      <c r="C246" s="72" t="inlineStr">
        <is>
          <t>Debit</t>
        </is>
      </c>
      <c r="D246" s="72" t="inlineStr">
        <is>
          <t>Reg</t>
        </is>
      </c>
      <c r="E246" s="72" t="inlineStr">
        <is>
          <t>Bal</t>
        </is>
      </c>
      <c r="F246" s="12" t="n">
        <v>0</v>
      </c>
      <c r="G246" s="12" t="n">
        <v>1</v>
      </c>
      <c r="H246" s="72" t="n"/>
      <c r="I246" s="72" t="n"/>
      <c r="J246" s="72" t="n"/>
      <c r="K246" s="72" t="inlineStr">
        <is>
          <t>1890-0000</t>
        </is>
      </c>
      <c r="L246" s="72" t="inlineStr">
        <is>
          <t>Cash Flow</t>
        </is>
      </c>
    </row>
    <row r="247">
      <c r="A247" s="72" t="inlineStr">
        <is>
          <t>1500-0035</t>
        </is>
      </c>
      <c r="B247" s="72" t="inlineStr">
        <is>
          <t>Organizational Costs</t>
        </is>
      </c>
      <c r="C247" s="72" t="inlineStr">
        <is>
          <t>Debit</t>
        </is>
      </c>
      <c r="D247" s="72" t="inlineStr">
        <is>
          <t>Reg</t>
        </is>
      </c>
      <c r="E247" s="72" t="inlineStr">
        <is>
          <t>Bal</t>
        </is>
      </c>
      <c r="F247" s="12" t="n">
        <v>1</v>
      </c>
      <c r="G247" s="12" t="n">
        <v>1</v>
      </c>
      <c r="H247" s="72" t="n"/>
      <c r="I247" s="72" t="n"/>
      <c r="J247" s="72" t="n"/>
      <c r="K247" s="72" t="inlineStr">
        <is>
          <t>1890-0000</t>
        </is>
      </c>
      <c r="L247" s="72" t="inlineStr">
        <is>
          <t>Cash Flow</t>
        </is>
      </c>
    </row>
    <row r="248">
      <c r="A248" s="72" t="inlineStr">
        <is>
          <t>1500-0037</t>
        </is>
      </c>
      <c r="B248" s="72" t="inlineStr">
        <is>
          <t>Lease Fees</t>
        </is>
      </c>
      <c r="C248" s="72" t="inlineStr">
        <is>
          <t>Debit</t>
        </is>
      </c>
      <c r="D248" s="72" t="inlineStr">
        <is>
          <t>Reg</t>
        </is>
      </c>
      <c r="E248" s="72" t="inlineStr">
        <is>
          <t>Bal</t>
        </is>
      </c>
      <c r="F248" s="12" t="n">
        <v>1</v>
      </c>
      <c r="G248" s="12" t="n">
        <v>1</v>
      </c>
      <c r="H248" s="72" t="n"/>
      <c r="I248" s="72" t="n"/>
      <c r="J248" s="72" t="n"/>
      <c r="K248" s="72" t="inlineStr">
        <is>
          <t>1890-0000</t>
        </is>
      </c>
      <c r="L248" s="72" t="inlineStr">
        <is>
          <t>Cash Flow</t>
        </is>
      </c>
    </row>
    <row r="249">
      <c r="A249" s="72" t="inlineStr">
        <is>
          <t>1500-0040</t>
        </is>
      </c>
      <c r="B249" s="72" t="inlineStr">
        <is>
          <t>Loan Fees  A</t>
        </is>
      </c>
      <c r="C249" s="72" t="inlineStr">
        <is>
          <t>Debit</t>
        </is>
      </c>
      <c r="D249" s="72" t="inlineStr">
        <is>
          <t>Reg</t>
        </is>
      </c>
      <c r="E249" s="72" t="inlineStr">
        <is>
          <t>Bal</t>
        </is>
      </c>
      <c r="F249" s="12" t="n">
        <v>1</v>
      </c>
      <c r="G249" s="12" t="n">
        <v>1</v>
      </c>
      <c r="H249" s="72" t="n"/>
      <c r="I249" s="72" t="n"/>
      <c r="J249" s="72" t="n"/>
      <c r="K249" s="72" t="inlineStr">
        <is>
          <t>1890-0000</t>
        </is>
      </c>
      <c r="L249" s="72" t="inlineStr">
        <is>
          <t>Cash Flow</t>
        </is>
      </c>
    </row>
    <row r="250">
      <c r="A250" s="72" t="inlineStr">
        <is>
          <t>1500-0045</t>
        </is>
      </c>
      <c r="B250" s="72" t="inlineStr">
        <is>
          <t>Loan Fees  B</t>
        </is>
      </c>
      <c r="C250" s="72" t="inlineStr">
        <is>
          <t>Debit</t>
        </is>
      </c>
      <c r="D250" s="72" t="inlineStr">
        <is>
          <t>Reg</t>
        </is>
      </c>
      <c r="E250" s="72" t="inlineStr">
        <is>
          <t>Bal</t>
        </is>
      </c>
      <c r="F250" s="12" t="n">
        <v>1</v>
      </c>
      <c r="G250" s="12" t="n">
        <v>1</v>
      </c>
      <c r="H250" s="72" t="n"/>
      <c r="I250" s="72" t="n"/>
      <c r="J250" s="72" t="n"/>
      <c r="K250" s="72" t="inlineStr">
        <is>
          <t>1890-0000</t>
        </is>
      </c>
      <c r="L250" s="72" t="inlineStr">
        <is>
          <t>Cash Flow</t>
        </is>
      </c>
    </row>
    <row r="251">
      <c r="A251" s="72" t="inlineStr">
        <is>
          <t>1500-0046</t>
        </is>
      </c>
      <c r="B251" s="72" t="inlineStr">
        <is>
          <t>Loan Admin Fees</t>
        </is>
      </c>
      <c r="C251" s="72" t="inlineStr">
        <is>
          <t>Debit</t>
        </is>
      </c>
      <c r="D251" s="72" t="inlineStr">
        <is>
          <t>Reg</t>
        </is>
      </c>
      <c r="E251" s="72" t="inlineStr">
        <is>
          <t>Bal</t>
        </is>
      </c>
      <c r="F251" s="12" t="n">
        <v>1</v>
      </c>
      <c r="G251" s="12" t="n">
        <v>1</v>
      </c>
      <c r="H251" s="72" t="n"/>
      <c r="I251" s="72" t="n"/>
      <c r="J251" s="72" t="n"/>
      <c r="K251" s="72" t="inlineStr">
        <is>
          <t>1890-0000</t>
        </is>
      </c>
      <c r="L251" s="72" t="inlineStr">
        <is>
          <t>Cash Flow</t>
        </is>
      </c>
    </row>
    <row r="252">
      <c r="A252" s="72" t="inlineStr">
        <is>
          <t>1500-0050</t>
        </is>
      </c>
      <c r="B252" s="72" t="inlineStr">
        <is>
          <t>AD Building</t>
        </is>
      </c>
      <c r="C252" s="72" t="inlineStr">
        <is>
          <t>Debit</t>
        </is>
      </c>
      <c r="D252" s="72" t="inlineStr">
        <is>
          <t>Reg</t>
        </is>
      </c>
      <c r="E252" s="72" t="inlineStr">
        <is>
          <t>Bal</t>
        </is>
      </c>
      <c r="F252" s="12" t="n">
        <v>1</v>
      </c>
      <c r="G252" s="12" t="n">
        <v>1</v>
      </c>
      <c r="H252" s="72" t="n"/>
      <c r="I252" s="72" t="n"/>
      <c r="J252" s="72" t="n"/>
      <c r="K252" s="72" t="inlineStr">
        <is>
          <t>1890-0000</t>
        </is>
      </c>
      <c r="L252" s="72" t="inlineStr">
        <is>
          <t>Cash Flow</t>
        </is>
      </c>
    </row>
    <row r="253">
      <c r="A253" s="72" t="inlineStr">
        <is>
          <t>1500-0051</t>
        </is>
      </c>
      <c r="B253" s="72" t="inlineStr">
        <is>
          <t>A/D 5 Year Property</t>
        </is>
      </c>
      <c r="C253" s="72" t="inlineStr">
        <is>
          <t>Credit</t>
        </is>
      </c>
      <c r="D253" s="72" t="inlineStr">
        <is>
          <t>Reg</t>
        </is>
      </c>
      <c r="E253" s="72" t="inlineStr">
        <is>
          <t>Bal</t>
        </is>
      </c>
      <c r="F253" s="12" t="n">
        <v>0</v>
      </c>
      <c r="G253" s="12" t="n">
        <v>1</v>
      </c>
      <c r="H253" s="72" t="n"/>
      <c r="I253" s="72" t="n"/>
      <c r="J253" s="72" t="n"/>
      <c r="K253" s="72" t="inlineStr">
        <is>
          <t>1890-0000</t>
        </is>
      </c>
      <c r="L253" s="72" t="inlineStr">
        <is>
          <t>Cash Flow</t>
        </is>
      </c>
    </row>
    <row r="254">
      <c r="A254" s="72" t="inlineStr">
        <is>
          <t>1500-0055</t>
        </is>
      </c>
      <c r="B254" s="72" t="inlineStr">
        <is>
          <t xml:space="preserve"> Building  754 Adj</t>
        </is>
      </c>
      <c r="C254" s="72" t="inlineStr">
        <is>
          <t>Debit</t>
        </is>
      </c>
      <c r="D254" s="72" t="inlineStr">
        <is>
          <t>Reg</t>
        </is>
      </c>
      <c r="E254" s="72" t="inlineStr">
        <is>
          <t>Bal</t>
        </is>
      </c>
      <c r="F254" s="12" t="n">
        <v>1</v>
      </c>
      <c r="G254" s="12" t="n">
        <v>1</v>
      </c>
      <c r="H254" s="72" t="n"/>
      <c r="I254" s="72" t="n"/>
      <c r="J254" s="72" t="n"/>
      <c r="K254" s="72" t="inlineStr">
        <is>
          <t>1890-0000</t>
        </is>
      </c>
      <c r="L254" s="72" t="inlineStr">
        <is>
          <t>Cash Flow</t>
        </is>
      </c>
    </row>
    <row r="255">
      <c r="A255" s="72" t="inlineStr">
        <is>
          <t>1500-0060</t>
        </is>
      </c>
      <c r="B255" s="72" t="inlineStr">
        <is>
          <t>A/D Building Improvements</t>
        </is>
      </c>
      <c r="C255" s="72" t="inlineStr">
        <is>
          <t>Debit</t>
        </is>
      </c>
      <c r="D255" s="72" t="inlineStr">
        <is>
          <t>Reg</t>
        </is>
      </c>
      <c r="E255" s="72" t="inlineStr">
        <is>
          <t>Bal</t>
        </is>
      </c>
      <c r="F255" s="12" t="n">
        <v>1</v>
      </c>
      <c r="G255" s="12" t="n">
        <v>1</v>
      </c>
      <c r="H255" s="72" t="n"/>
      <c r="I255" s="72" t="n"/>
      <c r="J255" s="72" t="n"/>
      <c r="K255" s="72" t="inlineStr">
        <is>
          <t>1890-0000</t>
        </is>
      </c>
      <c r="L255" s="72" t="inlineStr">
        <is>
          <t>Cash Flow</t>
        </is>
      </c>
    </row>
    <row r="256">
      <c r="A256" s="72" t="inlineStr">
        <is>
          <t>1500-0065</t>
        </is>
      </c>
      <c r="B256" s="72" t="inlineStr">
        <is>
          <t>A/D Land Improvements</t>
        </is>
      </c>
      <c r="C256" s="72" t="inlineStr">
        <is>
          <t>Debit</t>
        </is>
      </c>
      <c r="D256" s="72" t="inlineStr">
        <is>
          <t>Reg</t>
        </is>
      </c>
      <c r="E256" s="72" t="inlineStr">
        <is>
          <t>Bal</t>
        </is>
      </c>
      <c r="F256" s="12" t="n">
        <v>1</v>
      </c>
      <c r="G256" s="12" t="n">
        <v>1</v>
      </c>
      <c r="H256" s="72" t="n"/>
      <c r="I256" s="72" t="n"/>
      <c r="J256" s="72" t="n"/>
      <c r="K256" s="72" t="inlineStr">
        <is>
          <t>1890-0000</t>
        </is>
      </c>
      <c r="L256" s="72" t="inlineStr">
        <is>
          <t>Cash Flow</t>
        </is>
      </c>
    </row>
    <row r="257">
      <c r="A257" s="72" t="inlineStr">
        <is>
          <t>1500-0066</t>
        </is>
      </c>
      <c r="B257" s="72" t="inlineStr">
        <is>
          <t>A/D Tenant Improvements</t>
        </is>
      </c>
      <c r="C257" s="72" t="inlineStr">
        <is>
          <t>Debit</t>
        </is>
      </c>
      <c r="D257" s="72" t="inlineStr">
        <is>
          <t>Reg</t>
        </is>
      </c>
      <c r="E257" s="72" t="inlineStr">
        <is>
          <t>Bal</t>
        </is>
      </c>
      <c r="F257" s="12" t="n">
        <v>1</v>
      </c>
      <c r="G257" s="12" t="n">
        <v>1</v>
      </c>
      <c r="H257" s="72" t="n"/>
      <c r="I257" s="72" t="n"/>
      <c r="J257" s="72" t="n"/>
      <c r="K257" s="72" t="inlineStr">
        <is>
          <t>1890-0000</t>
        </is>
      </c>
      <c r="L257" s="72" t="inlineStr">
        <is>
          <t>Cash Flow</t>
        </is>
      </c>
    </row>
    <row r="258">
      <c r="A258" s="72" t="inlineStr">
        <is>
          <t>1500-0067</t>
        </is>
      </c>
      <c r="B258" s="72" t="inlineStr">
        <is>
          <t>A/D 7 Year Assets</t>
        </is>
      </c>
      <c r="C258" s="72" t="inlineStr">
        <is>
          <t>Debit</t>
        </is>
      </c>
      <c r="D258" s="72" t="inlineStr">
        <is>
          <t>Reg</t>
        </is>
      </c>
      <c r="E258" s="72" t="inlineStr">
        <is>
          <t>Bal</t>
        </is>
      </c>
      <c r="F258" s="12" t="n">
        <v>1</v>
      </c>
      <c r="G258" s="12" t="n">
        <v>1</v>
      </c>
      <c r="H258" s="72" t="n"/>
      <c r="I258" s="72" t="n"/>
      <c r="J258" s="72" t="n"/>
      <c r="K258" s="72" t="inlineStr">
        <is>
          <t>1890-0000</t>
        </is>
      </c>
      <c r="L258" s="72" t="inlineStr">
        <is>
          <t>Cash Flow</t>
        </is>
      </c>
    </row>
    <row r="259">
      <c r="A259" s="72" t="inlineStr">
        <is>
          <t>1500-0070</t>
        </is>
      </c>
      <c r="B259" s="72" t="inlineStr">
        <is>
          <t>A/D 5 YR Rental Real Estate Pr</t>
        </is>
      </c>
      <c r="C259" s="72" t="inlineStr">
        <is>
          <t>Debit</t>
        </is>
      </c>
      <c r="D259" s="72" t="inlineStr">
        <is>
          <t>Reg</t>
        </is>
      </c>
      <c r="E259" s="72" t="inlineStr">
        <is>
          <t>Bal</t>
        </is>
      </c>
      <c r="F259" s="12" t="n">
        <v>1</v>
      </c>
      <c r="G259" s="12" t="n">
        <v>1</v>
      </c>
      <c r="H259" s="72" t="n"/>
      <c r="I259" s="72" t="n"/>
      <c r="J259" s="72" t="n"/>
      <c r="K259" s="72" t="inlineStr">
        <is>
          <t>1890-0000</t>
        </is>
      </c>
      <c r="L259" s="72" t="inlineStr">
        <is>
          <t>Cash Flow</t>
        </is>
      </c>
    </row>
    <row r="260">
      <c r="A260" s="72" t="inlineStr">
        <is>
          <t>1500-0075</t>
        </is>
      </c>
      <c r="B260" s="72" t="inlineStr">
        <is>
          <t>A/D Appliances</t>
        </is>
      </c>
      <c r="C260" s="72" t="inlineStr">
        <is>
          <t>Debit</t>
        </is>
      </c>
      <c r="D260" s="72" t="inlineStr">
        <is>
          <t>Reg</t>
        </is>
      </c>
      <c r="E260" s="72" t="inlineStr">
        <is>
          <t>Bal</t>
        </is>
      </c>
      <c r="F260" s="12" t="n">
        <v>1</v>
      </c>
      <c r="G260" s="12" t="n">
        <v>1</v>
      </c>
      <c r="H260" s="72" t="n"/>
      <c r="I260" s="72" t="n"/>
      <c r="J260" s="72" t="n"/>
      <c r="K260" s="72" t="inlineStr">
        <is>
          <t>1890-0000</t>
        </is>
      </c>
      <c r="L260" s="72" t="inlineStr">
        <is>
          <t>Cash Flow</t>
        </is>
      </c>
    </row>
    <row r="261">
      <c r="A261" s="72" t="inlineStr">
        <is>
          <t>1500-0080</t>
        </is>
      </c>
      <c r="B261" s="72" t="inlineStr">
        <is>
          <t>A/D Furniture &amp; Fixtures</t>
        </is>
      </c>
      <c r="C261" s="72" t="inlineStr">
        <is>
          <t>Debit</t>
        </is>
      </c>
      <c r="D261" s="72" t="inlineStr">
        <is>
          <t>Reg</t>
        </is>
      </c>
      <c r="E261" s="72" t="inlineStr">
        <is>
          <t>Bal</t>
        </is>
      </c>
      <c r="F261" s="12" t="n">
        <v>1</v>
      </c>
      <c r="G261" s="12" t="n">
        <v>1</v>
      </c>
      <c r="H261" s="72" t="n"/>
      <c r="I261" s="72" t="n"/>
      <c r="J261" s="72" t="n"/>
      <c r="K261" s="72" t="inlineStr">
        <is>
          <t>1890-0000</t>
        </is>
      </c>
      <c r="L261" s="72" t="inlineStr">
        <is>
          <t>Cash Flow</t>
        </is>
      </c>
    </row>
    <row r="262">
      <c r="A262" s="72" t="inlineStr">
        <is>
          <t>1500-0085</t>
        </is>
      </c>
      <c r="B262" s="72" t="inlineStr">
        <is>
          <t>A/A Loan Fees - A</t>
        </is>
      </c>
      <c r="C262" s="72" t="inlineStr">
        <is>
          <t>Debit</t>
        </is>
      </c>
      <c r="D262" s="72" t="inlineStr">
        <is>
          <t>Reg</t>
        </is>
      </c>
      <c r="E262" s="72" t="inlineStr">
        <is>
          <t>Bal</t>
        </is>
      </c>
      <c r="F262" s="12" t="n">
        <v>1</v>
      </c>
      <c r="G262" s="12" t="n">
        <v>1</v>
      </c>
      <c r="H262" s="72" t="n"/>
      <c r="I262" s="72" t="n"/>
      <c r="J262" s="72" t="n"/>
      <c r="K262" s="72" t="inlineStr">
        <is>
          <t>1890-0000</t>
        </is>
      </c>
      <c r="L262" s="72" t="inlineStr">
        <is>
          <t>Cash Flow</t>
        </is>
      </c>
    </row>
    <row r="263">
      <c r="A263" s="72" t="inlineStr">
        <is>
          <t>1500-0090</t>
        </is>
      </c>
      <c r="B263" s="72" t="inlineStr">
        <is>
          <t>A/A Loan Fees - B</t>
        </is>
      </c>
      <c r="C263" s="72" t="inlineStr">
        <is>
          <t>Debit</t>
        </is>
      </c>
      <c r="D263" s="72" t="inlineStr">
        <is>
          <t>Reg</t>
        </is>
      </c>
      <c r="E263" s="72" t="inlineStr">
        <is>
          <t>Bal</t>
        </is>
      </c>
      <c r="F263" s="12" t="n">
        <v>1</v>
      </c>
      <c r="G263" s="12" t="n">
        <v>1</v>
      </c>
      <c r="H263" s="72" t="n"/>
      <c r="I263" s="72" t="n"/>
      <c r="J263" s="72" t="n"/>
      <c r="K263" s="72" t="inlineStr">
        <is>
          <t>1890-0000</t>
        </is>
      </c>
      <c r="L263" s="72" t="inlineStr">
        <is>
          <t>Cash Flow</t>
        </is>
      </c>
    </row>
    <row r="264">
      <c r="A264" s="72" t="inlineStr">
        <is>
          <t>1500-0091</t>
        </is>
      </c>
      <c r="B264" s="72" t="inlineStr">
        <is>
          <t>A/A Lease Fees</t>
        </is>
      </c>
      <c r="C264" s="72" t="inlineStr">
        <is>
          <t>Debit</t>
        </is>
      </c>
      <c r="D264" s="72" t="inlineStr">
        <is>
          <t>Reg</t>
        </is>
      </c>
      <c r="E264" s="72" t="inlineStr">
        <is>
          <t>Bal</t>
        </is>
      </c>
      <c r="F264" s="12" t="n">
        <v>1</v>
      </c>
      <c r="G264" s="12" t="n">
        <v>1</v>
      </c>
      <c r="H264" s="72" t="n"/>
      <c r="I264" s="72" t="n"/>
      <c r="J264" s="72" t="n"/>
      <c r="K264" s="72" t="inlineStr">
        <is>
          <t>1890-0000</t>
        </is>
      </c>
      <c r="L264" s="72" t="inlineStr">
        <is>
          <t>Cash Flow</t>
        </is>
      </c>
    </row>
    <row r="265">
      <c r="A265" s="72" t="inlineStr">
        <is>
          <t>1500-0095</t>
        </is>
      </c>
      <c r="B265" s="72" t="inlineStr">
        <is>
          <t>A/A Organization Costs</t>
        </is>
      </c>
      <c r="C265" s="72" t="inlineStr">
        <is>
          <t>Debit</t>
        </is>
      </c>
      <c r="D265" s="72" t="inlineStr">
        <is>
          <t>Reg</t>
        </is>
      </c>
      <c r="E265" s="72" t="inlineStr">
        <is>
          <t>Bal</t>
        </is>
      </c>
      <c r="F265" s="12" t="n">
        <v>1</v>
      </c>
      <c r="G265" s="12" t="n">
        <v>1</v>
      </c>
      <c r="H265" s="72" t="n"/>
      <c r="I265" s="72" t="n"/>
      <c r="J265" s="72" t="n"/>
      <c r="K265" s="72" t="inlineStr">
        <is>
          <t>1890-0000</t>
        </is>
      </c>
      <c r="L265" s="72" t="inlineStr">
        <is>
          <t>Cash Flow</t>
        </is>
      </c>
    </row>
    <row r="266">
      <c r="A266" s="72" t="inlineStr">
        <is>
          <t>1600-0000</t>
        </is>
      </c>
      <c r="B266" s="72" t="inlineStr">
        <is>
          <t>CONSTRUCTION IN PROGRESS</t>
        </is>
      </c>
      <c r="C266" s="72" t="inlineStr">
        <is>
          <t>Debit</t>
        </is>
      </c>
      <c r="D266" s="72" t="inlineStr">
        <is>
          <t>Head</t>
        </is>
      </c>
      <c r="E266" s="72" t="inlineStr">
        <is>
          <t>Bal</t>
        </is>
      </c>
      <c r="F266" s="12" t="n">
        <v>1</v>
      </c>
      <c r="G266" s="12" t="n">
        <v>2</v>
      </c>
      <c r="H266" s="72" t="n"/>
      <c r="I266" s="72" t="n"/>
      <c r="J266" s="72" t="n"/>
      <c r="K266" s="72" t="inlineStr">
        <is>
          <t>1600-9999</t>
        </is>
      </c>
      <c r="L266" s="72" t="n"/>
    </row>
    <row r="267">
      <c r="A267" s="72" t="inlineStr">
        <is>
          <t>1600-0001</t>
        </is>
      </c>
      <c r="B267" s="72" t="inlineStr">
        <is>
          <t>General Conditions</t>
        </is>
      </c>
      <c r="C267" s="72" t="inlineStr">
        <is>
          <t>Debit</t>
        </is>
      </c>
      <c r="D267" s="72" t="inlineStr">
        <is>
          <t>Reg</t>
        </is>
      </c>
      <c r="E267" s="72" t="inlineStr">
        <is>
          <t>Bal</t>
        </is>
      </c>
      <c r="F267" s="12" t="n">
        <v>1</v>
      </c>
      <c r="G267" s="12" t="n">
        <v>1</v>
      </c>
      <c r="H267" s="72" t="n"/>
      <c r="I267" s="72" t="n"/>
      <c r="J267" s="72" t="n"/>
      <c r="K267" s="72" t="inlineStr">
        <is>
          <t>1600-9999</t>
        </is>
      </c>
      <c r="L267" s="72" t="inlineStr">
        <is>
          <t>Cash Flow</t>
        </is>
      </c>
    </row>
    <row r="268">
      <c r="A268" s="72" t="inlineStr">
        <is>
          <t>1600-0002</t>
        </is>
      </c>
      <c r="B268" s="72" t="inlineStr">
        <is>
          <t>Overhead &amp; Profit</t>
        </is>
      </c>
      <c r="C268" s="72" t="inlineStr">
        <is>
          <t>Debit</t>
        </is>
      </c>
      <c r="D268" s="72" t="inlineStr">
        <is>
          <t>Reg</t>
        </is>
      </c>
      <c r="E268" s="72" t="inlineStr">
        <is>
          <t>Bal</t>
        </is>
      </c>
      <c r="F268" s="12" t="n">
        <v>1</v>
      </c>
      <c r="G268" s="12" t="n">
        <v>1</v>
      </c>
      <c r="H268" s="72" t="n"/>
      <c r="I268" s="72" t="n"/>
      <c r="J268" s="72" t="n"/>
      <c r="K268" s="72" t="inlineStr">
        <is>
          <t>1600-9999</t>
        </is>
      </c>
      <c r="L268" s="72" t="inlineStr">
        <is>
          <t>Cash Flow</t>
        </is>
      </c>
    </row>
    <row r="269">
      <c r="A269" s="72" t="inlineStr">
        <is>
          <t>1600-0003</t>
        </is>
      </c>
      <c r="B269" s="72" t="inlineStr">
        <is>
          <t>Carpentry &amp; Finishes</t>
        </is>
      </c>
      <c r="C269" s="72" t="inlineStr">
        <is>
          <t>Debit</t>
        </is>
      </c>
      <c r="D269" s="72" t="inlineStr">
        <is>
          <t>Reg</t>
        </is>
      </c>
      <c r="E269" s="72" t="inlineStr">
        <is>
          <t>Bal</t>
        </is>
      </c>
      <c r="F269" s="12" t="n">
        <v>1</v>
      </c>
      <c r="G269" s="12" t="n">
        <v>1</v>
      </c>
      <c r="H269" s="72" t="n"/>
      <c r="I269" s="72" t="n"/>
      <c r="J269" s="72" t="n"/>
      <c r="K269" s="72" t="inlineStr">
        <is>
          <t>1600-9999</t>
        </is>
      </c>
      <c r="L269" s="72" t="inlineStr">
        <is>
          <t>Cash Flow</t>
        </is>
      </c>
    </row>
    <row r="270">
      <c r="A270" s="72" t="inlineStr">
        <is>
          <t>1600-0004</t>
        </is>
      </c>
      <c r="B270" s="72" t="inlineStr">
        <is>
          <t>Cabinetry</t>
        </is>
      </c>
      <c r="C270" s="72" t="inlineStr">
        <is>
          <t>Debit</t>
        </is>
      </c>
      <c r="D270" s="72" t="inlineStr">
        <is>
          <t>Reg</t>
        </is>
      </c>
      <c r="E270" s="72" t="inlineStr">
        <is>
          <t>Bal</t>
        </is>
      </c>
      <c r="F270" s="12" t="n">
        <v>1</v>
      </c>
      <c r="G270" s="12" t="n">
        <v>1</v>
      </c>
      <c r="H270" s="72" t="n"/>
      <c r="I270" s="72" t="n"/>
      <c r="J270" s="72" t="n"/>
      <c r="K270" s="72" t="inlineStr">
        <is>
          <t>1600-9999</t>
        </is>
      </c>
      <c r="L270" s="72" t="inlineStr">
        <is>
          <t>Cash Flow</t>
        </is>
      </c>
    </row>
    <row r="271">
      <c r="A271" s="72" t="inlineStr">
        <is>
          <t>1600-0005</t>
        </is>
      </c>
      <c r="B271" s="72" t="inlineStr">
        <is>
          <t>Permits</t>
        </is>
      </c>
      <c r="C271" s="72" t="inlineStr">
        <is>
          <t>Debit</t>
        </is>
      </c>
      <c r="D271" s="72" t="inlineStr">
        <is>
          <t>Reg</t>
        </is>
      </c>
      <c r="E271" s="72" t="inlineStr">
        <is>
          <t>Bal</t>
        </is>
      </c>
      <c r="F271" s="12" t="n">
        <v>1</v>
      </c>
      <c r="G271" s="12" t="n">
        <v>1</v>
      </c>
      <c r="H271" s="72" t="n"/>
      <c r="I271" s="72" t="n"/>
      <c r="J271" s="72" t="n"/>
      <c r="K271" s="72" t="inlineStr">
        <is>
          <t>1600-9999</t>
        </is>
      </c>
      <c r="L271" s="72" t="inlineStr">
        <is>
          <t>Cash Flow</t>
        </is>
      </c>
    </row>
    <row r="272">
      <c r="A272" s="72" t="inlineStr">
        <is>
          <t>1600-0006</t>
        </is>
      </c>
      <c r="B272" s="72" t="inlineStr">
        <is>
          <t>Electrical</t>
        </is>
      </c>
      <c r="C272" s="72" t="inlineStr">
        <is>
          <t>Debit</t>
        </is>
      </c>
      <c r="D272" s="72" t="inlineStr">
        <is>
          <t>Reg</t>
        </is>
      </c>
      <c r="E272" s="72" t="inlineStr">
        <is>
          <t>Bal</t>
        </is>
      </c>
      <c r="F272" s="12" t="n">
        <v>1</v>
      </c>
      <c r="G272" s="12" t="n">
        <v>1</v>
      </c>
      <c r="H272" s="72" t="n"/>
      <c r="I272" s="72" t="n"/>
      <c r="J272" s="72" t="n"/>
      <c r="K272" s="72" t="inlineStr">
        <is>
          <t>1600-9999</t>
        </is>
      </c>
      <c r="L272" s="72" t="inlineStr">
        <is>
          <t>Cash Flow</t>
        </is>
      </c>
    </row>
    <row r="273">
      <c r="A273" s="72" t="inlineStr">
        <is>
          <t>1600-0007</t>
        </is>
      </c>
      <c r="B273" s="72" t="inlineStr">
        <is>
          <t>Plumbing</t>
        </is>
      </c>
      <c r="C273" s="72" t="inlineStr">
        <is>
          <t>Debit</t>
        </is>
      </c>
      <c r="D273" s="72" t="inlineStr">
        <is>
          <t>Reg</t>
        </is>
      </c>
      <c r="E273" s="72" t="inlineStr">
        <is>
          <t>Bal</t>
        </is>
      </c>
      <c r="F273" s="12" t="n">
        <v>1</v>
      </c>
      <c r="G273" s="12" t="n">
        <v>1</v>
      </c>
      <c r="H273" s="72" t="n"/>
      <c r="I273" s="72" t="n"/>
      <c r="J273" s="72" t="n"/>
      <c r="K273" s="72" t="inlineStr">
        <is>
          <t>1600-9999</t>
        </is>
      </c>
      <c r="L273" s="72" t="inlineStr">
        <is>
          <t>Cash Flow</t>
        </is>
      </c>
    </row>
    <row r="274">
      <c r="A274" s="72" t="inlineStr">
        <is>
          <t>1600-0008</t>
        </is>
      </c>
      <c r="B274" s="72" t="inlineStr">
        <is>
          <t>Demolition</t>
        </is>
      </c>
      <c r="C274" s="72" t="inlineStr">
        <is>
          <t>Debit</t>
        </is>
      </c>
      <c r="D274" s="72" t="inlineStr">
        <is>
          <t>Reg</t>
        </is>
      </c>
      <c r="E274" s="72" t="inlineStr">
        <is>
          <t>Bal</t>
        </is>
      </c>
      <c r="F274" s="12" t="n">
        <v>1</v>
      </c>
      <c r="G274" s="12" t="n">
        <v>1</v>
      </c>
      <c r="H274" s="72" t="n"/>
      <c r="I274" s="72" t="n"/>
      <c r="J274" s="72" t="n"/>
      <c r="K274" s="72" t="inlineStr">
        <is>
          <t>1600-9999</t>
        </is>
      </c>
      <c r="L274" s="72" t="inlineStr">
        <is>
          <t>Cash Flow</t>
        </is>
      </c>
    </row>
    <row r="275">
      <c r="A275" s="72" t="inlineStr">
        <is>
          <t>1600-0009</t>
        </is>
      </c>
      <c r="B275" s="72" t="inlineStr">
        <is>
          <t>Electric</t>
        </is>
      </c>
      <c r="C275" s="72" t="inlineStr">
        <is>
          <t>Debit</t>
        </is>
      </c>
      <c r="D275" s="72" t="inlineStr">
        <is>
          <t>Reg</t>
        </is>
      </c>
      <c r="E275" s="72" t="inlineStr">
        <is>
          <t>Bal</t>
        </is>
      </c>
      <c r="F275" s="12" t="n">
        <v>1</v>
      </c>
      <c r="G275" s="12" t="n">
        <v>1</v>
      </c>
      <c r="H275" s="72" t="n"/>
      <c r="I275" s="72" t="n"/>
      <c r="J275" s="72" t="n"/>
      <c r="K275" s="72" t="inlineStr">
        <is>
          <t>1600-9999</t>
        </is>
      </c>
      <c r="L275" s="72" t="inlineStr">
        <is>
          <t>Cash Flow</t>
        </is>
      </c>
    </row>
    <row r="276">
      <c r="A276" s="72" t="inlineStr">
        <is>
          <t>1600-0010</t>
        </is>
      </c>
      <c r="B276" s="72" t="inlineStr">
        <is>
          <t>Masonry</t>
        </is>
      </c>
      <c r="C276" s="72" t="inlineStr">
        <is>
          <t>Debit</t>
        </is>
      </c>
      <c r="D276" s="72" t="inlineStr">
        <is>
          <t>Reg</t>
        </is>
      </c>
      <c r="E276" s="72" t="inlineStr">
        <is>
          <t>Bal</t>
        </is>
      </c>
      <c r="F276" s="12" t="n">
        <v>1</v>
      </c>
      <c r="G276" s="12" t="n">
        <v>1</v>
      </c>
      <c r="H276" s="72" t="n"/>
      <c r="I276" s="72" t="n"/>
      <c r="J276" s="72" t="n"/>
      <c r="K276" s="72" t="inlineStr">
        <is>
          <t>1600-9999</t>
        </is>
      </c>
      <c r="L276" s="72" t="inlineStr">
        <is>
          <t>Cash Flow</t>
        </is>
      </c>
    </row>
    <row r="277">
      <c r="A277" s="72" t="inlineStr">
        <is>
          <t>1600-0011</t>
        </is>
      </c>
      <c r="B277" s="72" t="inlineStr">
        <is>
          <t>Roof</t>
        </is>
      </c>
      <c r="C277" s="72" t="inlineStr">
        <is>
          <t>Debit</t>
        </is>
      </c>
      <c r="D277" s="72" t="inlineStr">
        <is>
          <t>Reg</t>
        </is>
      </c>
      <c r="E277" s="72" t="inlineStr">
        <is>
          <t>Bal</t>
        </is>
      </c>
      <c r="F277" s="12" t="n">
        <v>1</v>
      </c>
      <c r="G277" s="12" t="n">
        <v>1</v>
      </c>
      <c r="H277" s="72" t="n"/>
      <c r="I277" s="72" t="n"/>
      <c r="J277" s="72" t="n"/>
      <c r="K277" s="72" t="inlineStr">
        <is>
          <t>1600-9999</t>
        </is>
      </c>
      <c r="L277" s="72" t="inlineStr">
        <is>
          <t>Cash Flow</t>
        </is>
      </c>
    </row>
    <row r="278">
      <c r="A278" s="72" t="inlineStr">
        <is>
          <t>1600-0012</t>
        </is>
      </c>
      <c r="B278" s="72" t="inlineStr">
        <is>
          <t>Elevator</t>
        </is>
      </c>
      <c r="C278" s="72" t="inlineStr">
        <is>
          <t>Debit</t>
        </is>
      </c>
      <c r="D278" s="72" t="inlineStr">
        <is>
          <t>Reg</t>
        </is>
      </c>
      <c r="E278" s="72" t="inlineStr">
        <is>
          <t>Bal</t>
        </is>
      </c>
      <c r="F278" s="12" t="n">
        <v>1</v>
      </c>
      <c r="G278" s="12" t="n">
        <v>1</v>
      </c>
      <c r="H278" s="72" t="n"/>
      <c r="I278" s="72" t="n"/>
      <c r="J278" s="72" t="n"/>
      <c r="K278" s="72" t="inlineStr">
        <is>
          <t>1600-9999</t>
        </is>
      </c>
      <c r="L278" s="72" t="inlineStr">
        <is>
          <t>Cash Flow</t>
        </is>
      </c>
    </row>
    <row r="279">
      <c r="A279" s="72" t="inlineStr">
        <is>
          <t>1600-0013</t>
        </is>
      </c>
      <c r="B279" s="72" t="inlineStr">
        <is>
          <t>HVAC</t>
        </is>
      </c>
      <c r="C279" s="72" t="inlineStr">
        <is>
          <t>Debit</t>
        </is>
      </c>
      <c r="D279" s="72" t="inlineStr">
        <is>
          <t>Reg</t>
        </is>
      </c>
      <c r="E279" s="72" t="inlineStr">
        <is>
          <t>Bal</t>
        </is>
      </c>
      <c r="F279" s="12" t="n">
        <v>1</v>
      </c>
      <c r="G279" s="12" t="n">
        <v>1</v>
      </c>
      <c r="H279" s="72" t="n"/>
      <c r="I279" s="72" t="n"/>
      <c r="J279" s="72" t="n"/>
      <c r="K279" s="72" t="inlineStr">
        <is>
          <t>1600-9999</t>
        </is>
      </c>
      <c r="L279" s="72" t="inlineStr">
        <is>
          <t>Cash Flow</t>
        </is>
      </c>
    </row>
    <row r="280">
      <c r="A280" s="72" t="inlineStr">
        <is>
          <t>1600-0015</t>
        </is>
      </c>
      <c r="B280" s="72" t="inlineStr">
        <is>
          <t>Survey</t>
        </is>
      </c>
      <c r="C280" s="72" t="inlineStr">
        <is>
          <t>Debit</t>
        </is>
      </c>
      <c r="D280" s="72" t="inlineStr">
        <is>
          <t>Reg</t>
        </is>
      </c>
      <c r="E280" s="72" t="inlineStr">
        <is>
          <t>Bal</t>
        </is>
      </c>
      <c r="F280" s="12" t="n">
        <v>1</v>
      </c>
      <c r="G280" s="12" t="n">
        <v>1</v>
      </c>
      <c r="H280" s="72" t="n"/>
      <c r="I280" s="72" t="n"/>
      <c r="J280" s="72" t="n"/>
      <c r="K280" s="72" t="inlineStr">
        <is>
          <t>1600-9999</t>
        </is>
      </c>
      <c r="L280" s="72" t="inlineStr">
        <is>
          <t>Cash Flow</t>
        </is>
      </c>
    </row>
    <row r="281">
      <c r="A281" s="72" t="inlineStr">
        <is>
          <t>1600-0016</t>
        </is>
      </c>
      <c r="B281" s="72" t="inlineStr">
        <is>
          <t>Sandblasting</t>
        </is>
      </c>
      <c r="C281" s="72" t="inlineStr">
        <is>
          <t>Debit</t>
        </is>
      </c>
      <c r="D281" s="72" t="inlineStr">
        <is>
          <t>Reg</t>
        </is>
      </c>
      <c r="E281" s="72" t="inlineStr">
        <is>
          <t>Bal</t>
        </is>
      </c>
      <c r="F281" s="12" t="n">
        <v>1</v>
      </c>
      <c r="G281" s="12" t="n">
        <v>1</v>
      </c>
      <c r="H281" s="72" t="n"/>
      <c r="I281" s="72" t="n"/>
      <c r="J281" s="72" t="n"/>
      <c r="K281" s="72" t="inlineStr">
        <is>
          <t>1600-9999</t>
        </is>
      </c>
      <c r="L281" s="72" t="inlineStr">
        <is>
          <t>Cash Flow</t>
        </is>
      </c>
    </row>
    <row r="282">
      <c r="A282" s="72" t="inlineStr">
        <is>
          <t>1600-0017</t>
        </is>
      </c>
      <c r="B282" s="72" t="inlineStr">
        <is>
          <t>Pre-Fabricated Buildings</t>
        </is>
      </c>
      <c r="C282" s="72" t="inlineStr">
        <is>
          <t>Debit</t>
        </is>
      </c>
      <c r="D282" s="72" t="inlineStr">
        <is>
          <t>Reg</t>
        </is>
      </c>
      <c r="E282" s="72" t="inlineStr">
        <is>
          <t>Bal</t>
        </is>
      </c>
      <c r="F282" s="12" t="n">
        <v>0</v>
      </c>
      <c r="G282" s="12" t="n">
        <v>1</v>
      </c>
      <c r="H282" s="72" t="n"/>
      <c r="I282" s="72" t="n"/>
      <c r="J282" s="72" t="n"/>
      <c r="K282" s="72" t="n"/>
      <c r="L282" s="72" t="inlineStr">
        <is>
          <t>Cash Flow</t>
        </is>
      </c>
    </row>
    <row r="283">
      <c r="A283" s="72" t="inlineStr">
        <is>
          <t>1600-0020</t>
        </is>
      </c>
      <c r="B283" s="72" t="inlineStr">
        <is>
          <t>Engineering</t>
        </is>
      </c>
      <c r="C283" s="72" t="inlineStr">
        <is>
          <t>Debit</t>
        </is>
      </c>
      <c r="D283" s="72" t="inlineStr">
        <is>
          <t>Reg</t>
        </is>
      </c>
      <c r="E283" s="72" t="inlineStr">
        <is>
          <t>Bal</t>
        </is>
      </c>
      <c r="F283" s="12" t="n">
        <v>1</v>
      </c>
      <c r="G283" s="12" t="n">
        <v>1</v>
      </c>
      <c r="H283" s="72" t="n"/>
      <c r="I283" s="72" t="n"/>
      <c r="J283" s="72" t="n"/>
      <c r="K283" s="72" t="inlineStr">
        <is>
          <t>1600-9999</t>
        </is>
      </c>
      <c r="L283" s="72" t="inlineStr">
        <is>
          <t>Cash Flow</t>
        </is>
      </c>
    </row>
    <row r="284">
      <c r="A284" s="72" t="inlineStr">
        <is>
          <t>1600-0024</t>
        </is>
      </c>
      <c r="B284" s="72" t="inlineStr">
        <is>
          <t>Lender's Architectural Inspection Fee</t>
        </is>
      </c>
      <c r="C284" s="72" t="inlineStr">
        <is>
          <t>Debit</t>
        </is>
      </c>
      <c r="D284" s="72" t="inlineStr">
        <is>
          <t>Reg</t>
        </is>
      </c>
      <c r="E284" s="72" t="inlineStr">
        <is>
          <t>Bal</t>
        </is>
      </c>
      <c r="F284" s="12" t="n">
        <v>1</v>
      </c>
      <c r="G284" s="12" t="n">
        <v>1</v>
      </c>
      <c r="H284" s="72" t="n"/>
      <c r="I284" s="72" t="n"/>
      <c r="J284" s="72" t="n"/>
      <c r="K284" s="72" t="inlineStr">
        <is>
          <t>1600-9999</t>
        </is>
      </c>
      <c r="L284" s="72" t="inlineStr">
        <is>
          <t>Cash Flow</t>
        </is>
      </c>
    </row>
    <row r="285">
      <c r="A285" s="72" t="inlineStr">
        <is>
          <t>1600-0025</t>
        </is>
      </c>
      <c r="B285" s="72" t="inlineStr">
        <is>
          <t>Steel-Stairs, Railings and Ornamental</t>
        </is>
      </c>
      <c r="C285" s="72" t="inlineStr">
        <is>
          <t>Debit</t>
        </is>
      </c>
      <c r="D285" s="72" t="inlineStr">
        <is>
          <t>Reg</t>
        </is>
      </c>
      <c r="E285" s="72" t="inlineStr">
        <is>
          <t>Bal</t>
        </is>
      </c>
      <c r="F285" s="12" t="n">
        <v>1</v>
      </c>
      <c r="G285" s="12" t="n">
        <v>1</v>
      </c>
      <c r="H285" s="72" t="n"/>
      <c r="I285" s="72" t="n"/>
      <c r="J285" s="72" t="n"/>
      <c r="K285" s="72" t="inlineStr">
        <is>
          <t>1600-9999</t>
        </is>
      </c>
      <c r="L285" s="72" t="inlineStr">
        <is>
          <t>Cash Flow</t>
        </is>
      </c>
    </row>
    <row r="286">
      <c r="A286" s="72" t="inlineStr">
        <is>
          <t>1600-0026</t>
        </is>
      </c>
      <c r="B286" s="72" t="inlineStr">
        <is>
          <t>Fire Suppression</t>
        </is>
      </c>
      <c r="C286" s="72" t="inlineStr">
        <is>
          <t>Debit</t>
        </is>
      </c>
      <c r="D286" s="72" t="inlineStr">
        <is>
          <t>Reg</t>
        </is>
      </c>
      <c r="E286" s="72" t="inlineStr">
        <is>
          <t>Bal</t>
        </is>
      </c>
      <c r="F286" s="12" t="n">
        <v>1</v>
      </c>
      <c r="G286" s="12" t="n">
        <v>1</v>
      </c>
      <c r="H286" s="72" t="n"/>
      <c r="I286" s="72" t="n"/>
      <c r="J286" s="72" t="n"/>
      <c r="K286" s="72" t="inlineStr">
        <is>
          <t>1600-9999</t>
        </is>
      </c>
      <c r="L286" s="72" t="inlineStr">
        <is>
          <t>Cash Flow</t>
        </is>
      </c>
    </row>
    <row r="287">
      <c r="A287" s="72" t="inlineStr">
        <is>
          <t>1600-0027</t>
        </is>
      </c>
      <c r="B287" s="72" t="inlineStr">
        <is>
          <t>Fire Alarms</t>
        </is>
      </c>
      <c r="C287" s="72" t="inlineStr">
        <is>
          <t>Debit</t>
        </is>
      </c>
      <c r="D287" s="72" t="inlineStr">
        <is>
          <t>Reg</t>
        </is>
      </c>
      <c r="E287" s="72" t="inlineStr">
        <is>
          <t>Bal</t>
        </is>
      </c>
      <c r="F287" s="12" t="n">
        <v>1</v>
      </c>
      <c r="G287" s="12" t="n">
        <v>1</v>
      </c>
      <c r="H287" s="72" t="n"/>
      <c r="I287" s="72" t="n"/>
      <c r="J287" s="72" t="n"/>
      <c r="K287" s="72" t="inlineStr">
        <is>
          <t>1600-9999</t>
        </is>
      </c>
      <c r="L287" s="72" t="inlineStr">
        <is>
          <t>Cash Flow</t>
        </is>
      </c>
    </row>
    <row r="288">
      <c r="A288" s="72" t="inlineStr">
        <is>
          <t>1600-0028</t>
        </is>
      </c>
      <c r="B288" s="72" t="inlineStr">
        <is>
          <t>Storefront Systems &amp; Exterior Doors/Windows</t>
        </is>
      </c>
      <c r="C288" s="72" t="inlineStr">
        <is>
          <t>Debit</t>
        </is>
      </c>
      <c r="D288" s="72" t="inlineStr">
        <is>
          <t>Reg</t>
        </is>
      </c>
      <c r="E288" s="72" t="inlineStr">
        <is>
          <t>Bal</t>
        </is>
      </c>
      <c r="F288" s="12" t="n">
        <v>1</v>
      </c>
      <c r="G288" s="12" t="n">
        <v>1</v>
      </c>
      <c r="H288" s="72" t="n"/>
      <c r="I288" s="72" t="n"/>
      <c r="J288" s="72" t="n"/>
      <c r="K288" s="72" t="inlineStr">
        <is>
          <t>1600-9999</t>
        </is>
      </c>
      <c r="L288" s="72" t="inlineStr">
        <is>
          <t>Cash Flow, WIP</t>
        </is>
      </c>
    </row>
    <row r="289">
      <c r="A289" s="72" t="inlineStr">
        <is>
          <t>1600-0030</t>
        </is>
      </c>
      <c r="B289" s="72" t="inlineStr">
        <is>
          <t>Concrete</t>
        </is>
      </c>
      <c r="C289" s="72" t="inlineStr">
        <is>
          <t>Debit</t>
        </is>
      </c>
      <c r="D289" s="72" t="inlineStr">
        <is>
          <t>Reg</t>
        </is>
      </c>
      <c r="E289" s="72" t="inlineStr">
        <is>
          <t>Bal</t>
        </is>
      </c>
      <c r="F289" s="12" t="n">
        <v>1</v>
      </c>
      <c r="G289" s="12" t="n">
        <v>1</v>
      </c>
      <c r="H289" s="72" t="n"/>
      <c r="I289" s="72" t="n"/>
      <c r="J289" s="72" t="n"/>
      <c r="K289" s="72" t="inlineStr">
        <is>
          <t>1600-9999</t>
        </is>
      </c>
      <c r="L289" s="72" t="inlineStr">
        <is>
          <t>Cash Flow</t>
        </is>
      </c>
    </row>
    <row r="290">
      <c r="A290" s="72" t="inlineStr">
        <is>
          <t>1600-0035</t>
        </is>
      </c>
      <c r="B290" s="72" t="inlineStr">
        <is>
          <t>Architect</t>
        </is>
      </c>
      <c r="C290" s="72" t="inlineStr">
        <is>
          <t>Debit</t>
        </is>
      </c>
      <c r="D290" s="72" t="inlineStr">
        <is>
          <t>Reg</t>
        </is>
      </c>
      <c r="E290" s="72" t="inlineStr">
        <is>
          <t>Bal</t>
        </is>
      </c>
      <c r="F290" s="12" t="n">
        <v>1</v>
      </c>
      <c r="G290" s="12" t="n">
        <v>1</v>
      </c>
      <c r="H290" s="72" t="n"/>
      <c r="I290" s="72" t="n"/>
      <c r="J290" s="72" t="n"/>
      <c r="K290" s="72" t="inlineStr">
        <is>
          <t>1600-9999</t>
        </is>
      </c>
      <c r="L290" s="72" t="inlineStr">
        <is>
          <t>Cash Flow</t>
        </is>
      </c>
    </row>
    <row r="291">
      <c r="A291" s="72" t="inlineStr">
        <is>
          <t>1600-0036</t>
        </is>
      </c>
      <c r="B291" s="72" t="inlineStr">
        <is>
          <t>Insurance</t>
        </is>
      </c>
      <c r="C291" s="72" t="inlineStr">
        <is>
          <t>Debit</t>
        </is>
      </c>
      <c r="D291" s="72" t="inlineStr">
        <is>
          <t>Reg</t>
        </is>
      </c>
      <c r="E291" s="72" t="inlineStr">
        <is>
          <t>Bal</t>
        </is>
      </c>
      <c r="F291" s="12" t="n">
        <v>1</v>
      </c>
      <c r="G291" s="12" t="n">
        <v>1</v>
      </c>
      <c r="H291" s="72" t="n"/>
      <c r="I291" s="72" t="n"/>
      <c r="J291" s="72" t="n"/>
      <c r="K291" s="72" t="inlineStr">
        <is>
          <t>1600-9999</t>
        </is>
      </c>
      <c r="L291" s="72" t="inlineStr">
        <is>
          <t>Cash Flow</t>
        </is>
      </c>
    </row>
    <row r="292">
      <c r="A292" s="72" t="inlineStr">
        <is>
          <t>1600-0037</t>
        </is>
      </c>
      <c r="B292" s="72" t="inlineStr">
        <is>
          <t>Soft Costs</t>
        </is>
      </c>
      <c r="C292" s="72" t="inlineStr">
        <is>
          <t>Debit</t>
        </is>
      </c>
      <c r="D292" s="72" t="inlineStr">
        <is>
          <t>Reg</t>
        </is>
      </c>
      <c r="E292" s="72" t="inlineStr">
        <is>
          <t>Bal</t>
        </is>
      </c>
      <c r="F292" s="12" t="n">
        <v>0</v>
      </c>
      <c r="G292" s="12" t="n">
        <v>1</v>
      </c>
      <c r="H292" s="72" t="n"/>
      <c r="I292" s="72" t="n"/>
      <c r="J292" s="72" t="n"/>
      <c r="K292" s="72" t="n"/>
      <c r="L292" s="72" t="inlineStr">
        <is>
          <t>Cash Flow</t>
        </is>
      </c>
    </row>
    <row r="293">
      <c r="A293" s="72" t="inlineStr">
        <is>
          <t>1600-0038</t>
        </is>
      </c>
      <c r="B293" s="72" t="inlineStr">
        <is>
          <t>Resident Relocation</t>
        </is>
      </c>
      <c r="C293" s="72" t="inlineStr">
        <is>
          <t>Debit</t>
        </is>
      </c>
      <c r="D293" s="72" t="inlineStr">
        <is>
          <t>Reg</t>
        </is>
      </c>
      <c r="E293" s="72" t="inlineStr">
        <is>
          <t>Bal</t>
        </is>
      </c>
      <c r="F293" s="12" t="n">
        <v>0</v>
      </c>
      <c r="G293" s="12" t="n">
        <v>1</v>
      </c>
      <c r="H293" s="72" t="n"/>
      <c r="I293" s="72" t="n"/>
      <c r="J293" s="72" t="n"/>
      <c r="K293" s="72" t="inlineStr">
        <is>
          <t>1600-9999</t>
        </is>
      </c>
      <c r="L293" s="72" t="inlineStr">
        <is>
          <t>Cash Flow</t>
        </is>
      </c>
    </row>
    <row r="294">
      <c r="A294" s="72" t="inlineStr">
        <is>
          <t>1600-0040</t>
        </is>
      </c>
      <c r="B294" s="72" t="inlineStr">
        <is>
          <t>TENANT BUILDOUTS</t>
        </is>
      </c>
      <c r="C294" s="72" t="inlineStr">
        <is>
          <t>Debit</t>
        </is>
      </c>
      <c r="D294" s="72" t="inlineStr">
        <is>
          <t>Head</t>
        </is>
      </c>
      <c r="E294" s="72" t="inlineStr">
        <is>
          <t>Bal</t>
        </is>
      </c>
      <c r="F294" s="12" t="n">
        <v>1</v>
      </c>
      <c r="G294" s="12" t="n">
        <v>1</v>
      </c>
      <c r="H294" s="72" t="n"/>
      <c r="I294" s="72" t="n"/>
      <c r="J294" s="72" t="n"/>
      <c r="K294" s="72" t="inlineStr">
        <is>
          <t>1600-9999</t>
        </is>
      </c>
      <c r="L294" s="72" t="inlineStr">
        <is>
          <t>Exclude</t>
        </is>
      </c>
    </row>
    <row r="295">
      <c r="A295" s="72" t="inlineStr">
        <is>
          <t>1600-0041</t>
        </is>
      </c>
      <c r="B295" s="72" t="inlineStr">
        <is>
          <t>314-LL W</t>
        </is>
      </c>
      <c r="C295" s="72" t="inlineStr">
        <is>
          <t>Debit</t>
        </is>
      </c>
      <c r="D295" s="72" t="inlineStr">
        <is>
          <t>Reg</t>
        </is>
      </c>
      <c r="E295" s="72" t="inlineStr">
        <is>
          <t>Bal</t>
        </is>
      </c>
      <c r="F295" s="12" t="n">
        <v>1</v>
      </c>
      <c r="G295" s="12" t="n">
        <v>1</v>
      </c>
      <c r="H295" s="72" t="n"/>
      <c r="I295" s="72" t="n"/>
      <c r="J295" s="72" t="n"/>
      <c r="K295" s="72" t="inlineStr">
        <is>
          <t>1600-9999</t>
        </is>
      </c>
      <c r="L295" s="72" t="inlineStr">
        <is>
          <t>Cash Flow</t>
        </is>
      </c>
    </row>
    <row r="296">
      <c r="A296" s="72" t="inlineStr">
        <is>
          <t>1600-0042</t>
        </is>
      </c>
      <c r="B296" s="72" t="inlineStr">
        <is>
          <t>314-LL E</t>
        </is>
      </c>
      <c r="C296" s="72" t="inlineStr">
        <is>
          <t>Debit</t>
        </is>
      </c>
      <c r="D296" s="72" t="inlineStr">
        <is>
          <t>Reg</t>
        </is>
      </c>
      <c r="E296" s="72" t="inlineStr">
        <is>
          <t>Bal</t>
        </is>
      </c>
      <c r="F296" s="12" t="n">
        <v>1</v>
      </c>
      <c r="G296" s="12" t="n">
        <v>1</v>
      </c>
      <c r="H296" s="72" t="n"/>
      <c r="I296" s="72" t="n"/>
      <c r="J296" s="72" t="n"/>
      <c r="K296" s="72" t="inlineStr">
        <is>
          <t>1600-9999</t>
        </is>
      </c>
      <c r="L296" s="72" t="inlineStr">
        <is>
          <t>Cash Flow</t>
        </is>
      </c>
    </row>
    <row r="297">
      <c r="A297" s="72" t="inlineStr">
        <is>
          <t>1600-0043</t>
        </is>
      </c>
      <c r="B297" s="72" t="inlineStr">
        <is>
          <t>314-2W</t>
        </is>
      </c>
      <c r="C297" s="72" t="inlineStr">
        <is>
          <t>Debit</t>
        </is>
      </c>
      <c r="D297" s="72" t="inlineStr">
        <is>
          <t>Reg</t>
        </is>
      </c>
      <c r="E297" s="72" t="inlineStr">
        <is>
          <t>Bal</t>
        </is>
      </c>
      <c r="F297" s="12" t="n">
        <v>1</v>
      </c>
      <c r="G297" s="12" t="n">
        <v>1</v>
      </c>
      <c r="H297" s="72" t="n"/>
      <c r="I297" s="72" t="n"/>
      <c r="J297" s="72" t="n"/>
      <c r="K297" s="72" t="inlineStr">
        <is>
          <t>1600-9999</t>
        </is>
      </c>
      <c r="L297" s="72" t="inlineStr">
        <is>
          <t>Cash Flow</t>
        </is>
      </c>
    </row>
    <row r="298">
      <c r="A298" s="72" t="inlineStr">
        <is>
          <t>1600-0044</t>
        </is>
      </c>
      <c r="B298" s="72" t="inlineStr">
        <is>
          <t>314-2E</t>
        </is>
      </c>
      <c r="C298" s="72" t="inlineStr">
        <is>
          <t>Debit</t>
        </is>
      </c>
      <c r="D298" s="72" t="inlineStr">
        <is>
          <t>Reg</t>
        </is>
      </c>
      <c r="E298" s="72" t="inlineStr">
        <is>
          <t>Bal</t>
        </is>
      </c>
      <c r="F298" s="12" t="n">
        <v>1</v>
      </c>
      <c r="G298" s="12" t="n">
        <v>1</v>
      </c>
      <c r="H298" s="72" t="n"/>
      <c r="I298" s="72" t="n"/>
      <c r="J298" s="72" t="n"/>
      <c r="K298" s="72" t="inlineStr">
        <is>
          <t>1600-9999</t>
        </is>
      </c>
      <c r="L298" s="72" t="inlineStr">
        <is>
          <t>Cash Flow</t>
        </is>
      </c>
    </row>
    <row r="299">
      <c r="A299" s="72" t="inlineStr">
        <is>
          <t>1600-0045</t>
        </is>
      </c>
      <c r="B299" s="72" t="inlineStr">
        <is>
          <t>314-3W</t>
        </is>
      </c>
      <c r="C299" s="72" t="inlineStr">
        <is>
          <t>Debit</t>
        </is>
      </c>
      <c r="D299" s="72" t="inlineStr">
        <is>
          <t>Reg</t>
        </is>
      </c>
      <c r="E299" s="72" t="inlineStr">
        <is>
          <t>Bal</t>
        </is>
      </c>
      <c r="F299" s="12" t="n">
        <v>1</v>
      </c>
      <c r="G299" s="12" t="n">
        <v>1</v>
      </c>
      <c r="H299" s="72" t="n"/>
      <c r="I299" s="72" t="n"/>
      <c r="J299" s="72" t="n"/>
      <c r="K299" s="72" t="inlineStr">
        <is>
          <t>1600-9999</t>
        </is>
      </c>
      <c r="L299" s="72" t="inlineStr">
        <is>
          <t>Cash Flow</t>
        </is>
      </c>
    </row>
    <row r="300">
      <c r="A300" s="72" t="inlineStr">
        <is>
          <t>1600-0046</t>
        </is>
      </c>
      <c r="B300" s="72" t="inlineStr">
        <is>
          <t>314-3E</t>
        </is>
      </c>
      <c r="C300" s="72" t="inlineStr">
        <is>
          <t>Debit</t>
        </is>
      </c>
      <c r="D300" s="72" t="inlineStr">
        <is>
          <t>Reg</t>
        </is>
      </c>
      <c r="E300" s="72" t="inlineStr">
        <is>
          <t>Bal</t>
        </is>
      </c>
      <c r="F300" s="12" t="n">
        <v>1</v>
      </c>
      <c r="G300" s="12" t="n">
        <v>1</v>
      </c>
      <c r="H300" s="72" t="n"/>
      <c r="I300" s="72" t="n"/>
      <c r="J300" s="72" t="n"/>
      <c r="K300" s="72" t="inlineStr">
        <is>
          <t>1600-9999</t>
        </is>
      </c>
      <c r="L300" s="72" t="inlineStr">
        <is>
          <t>Cash Flow</t>
        </is>
      </c>
    </row>
    <row r="301">
      <c r="A301" s="72" t="inlineStr">
        <is>
          <t>1600-0047</t>
        </is>
      </c>
      <c r="B301" s="72" t="inlineStr">
        <is>
          <t>TI - Draw</t>
        </is>
      </c>
      <c r="C301" s="72" t="inlineStr">
        <is>
          <t>Debit</t>
        </is>
      </c>
      <c r="D301" s="72" t="inlineStr">
        <is>
          <t>Reg</t>
        </is>
      </c>
      <c r="E301" s="72" t="inlineStr">
        <is>
          <t>Bal</t>
        </is>
      </c>
      <c r="F301" s="12" t="n">
        <v>0</v>
      </c>
      <c r="G301" s="12" t="n">
        <v>1</v>
      </c>
      <c r="H301" s="72" t="n"/>
      <c r="I301" s="72" t="n"/>
      <c r="J301" s="72" t="n"/>
      <c r="K301" s="72" t="inlineStr">
        <is>
          <t>1600-9999</t>
        </is>
      </c>
      <c r="L301" s="72" t="inlineStr">
        <is>
          <t>Cash Flow</t>
        </is>
      </c>
    </row>
    <row r="302">
      <c r="A302" s="72" t="inlineStr">
        <is>
          <t>1600-0048</t>
        </is>
      </c>
      <c r="B302" s="72" t="inlineStr">
        <is>
          <t>Development Fee</t>
        </is>
      </c>
      <c r="C302" s="72" t="inlineStr">
        <is>
          <t>Debit</t>
        </is>
      </c>
      <c r="D302" s="72" t="inlineStr">
        <is>
          <t>Reg</t>
        </is>
      </c>
      <c r="E302" s="72" t="inlineStr">
        <is>
          <t>Bal</t>
        </is>
      </c>
      <c r="F302" s="12" t="n">
        <v>0</v>
      </c>
      <c r="G302" s="12" t="n">
        <v>1</v>
      </c>
      <c r="H302" s="72" t="n"/>
      <c r="I302" s="72" t="n"/>
      <c r="J302" s="72" t="n"/>
      <c r="K302" s="72" t="inlineStr">
        <is>
          <t>1600-9999</t>
        </is>
      </c>
      <c r="L302" s="72" t="inlineStr">
        <is>
          <t>Cash Flow</t>
        </is>
      </c>
    </row>
    <row r="303">
      <c r="A303" s="72" t="inlineStr">
        <is>
          <t>1600-0049</t>
        </is>
      </c>
      <c r="B303" s="72" t="inlineStr">
        <is>
          <t>Construction Managment Fee</t>
        </is>
      </c>
      <c r="C303" s="72" t="inlineStr">
        <is>
          <t>Debit</t>
        </is>
      </c>
      <c r="D303" s="72" t="inlineStr">
        <is>
          <t>Reg</t>
        </is>
      </c>
      <c r="E303" s="72" t="inlineStr">
        <is>
          <t>Bal</t>
        </is>
      </c>
      <c r="F303" s="12" t="n">
        <v>0</v>
      </c>
      <c r="G303" s="12" t="n">
        <v>1</v>
      </c>
      <c r="H303" s="72" t="n"/>
      <c r="I303" s="72" t="n"/>
      <c r="J303" s="72" t="n"/>
      <c r="K303" s="72" t="inlineStr">
        <is>
          <t>1600-9999</t>
        </is>
      </c>
      <c r="L303" s="72" t="inlineStr">
        <is>
          <t>Cash Flow</t>
        </is>
      </c>
    </row>
    <row r="304">
      <c r="A304" s="72" t="inlineStr">
        <is>
          <t>1600-0050</t>
        </is>
      </c>
      <c r="B304" s="72" t="inlineStr">
        <is>
          <t>Excavation/Fill/Grading</t>
        </is>
      </c>
      <c r="C304" s="72" t="inlineStr">
        <is>
          <t>Debit</t>
        </is>
      </c>
      <c r="D304" s="72" t="inlineStr">
        <is>
          <t>Reg</t>
        </is>
      </c>
      <c r="E304" s="72" t="inlineStr">
        <is>
          <t>Bal</t>
        </is>
      </c>
      <c r="F304" s="12" t="n">
        <v>0</v>
      </c>
      <c r="G304" s="12" t="n">
        <v>1</v>
      </c>
      <c r="H304" s="72" t="n"/>
      <c r="I304" s="72" t="n"/>
      <c r="J304" s="72" t="n"/>
      <c r="K304" s="72" t="inlineStr">
        <is>
          <t>1600-9999</t>
        </is>
      </c>
      <c r="L304" s="72" t="inlineStr">
        <is>
          <t>Cash Flow</t>
        </is>
      </c>
    </row>
    <row r="305">
      <c r="A305" s="72" t="inlineStr">
        <is>
          <t>1600-1000</t>
        </is>
      </c>
      <c r="B305" s="72" t="inlineStr">
        <is>
          <t>Draws</t>
        </is>
      </c>
      <c r="C305" s="72" t="inlineStr">
        <is>
          <t>Debit</t>
        </is>
      </c>
      <c r="D305" s="72" t="inlineStr">
        <is>
          <t>Head</t>
        </is>
      </c>
      <c r="E305" s="72" t="inlineStr">
        <is>
          <t>Bal</t>
        </is>
      </c>
      <c r="F305" s="12" t="n">
        <v>0</v>
      </c>
      <c r="G305" s="12" t="n">
        <v>1</v>
      </c>
      <c r="H305" s="72" t="n"/>
      <c r="I305" s="72" t="n"/>
      <c r="J305" s="72" t="n"/>
      <c r="K305" s="72" t="inlineStr">
        <is>
          <t>1600-9999</t>
        </is>
      </c>
      <c r="L305" s="72" t="inlineStr">
        <is>
          <t>Exclude</t>
        </is>
      </c>
    </row>
    <row r="306">
      <c r="A306" s="72" t="inlineStr">
        <is>
          <t>1600-1001</t>
        </is>
      </c>
      <c r="B306" s="72" t="inlineStr">
        <is>
          <t>Draw 1</t>
        </is>
      </c>
      <c r="C306" s="72" t="inlineStr">
        <is>
          <t>Debit</t>
        </is>
      </c>
      <c r="D306" s="72" t="inlineStr">
        <is>
          <t>Reg</t>
        </is>
      </c>
      <c r="E306" s="72" t="inlineStr">
        <is>
          <t>Bal</t>
        </is>
      </c>
      <c r="F306" s="12" t="n">
        <v>0</v>
      </c>
      <c r="G306" s="12" t="n">
        <v>1</v>
      </c>
      <c r="H306" s="72" t="n"/>
      <c r="I306" s="72" t="n"/>
      <c r="J306" s="72" t="n"/>
      <c r="K306" s="72" t="inlineStr">
        <is>
          <t>1600-9999</t>
        </is>
      </c>
      <c r="L306" s="72" t="inlineStr">
        <is>
          <t>Cash Flow</t>
        </is>
      </c>
    </row>
    <row r="307">
      <c r="A307" s="72" t="inlineStr">
        <is>
          <t>1600-1002</t>
        </is>
      </c>
      <c r="B307" s="72" t="inlineStr">
        <is>
          <t>Draw 2</t>
        </is>
      </c>
      <c r="C307" s="72" t="inlineStr">
        <is>
          <t>Debit</t>
        </is>
      </c>
      <c r="D307" s="72" t="inlineStr">
        <is>
          <t>Reg</t>
        </is>
      </c>
      <c r="E307" s="72" t="inlineStr">
        <is>
          <t>Bal</t>
        </is>
      </c>
      <c r="F307" s="12" t="n">
        <v>0</v>
      </c>
      <c r="G307" s="12" t="n">
        <v>1</v>
      </c>
      <c r="H307" s="72" t="n"/>
      <c r="I307" s="72" t="n"/>
      <c r="J307" s="72" t="n"/>
      <c r="K307" s="72" t="inlineStr">
        <is>
          <t>1600-9999</t>
        </is>
      </c>
      <c r="L307" s="72" t="inlineStr">
        <is>
          <t>Cash Flow</t>
        </is>
      </c>
    </row>
    <row r="308">
      <c r="A308" s="72" t="inlineStr">
        <is>
          <t>1600-1003</t>
        </is>
      </c>
      <c r="B308" s="72" t="inlineStr">
        <is>
          <t>Draw 3</t>
        </is>
      </c>
      <c r="C308" s="72" t="inlineStr">
        <is>
          <t>Debit</t>
        </is>
      </c>
      <c r="D308" s="72" t="inlineStr">
        <is>
          <t>Reg</t>
        </is>
      </c>
      <c r="E308" s="72" t="inlineStr">
        <is>
          <t>Bal</t>
        </is>
      </c>
      <c r="F308" s="12" t="n">
        <v>0</v>
      </c>
      <c r="G308" s="12" t="n">
        <v>1</v>
      </c>
      <c r="H308" s="72" t="n"/>
      <c r="I308" s="72" t="n"/>
      <c r="J308" s="72" t="n"/>
      <c r="K308" s="72" t="inlineStr">
        <is>
          <t>1600-9999</t>
        </is>
      </c>
      <c r="L308" s="72" t="inlineStr">
        <is>
          <t>Cash Flow</t>
        </is>
      </c>
    </row>
    <row r="309">
      <c r="A309" s="72" t="inlineStr">
        <is>
          <t>1600-1004</t>
        </is>
      </c>
      <c r="B309" s="72" t="inlineStr">
        <is>
          <t>Draw 4</t>
        </is>
      </c>
      <c r="C309" s="72" t="inlineStr">
        <is>
          <t>Debit</t>
        </is>
      </c>
      <c r="D309" s="72" t="inlineStr">
        <is>
          <t>Reg</t>
        </is>
      </c>
      <c r="E309" s="72" t="inlineStr">
        <is>
          <t>Bal</t>
        </is>
      </c>
      <c r="F309" s="12" t="n">
        <v>0</v>
      </c>
      <c r="G309" s="12" t="n">
        <v>1</v>
      </c>
      <c r="H309" s="72" t="n"/>
      <c r="I309" s="72" t="n"/>
      <c r="J309" s="72" t="n"/>
      <c r="K309" s="72" t="inlineStr">
        <is>
          <t>1600-9999</t>
        </is>
      </c>
      <c r="L309" s="72" t="inlineStr">
        <is>
          <t>Cash Flow</t>
        </is>
      </c>
    </row>
    <row r="310">
      <c r="A310" s="72" t="inlineStr">
        <is>
          <t>1600-1005</t>
        </is>
      </c>
      <c r="B310" s="72" t="inlineStr">
        <is>
          <t>Draw 5</t>
        </is>
      </c>
      <c r="C310" s="72" t="inlineStr">
        <is>
          <t>Debit</t>
        </is>
      </c>
      <c r="D310" s="72" t="inlineStr">
        <is>
          <t>Reg</t>
        </is>
      </c>
      <c r="E310" s="72" t="inlineStr">
        <is>
          <t>Bal</t>
        </is>
      </c>
      <c r="F310" s="12" t="n">
        <v>0</v>
      </c>
      <c r="G310" s="12" t="n">
        <v>1</v>
      </c>
      <c r="H310" s="72" t="n"/>
      <c r="I310" s="72" t="n"/>
      <c r="J310" s="72" t="n"/>
      <c r="K310" s="72" t="inlineStr">
        <is>
          <t>1600-9999</t>
        </is>
      </c>
      <c r="L310" s="72" t="inlineStr">
        <is>
          <t>Cash Flow</t>
        </is>
      </c>
    </row>
    <row r="311">
      <c r="A311" s="72" t="inlineStr">
        <is>
          <t>1600-1006</t>
        </is>
      </c>
      <c r="B311" s="72" t="inlineStr">
        <is>
          <t>Draw 6</t>
        </is>
      </c>
      <c r="C311" s="72" t="inlineStr">
        <is>
          <t>Debit</t>
        </is>
      </c>
      <c r="D311" s="72" t="inlineStr">
        <is>
          <t>Reg</t>
        </is>
      </c>
      <c r="E311" s="72" t="inlineStr">
        <is>
          <t>Bal</t>
        </is>
      </c>
      <c r="F311" s="12" t="n">
        <v>0</v>
      </c>
      <c r="G311" s="12" t="n">
        <v>1</v>
      </c>
      <c r="H311" s="72" t="n"/>
      <c r="I311" s="72" t="n"/>
      <c r="J311" s="72" t="n"/>
      <c r="K311" s="72" t="inlineStr">
        <is>
          <t>1600-9999</t>
        </is>
      </c>
      <c r="L311" s="72" t="inlineStr">
        <is>
          <t>Cash Flow</t>
        </is>
      </c>
    </row>
    <row r="312">
      <c r="A312" s="72" t="inlineStr">
        <is>
          <t>1600-1007</t>
        </is>
      </c>
      <c r="B312" s="72" t="inlineStr">
        <is>
          <t>Draw 7</t>
        </is>
      </c>
      <c r="C312" s="72" t="inlineStr">
        <is>
          <t>Debit</t>
        </is>
      </c>
      <c r="D312" s="72" t="inlineStr">
        <is>
          <t>Reg</t>
        </is>
      </c>
      <c r="E312" s="72" t="inlineStr">
        <is>
          <t>Bal</t>
        </is>
      </c>
      <c r="F312" s="12" t="n">
        <v>0</v>
      </c>
      <c r="G312" s="12" t="n">
        <v>1</v>
      </c>
      <c r="H312" s="72" t="n"/>
      <c r="I312" s="72" t="n"/>
      <c r="J312" s="72" t="n"/>
      <c r="K312" s="72" t="inlineStr">
        <is>
          <t>1600-9999</t>
        </is>
      </c>
      <c r="L312" s="72" t="inlineStr">
        <is>
          <t>Cash Flow</t>
        </is>
      </c>
    </row>
    <row r="313">
      <c r="A313" s="72" t="inlineStr">
        <is>
          <t>1600-1008</t>
        </is>
      </c>
      <c r="B313" s="72" t="inlineStr">
        <is>
          <t>Draw 8</t>
        </is>
      </c>
      <c r="C313" s="72" t="inlineStr">
        <is>
          <t>Debit</t>
        </is>
      </c>
      <c r="D313" s="72" t="inlineStr">
        <is>
          <t>Reg</t>
        </is>
      </c>
      <c r="E313" s="72" t="inlineStr">
        <is>
          <t>Bal</t>
        </is>
      </c>
      <c r="F313" s="12" t="n">
        <v>0</v>
      </c>
      <c r="G313" s="12" t="n">
        <v>1</v>
      </c>
      <c r="H313" s="72" t="n"/>
      <c r="I313" s="72" t="n"/>
      <c r="J313" s="72" t="n"/>
      <c r="K313" s="72" t="inlineStr">
        <is>
          <t>1600-9999</t>
        </is>
      </c>
      <c r="L313" s="72" t="inlineStr">
        <is>
          <t>Cash Flow</t>
        </is>
      </c>
    </row>
    <row r="314">
      <c r="A314" s="72" t="inlineStr">
        <is>
          <t>1600-1009</t>
        </is>
      </c>
      <c r="B314" s="72" t="inlineStr">
        <is>
          <t>Draw 9</t>
        </is>
      </c>
      <c r="C314" s="72" t="inlineStr">
        <is>
          <t>Debit</t>
        </is>
      </c>
      <c r="D314" s="72" t="inlineStr">
        <is>
          <t>Reg</t>
        </is>
      </c>
      <c r="E314" s="72" t="inlineStr">
        <is>
          <t>Bal</t>
        </is>
      </c>
      <c r="F314" s="12" t="n">
        <v>0</v>
      </c>
      <c r="G314" s="12" t="n">
        <v>1</v>
      </c>
      <c r="H314" s="72" t="n"/>
      <c r="I314" s="72" t="n"/>
      <c r="J314" s="72" t="n"/>
      <c r="K314" s="72" t="inlineStr">
        <is>
          <t>1600-9999</t>
        </is>
      </c>
      <c r="L314" s="72" t="inlineStr">
        <is>
          <t>Cash Flow</t>
        </is>
      </c>
    </row>
    <row r="315">
      <c r="A315" s="72" t="inlineStr">
        <is>
          <t>1600-1010</t>
        </is>
      </c>
      <c r="B315" s="72" t="inlineStr">
        <is>
          <t>Draw 10</t>
        </is>
      </c>
      <c r="C315" s="72" t="inlineStr">
        <is>
          <t>Debit</t>
        </is>
      </c>
      <c r="D315" s="72" t="inlineStr">
        <is>
          <t>Reg</t>
        </is>
      </c>
      <c r="E315" s="72" t="inlineStr">
        <is>
          <t>Bal</t>
        </is>
      </c>
      <c r="F315" s="12" t="n">
        <v>0</v>
      </c>
      <c r="G315" s="12" t="n">
        <v>1</v>
      </c>
      <c r="H315" s="72" t="n"/>
      <c r="I315" s="72" t="n"/>
      <c r="J315" s="72" t="n"/>
      <c r="K315" s="72" t="inlineStr">
        <is>
          <t>1600-9999</t>
        </is>
      </c>
      <c r="L315" s="72" t="inlineStr">
        <is>
          <t>Cash Flow</t>
        </is>
      </c>
    </row>
    <row r="316">
      <c r="A316" s="72" t="inlineStr">
        <is>
          <t>1600-1011</t>
        </is>
      </c>
      <c r="B316" s="72" t="inlineStr">
        <is>
          <t>Draw 11</t>
        </is>
      </c>
      <c r="C316" s="72" t="inlineStr">
        <is>
          <t>Debit</t>
        </is>
      </c>
      <c r="D316" s="72" t="inlineStr">
        <is>
          <t>Reg</t>
        </is>
      </c>
      <c r="E316" s="72" t="inlineStr">
        <is>
          <t>Bal</t>
        </is>
      </c>
      <c r="F316" s="12" t="n">
        <v>0</v>
      </c>
      <c r="G316" s="12" t="n">
        <v>1</v>
      </c>
      <c r="H316" s="72" t="n"/>
      <c r="I316" s="72" t="n"/>
      <c r="J316" s="72" t="n"/>
      <c r="K316" s="72" t="inlineStr">
        <is>
          <t>1600-9999</t>
        </is>
      </c>
      <c r="L316" s="72" t="inlineStr">
        <is>
          <t>Cash Flow</t>
        </is>
      </c>
    </row>
    <row r="317">
      <c r="A317" s="72" t="inlineStr">
        <is>
          <t>1600-1012</t>
        </is>
      </c>
      <c r="B317" s="72" t="inlineStr">
        <is>
          <t>Draw 12</t>
        </is>
      </c>
      <c r="C317" s="72" t="inlineStr">
        <is>
          <t>Debit</t>
        </is>
      </c>
      <c r="D317" s="72" t="inlineStr">
        <is>
          <t>Reg</t>
        </is>
      </c>
      <c r="E317" s="72" t="inlineStr">
        <is>
          <t>Bal</t>
        </is>
      </c>
      <c r="F317" s="12" t="n">
        <v>0</v>
      </c>
      <c r="G317" s="12" t="n">
        <v>1</v>
      </c>
      <c r="H317" s="72" t="n"/>
      <c r="I317" s="72" t="n"/>
      <c r="J317" s="72" t="n"/>
      <c r="K317" s="72" t="inlineStr">
        <is>
          <t>1600-9999</t>
        </is>
      </c>
      <c r="L317" s="72" t="inlineStr">
        <is>
          <t>Cash Flow</t>
        </is>
      </c>
    </row>
    <row r="318">
      <c r="A318" s="72" t="inlineStr">
        <is>
          <t>1600-1013</t>
        </is>
      </c>
      <c r="B318" s="72" t="inlineStr">
        <is>
          <t>Draw 13</t>
        </is>
      </c>
      <c r="C318" s="72" t="inlineStr">
        <is>
          <t>Debit</t>
        </is>
      </c>
      <c r="D318" s="72" t="inlineStr">
        <is>
          <t>Reg</t>
        </is>
      </c>
      <c r="E318" s="72" t="inlineStr">
        <is>
          <t>Bal</t>
        </is>
      </c>
      <c r="F318" s="12" t="n">
        <v>0</v>
      </c>
      <c r="G318" s="12" t="n">
        <v>1</v>
      </c>
      <c r="H318" s="72" t="n"/>
      <c r="I318" s="72" t="n"/>
      <c r="J318" s="72" t="n"/>
      <c r="K318" s="72" t="inlineStr">
        <is>
          <t>1600-9999</t>
        </is>
      </c>
      <c r="L318" s="72" t="inlineStr">
        <is>
          <t>Cash Flow</t>
        </is>
      </c>
    </row>
    <row r="319">
      <c r="A319" s="72" t="inlineStr">
        <is>
          <t>1600-1014</t>
        </is>
      </c>
      <c r="B319" s="72" t="inlineStr">
        <is>
          <t>Draw 14</t>
        </is>
      </c>
      <c r="C319" s="72" t="inlineStr">
        <is>
          <t>Debit</t>
        </is>
      </c>
      <c r="D319" s="72" t="inlineStr">
        <is>
          <t>Reg</t>
        </is>
      </c>
      <c r="E319" s="72" t="inlineStr">
        <is>
          <t>Bal</t>
        </is>
      </c>
      <c r="F319" s="12" t="n">
        <v>0</v>
      </c>
      <c r="G319" s="12" t="n">
        <v>1</v>
      </c>
      <c r="H319" s="72" t="n"/>
      <c r="I319" s="72" t="n"/>
      <c r="J319" s="72" t="n"/>
      <c r="K319" s="72" t="inlineStr">
        <is>
          <t>1600-9999</t>
        </is>
      </c>
      <c r="L319" s="72" t="inlineStr">
        <is>
          <t>Cash Flow</t>
        </is>
      </c>
    </row>
    <row r="320">
      <c r="A320" s="72" t="inlineStr">
        <is>
          <t>1600-1015</t>
        </is>
      </c>
      <c r="B320" s="72" t="inlineStr">
        <is>
          <t>Draw 15</t>
        </is>
      </c>
      <c r="C320" s="72" t="inlineStr">
        <is>
          <t>Debit</t>
        </is>
      </c>
      <c r="D320" s="72" t="inlineStr">
        <is>
          <t>Reg</t>
        </is>
      </c>
      <c r="E320" s="72" t="inlineStr">
        <is>
          <t>Bal</t>
        </is>
      </c>
      <c r="F320" s="12" t="n">
        <v>0</v>
      </c>
      <c r="G320" s="12" t="n">
        <v>1</v>
      </c>
      <c r="H320" s="72" t="n"/>
      <c r="I320" s="72" t="n"/>
      <c r="J320" s="72" t="n"/>
      <c r="K320" s="72" t="inlineStr">
        <is>
          <t>1600-9999</t>
        </is>
      </c>
      <c r="L320" s="72" t="inlineStr">
        <is>
          <t>Cash Flow</t>
        </is>
      </c>
    </row>
    <row r="321">
      <c r="A321" s="72" t="inlineStr">
        <is>
          <t>1600-1016</t>
        </is>
      </c>
      <c r="B321" s="72" t="inlineStr">
        <is>
          <t>Draw 16</t>
        </is>
      </c>
      <c r="C321" s="72" t="inlineStr">
        <is>
          <t>Debit</t>
        </is>
      </c>
      <c r="D321" s="72" t="inlineStr">
        <is>
          <t>Reg</t>
        </is>
      </c>
      <c r="E321" s="72" t="inlineStr">
        <is>
          <t>Bal</t>
        </is>
      </c>
      <c r="F321" s="12" t="n">
        <v>0</v>
      </c>
      <c r="G321" s="12" t="n">
        <v>1</v>
      </c>
      <c r="H321" s="72" t="n"/>
      <c r="I321" s="72" t="n"/>
      <c r="J321" s="72" t="n"/>
      <c r="K321" s="72" t="inlineStr">
        <is>
          <t>1600-9999</t>
        </is>
      </c>
      <c r="L321" s="72" t="inlineStr">
        <is>
          <t>Cash Flow</t>
        </is>
      </c>
    </row>
    <row r="322">
      <c r="A322" s="72" t="inlineStr">
        <is>
          <t>1600-9999</t>
        </is>
      </c>
      <c r="B322" s="72" t="inlineStr">
        <is>
          <t>TOTAL CONSTRUCTION IN PROGRESS</t>
        </is>
      </c>
      <c r="C322" s="72" t="inlineStr">
        <is>
          <t>Debit</t>
        </is>
      </c>
      <c r="D322" s="72" t="inlineStr">
        <is>
          <t>Tot</t>
        </is>
      </c>
      <c r="E322" s="72" t="inlineStr">
        <is>
          <t>Bal</t>
        </is>
      </c>
      <c r="F322" s="12" t="n">
        <v>2</v>
      </c>
      <c r="G322" s="12" t="n">
        <v>1</v>
      </c>
      <c r="H322" s="72" t="n"/>
      <c r="I322" s="72" t="n"/>
      <c r="J322" s="72" t="n"/>
      <c r="K322" s="72" t="inlineStr">
        <is>
          <t>1890-0000</t>
        </is>
      </c>
      <c r="L322" s="72" t="n"/>
    </row>
    <row r="323">
      <c r="A323" s="72" t="inlineStr">
        <is>
          <t>1700-0000</t>
        </is>
      </c>
      <c r="B323" s="72" t="inlineStr">
        <is>
          <t>Investment Holdings</t>
        </is>
      </c>
      <c r="C323" s="72" t="inlineStr">
        <is>
          <t>Debit</t>
        </is>
      </c>
      <c r="D323" s="72" t="inlineStr">
        <is>
          <t>Reg</t>
        </is>
      </c>
      <c r="E323" s="72" t="inlineStr">
        <is>
          <t>Bal</t>
        </is>
      </c>
      <c r="F323" s="12" t="n">
        <v>1</v>
      </c>
      <c r="G323" s="12" t="n">
        <v>1</v>
      </c>
      <c r="H323" s="72" t="n"/>
      <c r="I323" s="72" t="n"/>
      <c r="J323" s="72" t="n"/>
      <c r="K323" s="72" t="inlineStr">
        <is>
          <t>1890-0000</t>
        </is>
      </c>
      <c r="L323" s="72" t="inlineStr">
        <is>
          <t>Cash Flow</t>
        </is>
      </c>
    </row>
    <row r="324">
      <c r="A324" s="72" t="inlineStr">
        <is>
          <t>1700-0001</t>
        </is>
      </c>
      <c r="B324" s="72" t="inlineStr">
        <is>
          <t>Investment in A Storage USA</t>
        </is>
      </c>
      <c r="C324" s="72" t="inlineStr">
        <is>
          <t>Debit</t>
        </is>
      </c>
      <c r="D324" s="72" t="inlineStr">
        <is>
          <t>Reg</t>
        </is>
      </c>
      <c r="E324" s="72" t="inlineStr">
        <is>
          <t>Bal</t>
        </is>
      </c>
      <c r="F324" s="12" t="n">
        <v>1</v>
      </c>
      <c r="G324" s="12" t="n">
        <v>1</v>
      </c>
      <c r="H324" s="72" t="n"/>
      <c r="I324" s="72" t="n"/>
      <c r="J324" s="72" t="n"/>
      <c r="K324" s="72" t="inlineStr">
        <is>
          <t>1890-0000</t>
        </is>
      </c>
      <c r="L324" s="72" t="inlineStr">
        <is>
          <t>Cash Flow</t>
        </is>
      </c>
    </row>
    <row r="325">
      <c r="A325" s="72" t="inlineStr">
        <is>
          <t>1700-0002</t>
        </is>
      </c>
      <c r="B325" s="72" t="inlineStr">
        <is>
          <t>Investment in Storsafe of Trotwood</t>
        </is>
      </c>
      <c r="C325" s="72" t="inlineStr">
        <is>
          <t>Debit</t>
        </is>
      </c>
      <c r="D325" s="72" t="inlineStr">
        <is>
          <t>Reg</t>
        </is>
      </c>
      <c r="E325" s="72" t="inlineStr">
        <is>
          <t>Bal</t>
        </is>
      </c>
      <c r="F325" s="12" t="n">
        <v>1</v>
      </c>
      <c r="G325" s="12" t="n">
        <v>1</v>
      </c>
      <c r="H325" s="72" t="n"/>
      <c r="I325" s="72" t="n"/>
      <c r="J325" s="72" t="n"/>
      <c r="K325" s="72" t="inlineStr">
        <is>
          <t>1890-0000</t>
        </is>
      </c>
      <c r="L325" s="72" t="inlineStr">
        <is>
          <t>Cash Flow</t>
        </is>
      </c>
    </row>
    <row r="326">
      <c r="A326" s="72" t="inlineStr">
        <is>
          <t>1700-5100</t>
        </is>
      </c>
      <c r="B326" s="72" t="inlineStr">
        <is>
          <t>Investment in 5100 96th</t>
        </is>
      </c>
      <c r="C326" s="72" t="inlineStr">
        <is>
          <t>Debit</t>
        </is>
      </c>
      <c r="D326" s="72" t="inlineStr">
        <is>
          <t>Reg</t>
        </is>
      </c>
      <c r="E326" s="72" t="inlineStr">
        <is>
          <t>Bal</t>
        </is>
      </c>
      <c r="F326" s="12" t="n">
        <v>2</v>
      </c>
      <c r="G326" s="12" t="n">
        <v>1</v>
      </c>
      <c r="H326" s="72" t="n"/>
      <c r="I326" s="72" t="n"/>
      <c r="J326" s="72" t="n"/>
      <c r="K326" s="72" t="inlineStr">
        <is>
          <t>1890-0000</t>
        </is>
      </c>
      <c r="L326" s="72" t="inlineStr">
        <is>
          <t>Cash Flow</t>
        </is>
      </c>
    </row>
    <row r="327">
      <c r="A327" s="72" t="inlineStr">
        <is>
          <t>1700-6333</t>
        </is>
      </c>
      <c r="B327" s="72" t="inlineStr">
        <is>
          <t>Investment In 6333</t>
        </is>
      </c>
      <c r="C327" s="72" t="inlineStr">
        <is>
          <t>Debit</t>
        </is>
      </c>
      <c r="D327" s="72" t="inlineStr">
        <is>
          <t>Reg</t>
        </is>
      </c>
      <c r="E327" s="72" t="inlineStr">
        <is>
          <t>Bal</t>
        </is>
      </c>
      <c r="F327" s="12" t="n">
        <v>2</v>
      </c>
      <c r="G327" s="12" t="n">
        <v>1</v>
      </c>
      <c r="H327" s="72" t="n"/>
      <c r="I327" s="72" t="n"/>
      <c r="J327" s="72" t="n"/>
      <c r="K327" s="72" t="inlineStr">
        <is>
          <t>1890-0000</t>
        </is>
      </c>
      <c r="L327" s="72" t="inlineStr">
        <is>
          <t>Cash Flow</t>
        </is>
      </c>
    </row>
    <row r="328">
      <c r="A328" s="72" t="inlineStr">
        <is>
          <t>1700-9530</t>
        </is>
      </c>
      <c r="B328" s="72" t="inlineStr">
        <is>
          <t>Investment In 9530 Cook</t>
        </is>
      </c>
      <c r="C328" s="72" t="inlineStr">
        <is>
          <t>Debit</t>
        </is>
      </c>
      <c r="D328" s="72" t="inlineStr">
        <is>
          <t>Reg</t>
        </is>
      </c>
      <c r="E328" s="72" t="inlineStr">
        <is>
          <t>Bal</t>
        </is>
      </c>
      <c r="F328" s="12" t="n">
        <v>2</v>
      </c>
      <c r="G328" s="12" t="n">
        <v>1</v>
      </c>
      <c r="H328" s="72" t="n"/>
      <c r="I328" s="72" t="n"/>
      <c r="J328" s="72" t="n"/>
      <c r="K328" s="72" t="inlineStr">
        <is>
          <t>1890-0000</t>
        </is>
      </c>
      <c r="L328" s="72" t="inlineStr">
        <is>
          <t>Cash Flow</t>
        </is>
      </c>
    </row>
    <row r="329">
      <c r="A329" s="72" t="inlineStr">
        <is>
          <t>1710-0000</t>
        </is>
      </c>
      <c r="B329" s="72" t="inlineStr">
        <is>
          <t>Realty Depreciation</t>
        </is>
      </c>
      <c r="C329" s="72" t="inlineStr">
        <is>
          <t>Debit</t>
        </is>
      </c>
      <c r="D329" s="72" t="inlineStr">
        <is>
          <t>Reg</t>
        </is>
      </c>
      <c r="E329" s="72" t="inlineStr">
        <is>
          <t>Bal</t>
        </is>
      </c>
      <c r="F329" s="12" t="n">
        <v>1</v>
      </c>
      <c r="G329" s="12" t="n">
        <v>1</v>
      </c>
      <c r="H329" s="72" t="n"/>
      <c r="I329" s="72" t="n"/>
      <c r="J329" s="72" t="n"/>
      <c r="K329" s="72" t="inlineStr">
        <is>
          <t>1890-0000</t>
        </is>
      </c>
      <c r="L329" s="72" t="inlineStr">
        <is>
          <t>Cash Flow</t>
        </is>
      </c>
    </row>
    <row r="330">
      <c r="A330" s="72" t="inlineStr">
        <is>
          <t>1740-0000</t>
        </is>
      </c>
      <c r="B330" s="72" t="inlineStr">
        <is>
          <t>Other Improvements</t>
        </is>
      </c>
      <c r="C330" s="72" t="inlineStr">
        <is>
          <t>Debit</t>
        </is>
      </c>
      <c r="D330" s="72" t="inlineStr">
        <is>
          <t>Reg</t>
        </is>
      </c>
      <c r="E330" s="72" t="inlineStr">
        <is>
          <t>Bal</t>
        </is>
      </c>
      <c r="F330" s="12" t="n">
        <v>1</v>
      </c>
      <c r="G330" s="12" t="n">
        <v>1</v>
      </c>
      <c r="H330" s="72" t="n"/>
      <c r="I330" s="72" t="n"/>
      <c r="J330" s="72" t="n"/>
      <c r="K330" s="72" t="inlineStr">
        <is>
          <t>1890-0000</t>
        </is>
      </c>
      <c r="L330" s="72" t="inlineStr">
        <is>
          <t>Cash Flow</t>
        </is>
      </c>
    </row>
    <row r="331">
      <c r="A331" s="72" t="inlineStr">
        <is>
          <t>1740-1000</t>
        </is>
      </c>
      <c r="B331" s="72" t="inlineStr">
        <is>
          <t>Construction Rehab Costs</t>
        </is>
      </c>
      <c r="C331" s="72" t="inlineStr">
        <is>
          <t>Debit</t>
        </is>
      </c>
      <c r="D331" s="72" t="inlineStr">
        <is>
          <t>Reg</t>
        </is>
      </c>
      <c r="E331" s="72" t="inlineStr">
        <is>
          <t>Bal</t>
        </is>
      </c>
      <c r="F331" s="12" t="n">
        <v>1</v>
      </c>
      <c r="G331" s="12" t="n">
        <v>1</v>
      </c>
      <c r="H331" s="72" t="n"/>
      <c r="I331" s="72" t="n"/>
      <c r="J331" s="72" t="n"/>
      <c r="K331" s="72" t="inlineStr">
        <is>
          <t>1890-0000</t>
        </is>
      </c>
      <c r="L331" s="72" t="inlineStr">
        <is>
          <t>Cash Flow</t>
        </is>
      </c>
    </row>
    <row r="332">
      <c r="A332" s="72" t="inlineStr">
        <is>
          <t>1750-0000</t>
        </is>
      </c>
      <c r="B332" s="72" t="inlineStr">
        <is>
          <t>Improvement Depreciation</t>
        </is>
      </c>
      <c r="C332" s="72" t="inlineStr">
        <is>
          <t>Debit</t>
        </is>
      </c>
      <c r="D332" s="72" t="inlineStr">
        <is>
          <t>Reg</t>
        </is>
      </c>
      <c r="E332" s="72" t="inlineStr">
        <is>
          <t>Bal</t>
        </is>
      </c>
      <c r="F332" s="12" t="n">
        <v>1</v>
      </c>
      <c r="G332" s="12" t="n">
        <v>1</v>
      </c>
      <c r="H332" s="72" t="n"/>
      <c r="I332" s="72" t="n"/>
      <c r="J332" s="72" t="n"/>
      <c r="K332" s="72" t="inlineStr">
        <is>
          <t>1890-0000</t>
        </is>
      </c>
      <c r="L332" s="72" t="inlineStr">
        <is>
          <t>Cash Flow</t>
        </is>
      </c>
    </row>
    <row r="333">
      <c r="A333" s="72" t="inlineStr">
        <is>
          <t>1770-0000</t>
        </is>
      </c>
      <c r="B333" s="72" t="inlineStr">
        <is>
          <t>Personal Property</t>
        </is>
      </c>
      <c r="C333" s="72" t="inlineStr">
        <is>
          <t>Debit</t>
        </is>
      </c>
      <c r="D333" s="72" t="inlineStr">
        <is>
          <t>Reg</t>
        </is>
      </c>
      <c r="E333" s="72" t="inlineStr">
        <is>
          <t>Bal</t>
        </is>
      </c>
      <c r="F333" s="12" t="n">
        <v>1</v>
      </c>
      <c r="G333" s="12" t="n">
        <v>1</v>
      </c>
      <c r="H333" s="72" t="n"/>
      <c r="I333" s="72" t="n"/>
      <c r="J333" s="72" t="n"/>
      <c r="K333" s="72" t="inlineStr">
        <is>
          <t>1890-0000</t>
        </is>
      </c>
      <c r="L333" s="72" t="inlineStr">
        <is>
          <t>Cash Flow</t>
        </is>
      </c>
    </row>
    <row r="334">
      <c r="A334" s="72" t="inlineStr">
        <is>
          <t>1770-0001</t>
        </is>
      </c>
      <c r="B334" s="72" t="inlineStr">
        <is>
          <t>Goodwill and other Intangibles</t>
        </is>
      </c>
      <c r="C334" s="72" t="inlineStr">
        <is>
          <t>Debit</t>
        </is>
      </c>
      <c r="D334" s="72" t="inlineStr">
        <is>
          <t>Reg</t>
        </is>
      </c>
      <c r="E334" s="72" t="inlineStr">
        <is>
          <t>Bal</t>
        </is>
      </c>
      <c r="F334" s="12" t="n">
        <v>1</v>
      </c>
      <c r="G334" s="12" t="n">
        <v>1</v>
      </c>
      <c r="H334" s="72" t="n"/>
      <c r="I334" s="72" t="n"/>
      <c r="J334" s="72" t="n"/>
      <c r="K334" s="72" t="inlineStr">
        <is>
          <t>1890-0000</t>
        </is>
      </c>
      <c r="L334" s="72" t="inlineStr">
        <is>
          <t>Cash Flow</t>
        </is>
      </c>
    </row>
    <row r="335">
      <c r="A335" s="72" t="inlineStr">
        <is>
          <t>1780-0000</t>
        </is>
      </c>
      <c r="B335" s="72" t="inlineStr">
        <is>
          <t>Personal Prop. Depreciation</t>
        </is>
      </c>
      <c r="C335" s="72" t="inlineStr">
        <is>
          <t>Debit</t>
        </is>
      </c>
      <c r="D335" s="72" t="inlineStr">
        <is>
          <t>Reg</t>
        </is>
      </c>
      <c r="E335" s="72" t="inlineStr">
        <is>
          <t>Bal</t>
        </is>
      </c>
      <c r="F335" s="12" t="n">
        <v>1</v>
      </c>
      <c r="G335" s="12" t="n">
        <v>1</v>
      </c>
      <c r="H335" s="72" t="n"/>
      <c r="I335" s="72" t="n"/>
      <c r="J335" s="72" t="n"/>
      <c r="K335" s="72" t="inlineStr">
        <is>
          <t>1890-0000</t>
        </is>
      </c>
      <c r="L335" s="72" t="inlineStr">
        <is>
          <t>Cash Flow</t>
        </is>
      </c>
    </row>
    <row r="336">
      <c r="A336" s="72" t="inlineStr">
        <is>
          <t>1800-1000</t>
        </is>
      </c>
      <c r="B336" s="72" t="inlineStr">
        <is>
          <t>Merchandise Supplies</t>
        </is>
      </c>
      <c r="C336" s="72" t="inlineStr">
        <is>
          <t>Debit</t>
        </is>
      </c>
      <c r="D336" s="72" t="inlineStr">
        <is>
          <t>Reg</t>
        </is>
      </c>
      <c r="E336" s="72" t="inlineStr">
        <is>
          <t>Bal</t>
        </is>
      </c>
      <c r="F336" s="12" t="n">
        <v>0</v>
      </c>
      <c r="G336" s="12" t="n">
        <v>1</v>
      </c>
      <c r="H336" s="72" t="n"/>
      <c r="I336" s="72" t="n"/>
      <c r="J336" s="72" t="n"/>
      <c r="K336" s="72" t="n"/>
      <c r="L336" s="72" t="inlineStr">
        <is>
          <t>Cash Flow</t>
        </is>
      </c>
    </row>
    <row r="337">
      <c r="A337" s="72" t="inlineStr">
        <is>
          <t>1890-0000</t>
        </is>
      </c>
      <c r="B337" s="72" t="inlineStr">
        <is>
          <t>TOTAL PROPERTY</t>
        </is>
      </c>
      <c r="C337" s="72" t="inlineStr">
        <is>
          <t>Debit</t>
        </is>
      </c>
      <c r="D337" s="72" t="inlineStr">
        <is>
          <t>Tot</t>
        </is>
      </c>
      <c r="E337" s="72" t="inlineStr">
        <is>
          <t>Bal</t>
        </is>
      </c>
      <c r="F337" s="12" t="n">
        <v>2</v>
      </c>
      <c r="G337" s="12" t="n">
        <v>1</v>
      </c>
      <c r="H337" s="72" t="n"/>
      <c r="I337" s="72" t="n"/>
      <c r="J337" s="72" t="n"/>
      <c r="K337" s="72" t="inlineStr">
        <is>
          <t>1990-0000</t>
        </is>
      </c>
      <c r="L337" s="72" t="n"/>
    </row>
    <row r="338">
      <c r="A338" s="72" t="inlineStr">
        <is>
          <t>1900-0000</t>
        </is>
      </c>
      <c r="B338" s="72" t="inlineStr">
        <is>
          <t>OTHER ASSETS</t>
        </is>
      </c>
      <c r="C338" s="72" t="inlineStr">
        <is>
          <t>Debit</t>
        </is>
      </c>
      <c r="D338" s="72" t="inlineStr">
        <is>
          <t>Head</t>
        </is>
      </c>
      <c r="E338" s="72" t="inlineStr">
        <is>
          <t>Bal</t>
        </is>
      </c>
      <c r="F338" s="12" t="n">
        <v>1</v>
      </c>
      <c r="G338" s="12" t="n">
        <v>2</v>
      </c>
      <c r="H338" s="72" t="n"/>
      <c r="I338" s="72" t="n"/>
      <c r="J338" s="72" t="n"/>
      <c r="K338" s="72" t="n"/>
      <c r="L338" s="72" t="n"/>
    </row>
    <row r="339">
      <c r="A339" s="72" t="inlineStr">
        <is>
          <t>1900-0001</t>
        </is>
      </c>
      <c r="B339" s="72" t="inlineStr">
        <is>
          <t>Earnest Money Deposit</t>
        </is>
      </c>
      <c r="C339" s="72" t="inlineStr">
        <is>
          <t>Debit</t>
        </is>
      </c>
      <c r="D339" s="72" t="inlineStr">
        <is>
          <t>Reg</t>
        </is>
      </c>
      <c r="E339" s="72" t="inlineStr">
        <is>
          <t>Bal</t>
        </is>
      </c>
      <c r="F339" s="12" t="n">
        <v>1</v>
      </c>
      <c r="G339" s="12" t="n">
        <v>1</v>
      </c>
      <c r="H339" s="72" t="n"/>
      <c r="I339" s="72" t="n"/>
      <c r="J339" s="72" t="n"/>
      <c r="K339" s="72" t="inlineStr">
        <is>
          <t>1950-0000</t>
        </is>
      </c>
      <c r="L339" s="72" t="inlineStr">
        <is>
          <t>Cash Flow</t>
        </is>
      </c>
    </row>
    <row r="340">
      <c r="A340" s="72" t="inlineStr">
        <is>
          <t>1900-1000</t>
        </is>
      </c>
      <c r="B340" s="72" t="inlineStr">
        <is>
          <t>Investment in Storsafe of Michigan City</t>
        </is>
      </c>
      <c r="C340" s="72" t="inlineStr">
        <is>
          <t>Debit</t>
        </is>
      </c>
      <c r="D340" s="72" t="inlineStr">
        <is>
          <t>Reg</t>
        </is>
      </c>
      <c r="E340" s="72" t="inlineStr">
        <is>
          <t>Bal</t>
        </is>
      </c>
      <c r="F340" s="12" t="n">
        <v>1</v>
      </c>
      <c r="G340" s="12" t="n">
        <v>1</v>
      </c>
      <c r="H340" s="72" t="n"/>
      <c r="I340" s="72" t="n"/>
      <c r="J340" s="72" t="n"/>
      <c r="K340" s="72" t="inlineStr">
        <is>
          <t>1950-0000</t>
        </is>
      </c>
      <c r="L340" s="72" t="inlineStr">
        <is>
          <t>Cash Flow</t>
        </is>
      </c>
    </row>
    <row r="341">
      <c r="A341" s="72" t="inlineStr">
        <is>
          <t>1900-1001</t>
        </is>
      </c>
      <c r="B341" s="72" t="inlineStr">
        <is>
          <t>Investment in Storsafe DRE JV</t>
        </is>
      </c>
      <c r="C341" s="72" t="inlineStr">
        <is>
          <t>Debit</t>
        </is>
      </c>
      <c r="D341" s="72" t="inlineStr">
        <is>
          <t>Reg</t>
        </is>
      </c>
      <c r="E341" s="72" t="inlineStr">
        <is>
          <t>Bal</t>
        </is>
      </c>
      <c r="F341" s="12" t="n">
        <v>1</v>
      </c>
      <c r="G341" s="12" t="n">
        <v>1</v>
      </c>
      <c r="H341" s="72" t="n"/>
      <c r="I341" s="72" t="n"/>
      <c r="J341" s="72" t="n"/>
      <c r="K341" s="72" t="inlineStr">
        <is>
          <t>1950-0000</t>
        </is>
      </c>
      <c r="L341" s="72" t="inlineStr">
        <is>
          <t>Cash Flow</t>
        </is>
      </c>
    </row>
    <row r="342">
      <c r="A342" s="72" t="inlineStr">
        <is>
          <t>1900-1002</t>
        </is>
      </c>
      <c r="B342" s="72" t="inlineStr">
        <is>
          <t>Investment in Storsafe of Silver Springs</t>
        </is>
      </c>
      <c r="C342" s="72" t="inlineStr">
        <is>
          <t>Debit</t>
        </is>
      </c>
      <c r="D342" s="72" t="inlineStr">
        <is>
          <t>Reg</t>
        </is>
      </c>
      <c r="E342" s="72" t="inlineStr">
        <is>
          <t>Bal</t>
        </is>
      </c>
      <c r="F342" s="12" t="n">
        <v>1</v>
      </c>
      <c r="G342" s="12" t="n">
        <v>1</v>
      </c>
      <c r="H342" s="72" t="n"/>
      <c r="I342" s="72" t="n"/>
      <c r="J342" s="72" t="n"/>
      <c r="K342" s="72" t="inlineStr">
        <is>
          <t>1950-0000</t>
        </is>
      </c>
      <c r="L342" s="72" t="inlineStr">
        <is>
          <t>Cash Flow</t>
        </is>
      </c>
    </row>
    <row r="343">
      <c r="A343" s="72" t="inlineStr">
        <is>
          <t>1900-1003</t>
        </is>
      </c>
      <c r="B343" s="72" t="inlineStr">
        <is>
          <t>Investment in Storsafe of Rockledge</t>
        </is>
      </c>
      <c r="C343" s="72" t="inlineStr">
        <is>
          <t>Debit</t>
        </is>
      </c>
      <c r="D343" s="72" t="inlineStr">
        <is>
          <t>Reg</t>
        </is>
      </c>
      <c r="E343" s="72" t="inlineStr">
        <is>
          <t>Bal</t>
        </is>
      </c>
      <c r="F343" s="12" t="n">
        <v>1</v>
      </c>
      <c r="G343" s="12" t="n">
        <v>1</v>
      </c>
      <c r="H343" s="72" t="n"/>
      <c r="I343" s="72" t="n"/>
      <c r="J343" s="72" t="n"/>
      <c r="K343" s="72" t="inlineStr">
        <is>
          <t>1950-0000</t>
        </is>
      </c>
      <c r="L343" s="72" t="inlineStr">
        <is>
          <t>Cash Flow</t>
        </is>
      </c>
    </row>
    <row r="344">
      <c r="A344" s="72" t="inlineStr">
        <is>
          <t>1900-1004</t>
        </is>
      </c>
      <c r="B344" s="72" t="inlineStr">
        <is>
          <t>Investment in Storsafe of Palm Bay</t>
        </is>
      </c>
      <c r="C344" s="72" t="inlineStr">
        <is>
          <t>Debit</t>
        </is>
      </c>
      <c r="D344" s="72" t="inlineStr">
        <is>
          <t>Reg</t>
        </is>
      </c>
      <c r="E344" s="72" t="inlineStr">
        <is>
          <t>Bal</t>
        </is>
      </c>
      <c r="F344" s="12" t="n">
        <v>1</v>
      </c>
      <c r="G344" s="12" t="n">
        <v>1</v>
      </c>
      <c r="H344" s="72" t="n"/>
      <c r="I344" s="72" t="n"/>
      <c r="J344" s="72" t="n"/>
      <c r="K344" s="72" t="inlineStr">
        <is>
          <t>1950-0000</t>
        </is>
      </c>
      <c r="L344" s="72" t="inlineStr">
        <is>
          <t>Cash Flow</t>
        </is>
      </c>
    </row>
    <row r="345">
      <c r="A345" s="72" t="inlineStr">
        <is>
          <t>1900-1005</t>
        </is>
      </c>
      <c r="B345" s="72" t="inlineStr">
        <is>
          <t>Investment in Storsafe of Crown Point West</t>
        </is>
      </c>
      <c r="C345" s="72" t="inlineStr">
        <is>
          <t>Debit</t>
        </is>
      </c>
      <c r="D345" s="72" t="inlineStr">
        <is>
          <t>Reg</t>
        </is>
      </c>
      <c r="E345" s="72" t="inlineStr">
        <is>
          <t>Bal</t>
        </is>
      </c>
      <c r="F345" s="12" t="n">
        <v>1</v>
      </c>
      <c r="G345" s="12" t="n">
        <v>1</v>
      </c>
      <c r="H345" s="72" t="n"/>
      <c r="I345" s="72" t="n"/>
      <c r="J345" s="72" t="n"/>
      <c r="K345" s="72" t="inlineStr">
        <is>
          <t>1950-0000</t>
        </is>
      </c>
      <c r="L345" s="72" t="inlineStr">
        <is>
          <t>Cash Flow</t>
        </is>
      </c>
    </row>
    <row r="346">
      <c r="A346" s="72" t="inlineStr">
        <is>
          <t>1900-1006</t>
        </is>
      </c>
      <c r="B346" s="72" t="inlineStr">
        <is>
          <t>Investment in Storsafe of Merrillville South</t>
        </is>
      </c>
      <c r="C346" s="72" t="inlineStr">
        <is>
          <t>Debit</t>
        </is>
      </c>
      <c r="D346" s="72" t="inlineStr">
        <is>
          <t>Reg</t>
        </is>
      </c>
      <c r="E346" s="72" t="inlineStr">
        <is>
          <t>Bal</t>
        </is>
      </c>
      <c r="F346" s="12" t="n">
        <v>1</v>
      </c>
      <c r="G346" s="12" t="n">
        <v>1</v>
      </c>
      <c r="H346" s="72" t="n"/>
      <c r="I346" s="72" t="n"/>
      <c r="J346" s="72" t="n"/>
      <c r="K346" s="72" t="inlineStr">
        <is>
          <t>1950-0000</t>
        </is>
      </c>
      <c r="L346" s="72" t="inlineStr">
        <is>
          <t>Cash Flow</t>
        </is>
      </c>
    </row>
    <row r="347">
      <c r="A347" s="72" t="inlineStr">
        <is>
          <t>1900-1007</t>
        </is>
      </c>
      <c r="B347" s="72" t="inlineStr">
        <is>
          <t>Investment in Storsafe of Wildwood</t>
        </is>
      </c>
      <c r="C347" s="72" t="inlineStr">
        <is>
          <t>Debit</t>
        </is>
      </c>
      <c r="D347" s="72" t="inlineStr">
        <is>
          <t>Reg</t>
        </is>
      </c>
      <c r="E347" s="72" t="inlineStr">
        <is>
          <t>Bal</t>
        </is>
      </c>
      <c r="F347" s="12" t="n">
        <v>1</v>
      </c>
      <c r="G347" s="12" t="n">
        <v>1</v>
      </c>
      <c r="H347" s="72" t="n"/>
      <c r="I347" s="72" t="n"/>
      <c r="J347" s="72" t="n"/>
      <c r="K347" s="72" t="inlineStr">
        <is>
          <t>1950-0000</t>
        </is>
      </c>
      <c r="L347" s="72" t="inlineStr">
        <is>
          <t>Cash Flow</t>
        </is>
      </c>
    </row>
    <row r="348">
      <c r="A348" s="72" t="inlineStr">
        <is>
          <t>1900-1008</t>
        </is>
      </c>
      <c r="B348" s="72" t="inlineStr">
        <is>
          <t>Investment in Storsafe of Candler</t>
        </is>
      </c>
      <c r="C348" s="72" t="inlineStr">
        <is>
          <t>Debit</t>
        </is>
      </c>
      <c r="D348" s="72" t="inlineStr">
        <is>
          <t>Reg</t>
        </is>
      </c>
      <c r="E348" s="72" t="inlineStr">
        <is>
          <t>Bal</t>
        </is>
      </c>
      <c r="F348" s="12" t="n">
        <v>1</v>
      </c>
      <c r="G348" s="12" t="n">
        <v>1</v>
      </c>
      <c r="H348" s="72" t="n"/>
      <c r="I348" s="72" t="n"/>
      <c r="J348" s="72" t="n"/>
      <c r="K348" s="72" t="inlineStr">
        <is>
          <t>1950-0000</t>
        </is>
      </c>
      <c r="L348" s="72" t="inlineStr">
        <is>
          <t>Cash Flow</t>
        </is>
      </c>
    </row>
    <row r="349">
      <c r="A349" s="72" t="inlineStr">
        <is>
          <t>1900-1009</t>
        </is>
      </c>
      <c r="B349" s="72" t="inlineStr">
        <is>
          <t>Investment in Storsafe of Downtown Venice</t>
        </is>
      </c>
      <c r="C349" s="72" t="inlineStr">
        <is>
          <t>Debit</t>
        </is>
      </c>
      <c r="D349" s="72" t="inlineStr">
        <is>
          <t>Reg</t>
        </is>
      </c>
      <c r="E349" s="72" t="inlineStr">
        <is>
          <t>Bal</t>
        </is>
      </c>
      <c r="F349" s="12" t="n">
        <v>1</v>
      </c>
      <c r="G349" s="12" t="n">
        <v>1</v>
      </c>
      <c r="H349" s="72" t="n"/>
      <c r="I349" s="72" t="n"/>
      <c r="J349" s="72" t="n"/>
      <c r="K349" s="72" t="inlineStr">
        <is>
          <t>1950-0000</t>
        </is>
      </c>
      <c r="L349" s="72" t="inlineStr">
        <is>
          <t>Cash Flow</t>
        </is>
      </c>
    </row>
    <row r="350">
      <c r="A350" s="72" t="inlineStr">
        <is>
          <t>1900-1010</t>
        </is>
      </c>
      <c r="B350" s="72" t="inlineStr">
        <is>
          <t>Investment in Storsafe DRE JV 2</t>
        </is>
      </c>
      <c r="C350" s="72" t="inlineStr">
        <is>
          <t>Debit</t>
        </is>
      </c>
      <c r="D350" s="72" t="inlineStr">
        <is>
          <t>Reg</t>
        </is>
      </c>
      <c r="E350" s="72" t="inlineStr">
        <is>
          <t>Bal</t>
        </is>
      </c>
      <c r="F350" s="12" t="n">
        <v>1</v>
      </c>
      <c r="G350" s="12" t="n">
        <v>1</v>
      </c>
      <c r="H350" s="72" t="n"/>
      <c r="I350" s="72" t="n"/>
      <c r="J350" s="72" t="n"/>
      <c r="K350" s="72" t="inlineStr">
        <is>
          <t>1950-0000</t>
        </is>
      </c>
      <c r="L350" s="72" t="inlineStr">
        <is>
          <t>Cash Flow</t>
        </is>
      </c>
    </row>
    <row r="351">
      <c r="A351" s="72" t="inlineStr">
        <is>
          <t>1900-1011</t>
        </is>
      </c>
      <c r="B351" s="72" t="inlineStr">
        <is>
          <t>Investment in Storsafe of China Grove</t>
        </is>
      </c>
      <c r="C351" s="72" t="inlineStr">
        <is>
          <t>Debit</t>
        </is>
      </c>
      <c r="D351" s="72" t="inlineStr">
        <is>
          <t>Reg</t>
        </is>
      </c>
      <c r="E351" s="72" t="inlineStr">
        <is>
          <t>Bal</t>
        </is>
      </c>
      <c r="F351" s="12" t="n">
        <v>1</v>
      </c>
      <c r="G351" s="12" t="n">
        <v>1</v>
      </c>
      <c r="H351" s="72" t="n"/>
      <c r="I351" s="72" t="n"/>
      <c r="J351" s="72" t="n"/>
      <c r="K351" s="72" t="inlineStr">
        <is>
          <t>1950-0000</t>
        </is>
      </c>
      <c r="L351" s="72" t="inlineStr">
        <is>
          <t>Cash Flow</t>
        </is>
      </c>
    </row>
    <row r="352">
      <c r="A352" s="72" t="inlineStr">
        <is>
          <t>1900-1012</t>
        </is>
      </c>
      <c r="B352" s="72" t="inlineStr">
        <is>
          <t>Investment in Storsafe of Cedar Lake</t>
        </is>
      </c>
      <c r="C352" s="72" t="inlineStr">
        <is>
          <t>Debit</t>
        </is>
      </c>
      <c r="D352" s="72" t="inlineStr">
        <is>
          <t>Reg</t>
        </is>
      </c>
      <c r="E352" s="72" t="inlineStr">
        <is>
          <t>Bal</t>
        </is>
      </c>
      <c r="F352" s="12" t="n">
        <v>1</v>
      </c>
      <c r="G352" s="12" t="n">
        <v>1</v>
      </c>
      <c r="H352" s="72" t="n"/>
      <c r="I352" s="72" t="n"/>
      <c r="J352" s="72" t="n"/>
      <c r="K352" s="72" t="inlineStr">
        <is>
          <t>1950-0000</t>
        </is>
      </c>
      <c r="L352" s="72" t="inlineStr">
        <is>
          <t>Cash Flow</t>
        </is>
      </c>
    </row>
    <row r="353">
      <c r="A353" s="72" t="inlineStr">
        <is>
          <t>1900-1013</t>
        </is>
      </c>
      <c r="B353" s="72" t="inlineStr">
        <is>
          <t>Investment in Storsafe of Lexington</t>
        </is>
      </c>
      <c r="C353" s="72" t="inlineStr">
        <is>
          <t>Debit</t>
        </is>
      </c>
      <c r="D353" s="72" t="inlineStr">
        <is>
          <t>Reg</t>
        </is>
      </c>
      <c r="E353" s="72" t="inlineStr">
        <is>
          <t>Bal</t>
        </is>
      </c>
      <c r="F353" s="12" t="n">
        <v>1</v>
      </c>
      <c r="G353" s="12" t="n">
        <v>1</v>
      </c>
      <c r="H353" s="72" t="n"/>
      <c r="I353" s="72" t="n"/>
      <c r="J353" s="72" t="n"/>
      <c r="K353" s="72" t="inlineStr">
        <is>
          <t>1950-0000</t>
        </is>
      </c>
      <c r="L353" s="72" t="inlineStr">
        <is>
          <t>Cash Flow</t>
        </is>
      </c>
    </row>
    <row r="354">
      <c r="A354" s="72" t="inlineStr">
        <is>
          <t>1910-0000</t>
        </is>
      </c>
      <c r="B354" s="72" t="inlineStr">
        <is>
          <t>Insurance Claim Expected</t>
        </is>
      </c>
      <c r="C354" s="72" t="inlineStr">
        <is>
          <t>Debit</t>
        </is>
      </c>
      <c r="D354" s="72" t="inlineStr">
        <is>
          <t>Reg</t>
        </is>
      </c>
      <c r="E354" s="72" t="inlineStr">
        <is>
          <t>Bal</t>
        </is>
      </c>
      <c r="F354" s="12" t="n">
        <v>1</v>
      </c>
      <c r="G354" s="12" t="n">
        <v>1</v>
      </c>
      <c r="H354" s="72" t="n"/>
      <c r="I354" s="72" t="n"/>
      <c r="J354" s="72" t="n"/>
      <c r="K354" s="72" t="inlineStr">
        <is>
          <t>1950-0000</t>
        </is>
      </c>
      <c r="L354" s="72" t="inlineStr">
        <is>
          <t>Cash Flow</t>
        </is>
      </c>
    </row>
    <row r="355">
      <c r="A355" s="72" t="inlineStr">
        <is>
          <t>1910-0001</t>
        </is>
      </c>
      <c r="B355" s="72" t="inlineStr">
        <is>
          <t>Disputed Bank Transaction</t>
        </is>
      </c>
      <c r="C355" s="72" t="inlineStr">
        <is>
          <t>Debit</t>
        </is>
      </c>
      <c r="D355" s="72" t="inlineStr">
        <is>
          <t>Reg</t>
        </is>
      </c>
      <c r="E355" s="72" t="inlineStr">
        <is>
          <t>Bal</t>
        </is>
      </c>
      <c r="F355" s="12" t="n">
        <v>1</v>
      </c>
      <c r="G355" s="12" t="n">
        <v>1</v>
      </c>
      <c r="H355" s="72" t="n"/>
      <c r="I355" s="72" t="n"/>
      <c r="J355" s="72" t="n"/>
      <c r="K355" s="72" t="inlineStr">
        <is>
          <t>1990-0000</t>
        </is>
      </c>
      <c r="L355" s="72" t="inlineStr">
        <is>
          <t>Cash Flow</t>
        </is>
      </c>
    </row>
    <row r="356">
      <c r="A356" s="72" t="inlineStr">
        <is>
          <t>1910-0002</t>
        </is>
      </c>
      <c r="B356" s="72" t="inlineStr">
        <is>
          <t>HUD Loan Deposit</t>
        </is>
      </c>
      <c r="C356" s="72" t="inlineStr">
        <is>
          <t>Debit</t>
        </is>
      </c>
      <c r="D356" s="72" t="inlineStr">
        <is>
          <t>Reg</t>
        </is>
      </c>
      <c r="E356" s="72" t="inlineStr">
        <is>
          <t>Bal</t>
        </is>
      </c>
      <c r="F356" s="12" t="n">
        <v>1</v>
      </c>
      <c r="G356" s="12" t="n">
        <v>1</v>
      </c>
      <c r="H356" s="72" t="n"/>
      <c r="I356" s="72" t="n"/>
      <c r="J356" s="72" t="n"/>
      <c r="K356" s="72" t="inlineStr">
        <is>
          <t>1950-0000</t>
        </is>
      </c>
      <c r="L356" s="72" t="inlineStr">
        <is>
          <t>Cash Flow</t>
        </is>
      </c>
    </row>
    <row r="357">
      <c r="A357" s="72" t="inlineStr">
        <is>
          <t>1920-0000</t>
        </is>
      </c>
      <c r="B357" s="72" t="inlineStr">
        <is>
          <t>Due To/ From MJP Capital</t>
        </is>
      </c>
      <c r="C357" s="72" t="inlineStr">
        <is>
          <t>Debit</t>
        </is>
      </c>
      <c r="D357" s="72" t="inlineStr">
        <is>
          <t>Reg</t>
        </is>
      </c>
      <c r="E357" s="72" t="inlineStr">
        <is>
          <t>Bal</t>
        </is>
      </c>
      <c r="F357" s="12" t="n">
        <v>1</v>
      </c>
      <c r="G357" s="12" t="n">
        <v>1</v>
      </c>
      <c r="H357" s="72" t="n"/>
      <c r="I357" s="72" t="n"/>
      <c r="J357" s="72" t="n"/>
      <c r="K357" s="72" t="n"/>
      <c r="L357" s="72" t="inlineStr">
        <is>
          <t>Cash Flow</t>
        </is>
      </c>
    </row>
    <row r="358">
      <c r="A358" s="72" t="inlineStr">
        <is>
          <t>1930-0000</t>
        </is>
      </c>
      <c r="B358" s="72" t="inlineStr">
        <is>
          <t>Due To/ From EP II</t>
        </is>
      </c>
      <c r="C358" s="72" t="inlineStr">
        <is>
          <t>Debit</t>
        </is>
      </c>
      <c r="D358" s="72" t="inlineStr">
        <is>
          <t>Reg</t>
        </is>
      </c>
      <c r="E358" s="72" t="inlineStr">
        <is>
          <t>Bal</t>
        </is>
      </c>
      <c r="F358" s="12" t="n">
        <v>1</v>
      </c>
      <c r="G358" s="12" t="n">
        <v>1</v>
      </c>
      <c r="H358" s="72" t="n"/>
      <c r="I358" s="72" t="n"/>
      <c r="J358" s="72" t="n"/>
      <c r="K358" s="72" t="n"/>
      <c r="L358" s="72" t="inlineStr">
        <is>
          <t>Cash Flow</t>
        </is>
      </c>
    </row>
    <row r="359">
      <c r="A359" s="72" t="inlineStr">
        <is>
          <t>1950-0000</t>
        </is>
      </c>
      <c r="B359" s="72" t="inlineStr">
        <is>
          <t>TOTAL OTHER ASSETS</t>
        </is>
      </c>
      <c r="C359" s="72" t="inlineStr">
        <is>
          <t>Debit</t>
        </is>
      </c>
      <c r="D359" s="72" t="inlineStr">
        <is>
          <t>Tot</t>
        </is>
      </c>
      <c r="E359" s="72" t="inlineStr">
        <is>
          <t>Bal</t>
        </is>
      </c>
      <c r="F359" s="12" t="n">
        <v>1</v>
      </c>
      <c r="G359" s="12" t="n">
        <v>1</v>
      </c>
      <c r="H359" s="72" t="n"/>
      <c r="I359" s="72" t="n"/>
      <c r="J359" s="72" t="n"/>
      <c r="K359" s="72" t="inlineStr">
        <is>
          <t>1990-0000</t>
        </is>
      </c>
      <c r="L359" s="72" t="n"/>
    </row>
    <row r="360">
      <c r="A360" s="72" t="inlineStr">
        <is>
          <t>1990-0000</t>
        </is>
      </c>
      <c r="B360" s="72" t="inlineStr">
        <is>
          <t>TOTAL ASSETS</t>
        </is>
      </c>
      <c r="C360" s="72" t="inlineStr">
        <is>
          <t>Debit</t>
        </is>
      </c>
      <c r="D360" s="72" t="inlineStr">
        <is>
          <t>Tot</t>
        </is>
      </c>
      <c r="E360" s="72" t="inlineStr">
        <is>
          <t>Bal</t>
        </is>
      </c>
      <c r="F360" s="12" t="n">
        <v>3</v>
      </c>
      <c r="G360" s="12" t="n">
        <v>2</v>
      </c>
      <c r="H360" s="72" t="n"/>
      <c r="I360" s="72" t="n"/>
      <c r="J360" s="72" t="n"/>
      <c r="K360" s="72" t="inlineStr">
        <is>
          <t>9990-0000</t>
        </is>
      </c>
      <c r="L360" s="72" t="n"/>
    </row>
    <row r="361">
      <c r="A361" s="72" t="inlineStr">
        <is>
          <t>2000-0000</t>
        </is>
      </c>
      <c r="B361" s="72" t="inlineStr">
        <is>
          <t>LIABILITIES AND CAPITAL</t>
        </is>
      </c>
      <c r="C361" s="72" t="inlineStr">
        <is>
          <t>Credit</t>
        </is>
      </c>
      <c r="D361" s="72" t="inlineStr">
        <is>
          <t>Head</t>
        </is>
      </c>
      <c r="E361" s="72" t="inlineStr">
        <is>
          <t>Bal</t>
        </is>
      </c>
      <c r="F361" s="12" t="n">
        <v>1</v>
      </c>
      <c r="G361" s="12" t="n">
        <v>2</v>
      </c>
      <c r="H361" s="72" t="n"/>
      <c r="I361" s="72" t="n"/>
      <c r="J361" s="72" t="n"/>
      <c r="K361" s="72" t="n"/>
      <c r="L361" s="72" t="n"/>
    </row>
    <row r="362">
      <c r="A362" s="72" t="inlineStr">
        <is>
          <t>2100-0000</t>
        </is>
      </c>
      <c r="B362" s="72" t="inlineStr">
        <is>
          <t>LIABILITIES</t>
        </is>
      </c>
      <c r="C362" s="72" t="inlineStr">
        <is>
          <t>Credit</t>
        </is>
      </c>
      <c r="D362" s="72" t="inlineStr">
        <is>
          <t>Head</t>
        </is>
      </c>
      <c r="E362" s="72" t="inlineStr">
        <is>
          <t>Bal</t>
        </is>
      </c>
      <c r="F362" s="12" t="n">
        <v>1</v>
      </c>
      <c r="G362" s="12" t="n">
        <v>2</v>
      </c>
      <c r="H362" s="72" t="n"/>
      <c r="I362" s="72" t="n"/>
      <c r="J362" s="72" t="n"/>
      <c r="K362" s="72" t="n"/>
      <c r="L362" s="72" t="n"/>
    </row>
    <row r="363">
      <c r="A363" s="72" t="inlineStr">
        <is>
          <t>2100-1000</t>
        </is>
      </c>
      <c r="B363" s="72" t="inlineStr">
        <is>
          <t>Reconciliation</t>
        </is>
      </c>
      <c r="C363" s="72" t="inlineStr">
        <is>
          <t>Debit</t>
        </is>
      </c>
      <c r="D363" s="72" t="inlineStr">
        <is>
          <t>Reg</t>
        </is>
      </c>
      <c r="E363" s="72" t="inlineStr">
        <is>
          <t>Bal</t>
        </is>
      </c>
      <c r="F363" s="12" t="n">
        <v>1</v>
      </c>
      <c r="G363" s="12" t="n">
        <v>1</v>
      </c>
      <c r="H363" s="72" t="n"/>
      <c r="I363" s="72" t="n"/>
      <c r="J363" s="72" t="n"/>
      <c r="K363" s="72" t="n"/>
      <c r="L363" s="72" t="inlineStr">
        <is>
          <t>ExclReg, Cash Flow, Summ</t>
        </is>
      </c>
    </row>
    <row r="364">
      <c r="A364" s="72" t="inlineStr">
        <is>
          <t>2100-1001</t>
        </is>
      </c>
      <c r="B364" s="72" t="inlineStr">
        <is>
          <t>Loan from Stillman</t>
        </is>
      </c>
      <c r="C364" s="72" t="inlineStr">
        <is>
          <t>Credit</t>
        </is>
      </c>
      <c r="D364" s="72" t="inlineStr">
        <is>
          <t>Reg</t>
        </is>
      </c>
      <c r="E364" s="72" t="inlineStr">
        <is>
          <t>Bal</t>
        </is>
      </c>
      <c r="F364" s="12" t="n">
        <v>1</v>
      </c>
      <c r="G364" s="12" t="n">
        <v>1</v>
      </c>
      <c r="H364" s="72" t="n"/>
      <c r="I364" s="72" t="n"/>
      <c r="J364" s="72" t="n"/>
      <c r="K364" s="72" t="inlineStr">
        <is>
          <t>2990-0000</t>
        </is>
      </c>
      <c r="L364" s="72" t="inlineStr">
        <is>
          <t>Cash Flow</t>
        </is>
      </c>
    </row>
    <row r="365">
      <c r="A365" s="72" t="inlineStr">
        <is>
          <t>2100-1002</t>
        </is>
      </c>
      <c r="B365" s="72" t="inlineStr">
        <is>
          <t>Loan to Affiliated-Florida</t>
        </is>
      </c>
      <c r="C365" s="72" t="inlineStr">
        <is>
          <t>Credit</t>
        </is>
      </c>
      <c r="D365" s="72" t="inlineStr">
        <is>
          <t>Reg</t>
        </is>
      </c>
      <c r="E365" s="72" t="inlineStr">
        <is>
          <t>Bal</t>
        </is>
      </c>
      <c r="F365" s="12" t="n">
        <v>1</v>
      </c>
      <c r="G365" s="12" t="n">
        <v>1</v>
      </c>
      <c r="H365" s="72" t="n"/>
      <c r="I365" s="72" t="n"/>
      <c r="J365" s="72" t="n"/>
      <c r="K365" s="72" t="inlineStr">
        <is>
          <t>2990-0000</t>
        </is>
      </c>
      <c r="L365" s="72" t="inlineStr">
        <is>
          <t>Cash Flow</t>
        </is>
      </c>
    </row>
    <row r="366">
      <c r="A366" s="72" t="inlineStr">
        <is>
          <t>2100-1003</t>
        </is>
      </c>
      <c r="B366" s="72" t="inlineStr">
        <is>
          <t>Loan from Fund IV</t>
        </is>
      </c>
      <c r="C366" s="72" t="inlineStr">
        <is>
          <t>Credit</t>
        </is>
      </c>
      <c r="D366" s="72" t="inlineStr">
        <is>
          <t>Reg</t>
        </is>
      </c>
      <c r="E366" s="72" t="inlineStr">
        <is>
          <t>Bal</t>
        </is>
      </c>
      <c r="F366" s="12" t="n">
        <v>0</v>
      </c>
      <c r="G366" s="12" t="n">
        <v>1</v>
      </c>
      <c r="H366" s="72" t="n"/>
      <c r="I366" s="72" t="n"/>
      <c r="J366" s="72" t="n"/>
      <c r="K366" s="72" t="inlineStr">
        <is>
          <t>2990-0000</t>
        </is>
      </c>
      <c r="L366" s="72" t="inlineStr">
        <is>
          <t>Cash Flow</t>
        </is>
      </c>
    </row>
    <row r="367">
      <c r="A367" s="72" t="inlineStr">
        <is>
          <t>2100-1004</t>
        </is>
      </c>
      <c r="B367" s="72" t="inlineStr">
        <is>
          <t>Loan from Storsafe Self Storage Management</t>
        </is>
      </c>
      <c r="C367" s="72" t="inlineStr">
        <is>
          <t>Credit</t>
        </is>
      </c>
      <c r="D367" s="72" t="inlineStr">
        <is>
          <t>Reg</t>
        </is>
      </c>
      <c r="E367" s="72" t="inlineStr">
        <is>
          <t>Bal</t>
        </is>
      </c>
      <c r="F367" s="12" t="n">
        <v>0</v>
      </c>
      <c r="G367" s="12" t="n">
        <v>1</v>
      </c>
      <c r="H367" s="72" t="n"/>
      <c r="I367" s="72" t="n"/>
      <c r="J367" s="72" t="n"/>
      <c r="K367" s="72" t="inlineStr">
        <is>
          <t>2990-0000</t>
        </is>
      </c>
      <c r="L367" s="72" t="inlineStr">
        <is>
          <t>Cash Flow</t>
        </is>
      </c>
    </row>
    <row r="368">
      <c r="A368" s="72" t="inlineStr">
        <is>
          <t>2100-1005</t>
        </is>
      </c>
      <c r="B368" s="72" t="inlineStr">
        <is>
          <t>Loan from MetCap Credit Line (Elmdale)</t>
        </is>
      </c>
      <c r="C368" s="72" t="inlineStr">
        <is>
          <t>Credit</t>
        </is>
      </c>
      <c r="D368" s="72" t="inlineStr">
        <is>
          <t>Reg</t>
        </is>
      </c>
      <c r="E368" s="72" t="inlineStr">
        <is>
          <t>Bal</t>
        </is>
      </c>
      <c r="F368" s="12" t="n">
        <v>0</v>
      </c>
      <c r="G368" s="12" t="n">
        <v>1</v>
      </c>
      <c r="H368" s="72" t="n"/>
      <c r="I368" s="72" t="n"/>
      <c r="J368" s="72" t="n"/>
      <c r="K368" s="72" t="inlineStr">
        <is>
          <t>2990-0000</t>
        </is>
      </c>
      <c r="L368" s="72" t="inlineStr">
        <is>
          <t>Cash Flow</t>
        </is>
      </c>
    </row>
    <row r="369">
      <c r="A369" s="72" t="inlineStr">
        <is>
          <t>2110-0000</t>
        </is>
      </c>
      <c r="B369" s="72" t="inlineStr">
        <is>
          <t>Note 1 Principal</t>
        </is>
      </c>
      <c r="C369" s="72" t="inlineStr">
        <is>
          <t>Credit</t>
        </is>
      </c>
      <c r="D369" s="72" t="inlineStr">
        <is>
          <t>Reg</t>
        </is>
      </c>
      <c r="E369" s="72" t="inlineStr">
        <is>
          <t>Bal</t>
        </is>
      </c>
      <c r="F369" s="12" t="n">
        <v>1</v>
      </c>
      <c r="G369" s="12" t="n">
        <v>1</v>
      </c>
      <c r="H369" s="72" t="n"/>
      <c r="I369" s="72" t="n"/>
      <c r="J369" s="72" t="n"/>
      <c r="K369" s="72" t="inlineStr">
        <is>
          <t>2990-0000</t>
        </is>
      </c>
      <c r="L369" s="72" t="inlineStr">
        <is>
          <t>Cash Flow</t>
        </is>
      </c>
    </row>
    <row r="370">
      <c r="A370" s="72" t="inlineStr">
        <is>
          <t>2110-0015</t>
        </is>
      </c>
      <c r="B370" s="72" t="inlineStr">
        <is>
          <t>LIA EXAMPLE</t>
        </is>
      </c>
      <c r="C370" s="72" t="inlineStr">
        <is>
          <t>Debit</t>
        </is>
      </c>
      <c r="D370" s="72" t="inlineStr">
        <is>
          <t>Reg</t>
        </is>
      </c>
      <c r="E370" s="72" t="inlineStr">
        <is>
          <t>Inc</t>
        </is>
      </c>
      <c r="F370" s="12" t="n">
        <v>0</v>
      </c>
      <c r="G370" s="12" t="n">
        <v>1</v>
      </c>
      <c r="H370" s="72" t="n"/>
      <c r="I370" s="72" t="n"/>
      <c r="J370" s="72" t="n"/>
      <c r="K370" s="72" t="n"/>
      <c r="L370" s="72" t="n"/>
    </row>
    <row r="371">
      <c r="A371" s="72" t="inlineStr">
        <is>
          <t>2120-0000</t>
        </is>
      </c>
      <c r="B371" s="72" t="inlineStr">
        <is>
          <t>Note 2 Principal</t>
        </is>
      </c>
      <c r="C371" s="72" t="inlineStr">
        <is>
          <t>Credit</t>
        </is>
      </c>
      <c r="D371" s="72" t="inlineStr">
        <is>
          <t>Reg</t>
        </is>
      </c>
      <c r="E371" s="72" t="inlineStr">
        <is>
          <t>Bal</t>
        </is>
      </c>
      <c r="F371" s="12" t="n">
        <v>1</v>
      </c>
      <c r="G371" s="12" t="n">
        <v>1</v>
      </c>
      <c r="H371" s="72" t="n"/>
      <c r="I371" s="72" t="n"/>
      <c r="J371" s="72" t="n"/>
      <c r="K371" s="72" t="inlineStr">
        <is>
          <t>2990-0000</t>
        </is>
      </c>
      <c r="L371" s="72" t="inlineStr">
        <is>
          <t>Cash Flow</t>
        </is>
      </c>
    </row>
    <row r="372">
      <c r="A372" s="72" t="inlineStr">
        <is>
          <t>2130-0000</t>
        </is>
      </c>
      <c r="B372" s="72" t="inlineStr">
        <is>
          <t>Note 3 Principal</t>
        </is>
      </c>
      <c r="C372" s="72" t="inlineStr">
        <is>
          <t>Credit</t>
        </is>
      </c>
      <c r="D372" s="72" t="inlineStr">
        <is>
          <t>Reg</t>
        </is>
      </c>
      <c r="E372" s="72" t="inlineStr">
        <is>
          <t>Bal</t>
        </is>
      </c>
      <c r="F372" s="12" t="n">
        <v>1</v>
      </c>
      <c r="G372" s="12" t="n">
        <v>1</v>
      </c>
      <c r="H372" s="72" t="n"/>
      <c r="I372" s="72" t="n"/>
      <c r="J372" s="72" t="n"/>
      <c r="K372" s="72" t="inlineStr">
        <is>
          <t>2990-0000</t>
        </is>
      </c>
      <c r="L372" s="72" t="inlineStr">
        <is>
          <t>Cash Flow</t>
        </is>
      </c>
    </row>
    <row r="373">
      <c r="A373" s="72" t="inlineStr">
        <is>
          <t>2135-0000</t>
        </is>
      </c>
      <c r="B373" s="72" t="inlineStr">
        <is>
          <t>Note 4 Principal</t>
        </is>
      </c>
      <c r="C373" s="72" t="inlineStr">
        <is>
          <t>Credit</t>
        </is>
      </c>
      <c r="D373" s="72" t="inlineStr">
        <is>
          <t>Reg</t>
        </is>
      </c>
      <c r="E373" s="72" t="inlineStr">
        <is>
          <t>Bal</t>
        </is>
      </c>
      <c r="F373" s="12" t="n">
        <v>1</v>
      </c>
      <c r="G373" s="12" t="n">
        <v>1</v>
      </c>
      <c r="H373" s="72" t="n"/>
      <c r="I373" s="72" t="n"/>
      <c r="J373" s="72" t="n"/>
      <c r="K373" s="72" t="inlineStr">
        <is>
          <t>2990-0000</t>
        </is>
      </c>
      <c r="L373" s="72" t="inlineStr">
        <is>
          <t>Cash Flow</t>
        </is>
      </c>
    </row>
    <row r="374">
      <c r="A374" s="72" t="inlineStr">
        <is>
          <t>2135-0010</t>
        </is>
      </c>
      <c r="B374" s="72" t="inlineStr">
        <is>
          <t>Pace Equity Loan</t>
        </is>
      </c>
      <c r="C374" s="72" t="inlineStr">
        <is>
          <t>Credit</t>
        </is>
      </c>
      <c r="D374" s="72" t="inlineStr">
        <is>
          <t>Reg</t>
        </is>
      </c>
      <c r="E374" s="72" t="inlineStr">
        <is>
          <t>Bal</t>
        </is>
      </c>
      <c r="F374" s="12" t="n">
        <v>1</v>
      </c>
      <c r="G374" s="12" t="n">
        <v>1</v>
      </c>
      <c r="H374" s="72" t="n"/>
      <c r="I374" s="72" t="n"/>
      <c r="J374" s="72" t="n"/>
      <c r="K374" s="72" t="inlineStr">
        <is>
          <t>2990-0000</t>
        </is>
      </c>
      <c r="L374" s="72" t="inlineStr">
        <is>
          <t>Cash Flow</t>
        </is>
      </c>
    </row>
    <row r="375">
      <c r="A375" s="72" t="inlineStr">
        <is>
          <t>2140-0000</t>
        </is>
      </c>
      <c r="B375" s="72" t="inlineStr">
        <is>
          <t>Lease Payable</t>
        </is>
      </c>
      <c r="C375" s="72" t="inlineStr">
        <is>
          <t>Credit</t>
        </is>
      </c>
      <c r="D375" s="72" t="inlineStr">
        <is>
          <t>Reg</t>
        </is>
      </c>
      <c r="E375" s="72" t="inlineStr">
        <is>
          <t>Bal</t>
        </is>
      </c>
      <c r="F375" s="12" t="n">
        <v>1</v>
      </c>
      <c r="G375" s="12" t="n">
        <v>1</v>
      </c>
      <c r="H375" s="72" t="n"/>
      <c r="I375" s="72" t="n"/>
      <c r="J375" s="72" t="n"/>
      <c r="K375" s="72" t="inlineStr">
        <is>
          <t>2990-0000</t>
        </is>
      </c>
      <c r="L375" s="72" t="inlineStr">
        <is>
          <t>Cash Flow</t>
        </is>
      </c>
    </row>
    <row r="376">
      <c r="A376" s="72" t="inlineStr">
        <is>
          <t>2147-2200</t>
        </is>
      </c>
      <c r="B376" s="72" t="n"/>
      <c r="C376" s="72" t="inlineStr">
        <is>
          <t>Debit</t>
        </is>
      </c>
      <c r="D376" s="72" t="inlineStr">
        <is>
          <t>Reg</t>
        </is>
      </c>
      <c r="E376" s="72" t="inlineStr">
        <is>
          <t>Inc</t>
        </is>
      </c>
      <c r="F376" s="12" t="n">
        <v>0</v>
      </c>
      <c r="G376" s="12" t="n">
        <v>1</v>
      </c>
      <c r="H376" s="72" t="n"/>
      <c r="I376" s="72" t="n"/>
      <c r="J376" s="72" t="n"/>
      <c r="K376" s="72" t="n"/>
      <c r="L376" s="72" t="n"/>
    </row>
    <row r="377">
      <c r="A377" s="72" t="inlineStr">
        <is>
          <t>2150-0000</t>
        </is>
      </c>
      <c r="B377" s="72" t="inlineStr">
        <is>
          <t>Transfer To From Liability</t>
        </is>
      </c>
      <c r="C377" s="72" t="inlineStr">
        <is>
          <t>Credit</t>
        </is>
      </c>
      <c r="D377" s="72" t="inlineStr">
        <is>
          <t>Reg</t>
        </is>
      </c>
      <c r="E377" s="72" t="inlineStr">
        <is>
          <t>Bal</t>
        </is>
      </c>
      <c r="F377" s="12" t="n">
        <v>1</v>
      </c>
      <c r="G377" s="12" t="n">
        <v>1</v>
      </c>
      <c r="H377" s="72" t="n"/>
      <c r="I377" s="72" t="n"/>
      <c r="J377" s="72" t="n"/>
      <c r="K377" s="72" t="inlineStr">
        <is>
          <t>2990-0000</t>
        </is>
      </c>
      <c r="L377" s="72" t="inlineStr">
        <is>
          <t>Cash Flow</t>
        </is>
      </c>
    </row>
    <row r="378">
      <c r="A378" s="72" t="inlineStr">
        <is>
          <t>2150-0001</t>
        </is>
      </c>
      <c r="B378" s="72" t="inlineStr">
        <is>
          <t>Due To/(From) Ceres</t>
        </is>
      </c>
      <c r="C378" s="72" t="inlineStr">
        <is>
          <t>Credit</t>
        </is>
      </c>
      <c r="D378" s="72" t="inlineStr">
        <is>
          <t>Reg</t>
        </is>
      </c>
      <c r="E378" s="72" t="inlineStr">
        <is>
          <t>Bal</t>
        </is>
      </c>
      <c r="F378" s="12" t="n">
        <v>1</v>
      </c>
      <c r="G378" s="12" t="n">
        <v>1</v>
      </c>
      <c r="H378" s="72" t="n"/>
      <c r="I378" s="72" t="n"/>
      <c r="J378" s="72" t="n"/>
      <c r="K378" s="72" t="inlineStr">
        <is>
          <t>2990-0000</t>
        </is>
      </c>
      <c r="L378" s="72" t="inlineStr">
        <is>
          <t>Cash Flow</t>
        </is>
      </c>
    </row>
    <row r="379">
      <c r="A379" s="72" t="inlineStr">
        <is>
          <t>2150-0002</t>
        </is>
      </c>
      <c r="B379" s="72" t="inlineStr">
        <is>
          <t>Due To/(From) Ceres II</t>
        </is>
      </c>
      <c r="C379" s="72" t="inlineStr">
        <is>
          <t>Credit</t>
        </is>
      </c>
      <c r="D379" s="72" t="inlineStr">
        <is>
          <t>Reg</t>
        </is>
      </c>
      <c r="E379" s="72" t="inlineStr">
        <is>
          <t>Bal</t>
        </is>
      </c>
      <c r="F379" s="12" t="n">
        <v>1</v>
      </c>
      <c r="G379" s="12" t="n">
        <v>1</v>
      </c>
      <c r="H379" s="72" t="n"/>
      <c r="I379" s="72" t="n"/>
      <c r="J379" s="72" t="n"/>
      <c r="K379" s="72" t="inlineStr">
        <is>
          <t>2990-0000</t>
        </is>
      </c>
      <c r="L379" s="72" t="inlineStr">
        <is>
          <t>Cash Flow</t>
        </is>
      </c>
    </row>
    <row r="380">
      <c r="A380" s="72" t="inlineStr">
        <is>
          <t>2150-0003</t>
        </is>
      </c>
      <c r="B380" s="72" t="inlineStr">
        <is>
          <t>Due To/(From) 403 Badger</t>
        </is>
      </c>
      <c r="C380" s="72" t="inlineStr">
        <is>
          <t>Credit</t>
        </is>
      </c>
      <c r="D380" s="72" t="inlineStr">
        <is>
          <t>Reg</t>
        </is>
      </c>
      <c r="E380" s="72" t="inlineStr">
        <is>
          <t>Bal</t>
        </is>
      </c>
      <c r="F380" s="12" t="n">
        <v>1</v>
      </c>
      <c r="G380" s="12" t="n">
        <v>1</v>
      </c>
      <c r="H380" s="72" t="n"/>
      <c r="I380" s="72" t="n"/>
      <c r="J380" s="72" t="n"/>
      <c r="K380" s="72" t="inlineStr">
        <is>
          <t>2990-0000</t>
        </is>
      </c>
      <c r="L380" s="72" t="inlineStr">
        <is>
          <t>Cash Flow</t>
        </is>
      </c>
    </row>
    <row r="381">
      <c r="A381" s="72" t="inlineStr">
        <is>
          <t>2150-0004</t>
        </is>
      </c>
      <c r="B381" s="72" t="inlineStr">
        <is>
          <t>Due To/(From) 9530 S Cook</t>
        </is>
      </c>
      <c r="C381" s="72" t="inlineStr">
        <is>
          <t>Credit</t>
        </is>
      </c>
      <c r="D381" s="72" t="inlineStr">
        <is>
          <t>Reg</t>
        </is>
      </c>
      <c r="E381" s="72" t="inlineStr">
        <is>
          <t>Bal</t>
        </is>
      </c>
      <c r="F381" s="12" t="n">
        <v>1</v>
      </c>
      <c r="G381" s="12" t="n">
        <v>1</v>
      </c>
      <c r="H381" s="72" t="n"/>
      <c r="I381" s="72" t="n"/>
      <c r="J381" s="72" t="n"/>
      <c r="K381" s="72" t="inlineStr">
        <is>
          <t>2990-0000</t>
        </is>
      </c>
      <c r="L381" s="72" t="inlineStr">
        <is>
          <t>Cash Flow</t>
        </is>
      </c>
    </row>
    <row r="382">
      <c r="A382" s="72" t="inlineStr">
        <is>
          <t>2150-0005</t>
        </is>
      </c>
      <c r="B382" s="72" t="inlineStr">
        <is>
          <t>Due To/(From) 5601 N Sheridan</t>
        </is>
      </c>
      <c r="C382" s="72" t="inlineStr">
        <is>
          <t>Credit</t>
        </is>
      </c>
      <c r="D382" s="72" t="inlineStr">
        <is>
          <t>Reg</t>
        </is>
      </c>
      <c r="E382" s="72" t="inlineStr">
        <is>
          <t>Bal</t>
        </is>
      </c>
      <c r="F382" s="12" t="n">
        <v>1</v>
      </c>
      <c r="G382" s="12" t="n">
        <v>1</v>
      </c>
      <c r="H382" s="72" t="n"/>
      <c r="I382" s="72" t="n"/>
      <c r="J382" s="72" t="n"/>
      <c r="K382" s="72" t="inlineStr">
        <is>
          <t>2990-0000</t>
        </is>
      </c>
      <c r="L382" s="72" t="inlineStr">
        <is>
          <t>Cash Flow</t>
        </is>
      </c>
    </row>
    <row r="383">
      <c r="A383" s="72" t="inlineStr">
        <is>
          <t>2150-0006</t>
        </is>
      </c>
      <c r="B383" s="72" t="inlineStr">
        <is>
          <t>Due To/(From) JCR Personal Operating Account</t>
        </is>
      </c>
      <c r="C383" s="72" t="inlineStr">
        <is>
          <t>Credit</t>
        </is>
      </c>
      <c r="D383" s="72" t="inlineStr">
        <is>
          <t>Reg</t>
        </is>
      </c>
      <c r="E383" s="72" t="inlineStr">
        <is>
          <t>Bal</t>
        </is>
      </c>
      <c r="F383" s="12" t="n">
        <v>1</v>
      </c>
      <c r="G383" s="12" t="n">
        <v>1</v>
      </c>
      <c r="H383" s="72" t="n"/>
      <c r="I383" s="72" t="n"/>
      <c r="J383" s="72" t="n"/>
      <c r="K383" s="72" t="inlineStr">
        <is>
          <t>2990-0000</t>
        </is>
      </c>
      <c r="L383" s="72" t="inlineStr">
        <is>
          <t>Cash Flow</t>
        </is>
      </c>
    </row>
    <row r="384">
      <c r="A384" s="72" t="inlineStr">
        <is>
          <t>2150-0007</t>
        </is>
      </c>
      <c r="B384" s="72" t="inlineStr">
        <is>
          <t>Due To/From Elmdale Commercial</t>
        </is>
      </c>
      <c r="C384" s="72" t="inlineStr">
        <is>
          <t>Credit</t>
        </is>
      </c>
      <c r="D384" s="72" t="inlineStr">
        <is>
          <t>Reg</t>
        </is>
      </c>
      <c r="E384" s="72" t="inlineStr">
        <is>
          <t>Bal</t>
        </is>
      </c>
      <c r="F384" s="12" t="n">
        <v>1</v>
      </c>
      <c r="G384" s="12" t="n">
        <v>1</v>
      </c>
      <c r="H384" s="72" t="n"/>
      <c r="I384" s="72" t="n"/>
      <c r="J384" s="72" t="n"/>
      <c r="K384" s="72" t="inlineStr">
        <is>
          <t>2990-0000</t>
        </is>
      </c>
      <c r="L384" s="72" t="inlineStr">
        <is>
          <t>Cash Flow</t>
        </is>
      </c>
    </row>
    <row r="385">
      <c r="A385" s="72" t="inlineStr">
        <is>
          <t>2150-0008</t>
        </is>
      </c>
      <c r="B385" s="72" t="inlineStr">
        <is>
          <t>Due To/(From) 3839</t>
        </is>
      </c>
      <c r="C385" s="72" t="inlineStr">
        <is>
          <t>Credit</t>
        </is>
      </c>
      <c r="D385" s="72" t="inlineStr">
        <is>
          <t>Reg</t>
        </is>
      </c>
      <c r="E385" s="72" t="inlineStr">
        <is>
          <t>Bal</t>
        </is>
      </c>
      <c r="F385" s="12" t="n">
        <v>1</v>
      </c>
      <c r="G385" s="12" t="n">
        <v>1</v>
      </c>
      <c r="H385" s="72" t="n"/>
      <c r="I385" s="72" t="n"/>
      <c r="J385" s="72" t="n"/>
      <c r="K385" s="72" t="inlineStr">
        <is>
          <t>2990-0000</t>
        </is>
      </c>
      <c r="L385" s="72" t="inlineStr">
        <is>
          <t>Cash Flow</t>
        </is>
      </c>
    </row>
    <row r="386">
      <c r="A386" s="72" t="inlineStr">
        <is>
          <t>2150-0009</t>
        </is>
      </c>
      <c r="B386" s="72" t="inlineStr">
        <is>
          <t>Due To/(From) Adam Freeman</t>
        </is>
      </c>
      <c r="C386" s="72" t="inlineStr">
        <is>
          <t>Credit</t>
        </is>
      </c>
      <c r="D386" s="72" t="inlineStr">
        <is>
          <t>Reg</t>
        </is>
      </c>
      <c r="E386" s="72" t="inlineStr">
        <is>
          <t>Bal</t>
        </is>
      </c>
      <c r="F386" s="12" t="n">
        <v>1</v>
      </c>
      <c r="G386" s="12" t="n">
        <v>1</v>
      </c>
      <c r="H386" s="72" t="n"/>
      <c r="I386" s="72" t="n"/>
      <c r="J386" s="72" t="n"/>
      <c r="K386" s="72" t="inlineStr">
        <is>
          <t>2990-0000</t>
        </is>
      </c>
      <c r="L386" s="72" t="inlineStr">
        <is>
          <t>Cash Flow</t>
        </is>
      </c>
    </row>
    <row r="387">
      <c r="A387" s="72" t="inlineStr">
        <is>
          <t>2150-0010</t>
        </is>
      </c>
      <c r="B387" s="72" t="inlineStr">
        <is>
          <t>Due To/(From) Affinity Title Services</t>
        </is>
      </c>
      <c r="C387" s="72" t="inlineStr">
        <is>
          <t>Credit</t>
        </is>
      </c>
      <c r="D387" s="72" t="inlineStr">
        <is>
          <t>Reg</t>
        </is>
      </c>
      <c r="E387" s="72" t="inlineStr">
        <is>
          <t>Bal</t>
        </is>
      </c>
      <c r="F387" s="12" t="n">
        <v>1</v>
      </c>
      <c r="G387" s="12" t="n">
        <v>1</v>
      </c>
      <c r="H387" s="72" t="n"/>
      <c r="I387" s="72" t="n"/>
      <c r="J387" s="72" t="n"/>
      <c r="K387" s="72" t="inlineStr">
        <is>
          <t>2990-0000</t>
        </is>
      </c>
      <c r="L387" s="72" t="inlineStr">
        <is>
          <t>Cash Flow</t>
        </is>
      </c>
    </row>
    <row r="388">
      <c r="A388" s="72" t="inlineStr">
        <is>
          <t>2150-0011</t>
        </is>
      </c>
      <c r="B388" s="72" t="inlineStr">
        <is>
          <t>Due To/(From) EP Legacy</t>
        </is>
      </c>
      <c r="C388" s="72" t="inlineStr">
        <is>
          <t>Credit</t>
        </is>
      </c>
      <c r="D388" s="72" t="inlineStr">
        <is>
          <t>Reg</t>
        </is>
      </c>
      <c r="E388" s="72" t="inlineStr">
        <is>
          <t>Bal</t>
        </is>
      </c>
      <c r="F388" s="12" t="n">
        <v>1</v>
      </c>
      <c r="G388" s="12" t="n">
        <v>1</v>
      </c>
      <c r="H388" s="72" t="n"/>
      <c r="I388" s="72" t="n"/>
      <c r="J388" s="72" t="n"/>
      <c r="K388" s="72" t="inlineStr">
        <is>
          <t>2990-0000</t>
        </is>
      </c>
      <c r="L388" s="72" t="inlineStr">
        <is>
          <t>Cash Flow</t>
        </is>
      </c>
    </row>
    <row r="389">
      <c r="A389" s="72" t="inlineStr">
        <is>
          <t>2150-0012</t>
        </is>
      </c>
      <c r="B389" s="72" t="inlineStr">
        <is>
          <t>Due To/(From) 451 Randall</t>
        </is>
      </c>
      <c r="C389" s="72" t="inlineStr">
        <is>
          <t>Credit</t>
        </is>
      </c>
      <c r="D389" s="72" t="inlineStr">
        <is>
          <t>Reg</t>
        </is>
      </c>
      <c r="E389" s="72" t="inlineStr">
        <is>
          <t>Bal</t>
        </is>
      </c>
      <c r="F389" s="12" t="n">
        <v>0</v>
      </c>
      <c r="G389" s="12" t="n">
        <v>1</v>
      </c>
      <c r="H389" s="72" t="n"/>
      <c r="I389" s="72" t="n"/>
      <c r="J389" s="72" t="n"/>
      <c r="K389" s="72" t="n"/>
      <c r="L389" s="72" t="inlineStr">
        <is>
          <t>Cash Flow</t>
        </is>
      </c>
    </row>
    <row r="390">
      <c r="A390" s="72" t="inlineStr">
        <is>
          <t>2150-0013</t>
        </is>
      </c>
      <c r="B390" s="72" t="inlineStr">
        <is>
          <t>Due To/(From) C21</t>
        </is>
      </c>
      <c r="C390" s="72" t="inlineStr">
        <is>
          <t>Credit</t>
        </is>
      </c>
      <c r="D390" s="72" t="inlineStr">
        <is>
          <t>Reg</t>
        </is>
      </c>
      <c r="E390" s="72" t="inlineStr">
        <is>
          <t>Bal</t>
        </is>
      </c>
      <c r="F390" s="12" t="n">
        <v>0</v>
      </c>
      <c r="G390" s="12" t="n">
        <v>1</v>
      </c>
      <c r="H390" s="72" t="n"/>
      <c r="I390" s="72" t="n"/>
      <c r="J390" s="72" t="n"/>
      <c r="K390" s="72" t="n"/>
      <c r="L390" s="72" t="inlineStr">
        <is>
          <t>Cash Flow</t>
        </is>
      </c>
    </row>
    <row r="391">
      <c r="A391" s="72" t="inlineStr">
        <is>
          <t>2150-0014</t>
        </is>
      </c>
      <c r="B391" s="72" t="inlineStr">
        <is>
          <t>Due To/(From) EP SEF III</t>
        </is>
      </c>
      <c r="C391" s="72" t="inlineStr">
        <is>
          <t>Credit</t>
        </is>
      </c>
      <c r="D391" s="72" t="inlineStr">
        <is>
          <t>Reg</t>
        </is>
      </c>
      <c r="E391" s="72" t="inlineStr">
        <is>
          <t>Bal</t>
        </is>
      </c>
      <c r="F391" s="12" t="n">
        <v>0</v>
      </c>
      <c r="G391" s="12" t="n">
        <v>1</v>
      </c>
      <c r="H391" s="72" t="n"/>
      <c r="I391" s="72" t="n"/>
      <c r="J391" s="72" t="n"/>
      <c r="K391" s="72" t="n"/>
      <c r="L391" s="72" t="inlineStr">
        <is>
          <t>Cash Flow</t>
        </is>
      </c>
    </row>
    <row r="392">
      <c r="A392" s="72" t="inlineStr">
        <is>
          <t>2150-0015</t>
        </is>
      </c>
      <c r="B392" s="72" t="inlineStr">
        <is>
          <t>Due To/(From) EMG</t>
        </is>
      </c>
      <c r="C392" s="72" t="inlineStr">
        <is>
          <t>Credit</t>
        </is>
      </c>
      <c r="D392" s="72" t="inlineStr">
        <is>
          <t>Reg</t>
        </is>
      </c>
      <c r="E392" s="72" t="inlineStr">
        <is>
          <t>Bal</t>
        </is>
      </c>
      <c r="F392" s="12" t="n">
        <v>0</v>
      </c>
      <c r="G392" s="12" t="n">
        <v>1</v>
      </c>
      <c r="H392" s="72" t="n"/>
      <c r="I392" s="72" t="n"/>
      <c r="J392" s="72" t="n"/>
      <c r="K392" s="72" t="inlineStr">
        <is>
          <t>2990-0000</t>
        </is>
      </c>
      <c r="L392" s="72" t="inlineStr">
        <is>
          <t>Cash Flow</t>
        </is>
      </c>
    </row>
    <row r="393">
      <c r="A393" s="72" t="inlineStr">
        <is>
          <t>2150-0016</t>
        </is>
      </c>
      <c r="B393" s="72" t="inlineStr">
        <is>
          <t>Due To/(From) Jim Sayegh</t>
        </is>
      </c>
      <c r="C393" s="72" t="inlineStr">
        <is>
          <t>Credit</t>
        </is>
      </c>
      <c r="D393" s="72" t="inlineStr">
        <is>
          <t>Reg</t>
        </is>
      </c>
      <c r="E393" s="72" t="inlineStr">
        <is>
          <t>Bal</t>
        </is>
      </c>
      <c r="F393" s="12" t="n">
        <v>1</v>
      </c>
      <c r="G393" s="12" t="n">
        <v>1</v>
      </c>
      <c r="H393" s="72" t="n"/>
      <c r="I393" s="72" t="n"/>
      <c r="J393" s="72" t="n"/>
      <c r="K393" s="72" t="inlineStr">
        <is>
          <t>2990-0000</t>
        </is>
      </c>
      <c r="L393" s="72" t="inlineStr">
        <is>
          <t>Cash Flow</t>
        </is>
      </c>
    </row>
    <row r="394">
      <c r="A394" s="72" t="inlineStr">
        <is>
          <t>2150-0017</t>
        </is>
      </c>
      <c r="B394" s="72" t="inlineStr">
        <is>
          <t>Due To/(From) EP Construction</t>
        </is>
      </c>
      <c r="C394" s="72" t="inlineStr">
        <is>
          <t>Credit</t>
        </is>
      </c>
      <c r="D394" s="72" t="inlineStr">
        <is>
          <t>Reg</t>
        </is>
      </c>
      <c r="E394" s="72" t="inlineStr">
        <is>
          <t>Bal</t>
        </is>
      </c>
      <c r="F394" s="12" t="n">
        <v>1</v>
      </c>
      <c r="G394" s="12" t="n">
        <v>1</v>
      </c>
      <c r="H394" s="72" t="n"/>
      <c r="I394" s="72" t="n"/>
      <c r="J394" s="72" t="n"/>
      <c r="K394" s="72" t="n"/>
      <c r="L394" s="72" t="inlineStr">
        <is>
          <t>Cash Flow</t>
        </is>
      </c>
    </row>
    <row r="395">
      <c r="A395" s="72" t="inlineStr">
        <is>
          <t>2150-0018</t>
        </is>
      </c>
      <c r="B395" s="72" t="inlineStr">
        <is>
          <t>Due To/(From) 9105 EP SEF III Orland Park</t>
        </is>
      </c>
      <c r="C395" s="72" t="inlineStr">
        <is>
          <t>Credit</t>
        </is>
      </c>
      <c r="D395" s="72" t="inlineStr">
        <is>
          <t>Reg</t>
        </is>
      </c>
      <c r="E395" s="72" t="inlineStr">
        <is>
          <t>Bal</t>
        </is>
      </c>
      <c r="F395" s="12" t="n">
        <v>1</v>
      </c>
      <c r="G395" s="12" t="n">
        <v>1</v>
      </c>
      <c r="H395" s="72" t="n"/>
      <c r="I395" s="72" t="n"/>
      <c r="J395" s="72" t="n"/>
      <c r="K395" s="72" t="inlineStr">
        <is>
          <t>2990-0000</t>
        </is>
      </c>
      <c r="L395" s="72" t="inlineStr">
        <is>
          <t>Cash Flow</t>
        </is>
      </c>
    </row>
    <row r="396">
      <c r="A396" s="72" t="inlineStr">
        <is>
          <t>2150-0019</t>
        </is>
      </c>
      <c r="B396" s="72" t="inlineStr">
        <is>
          <t>Due to/(from) 1307 College Ave</t>
        </is>
      </c>
      <c r="C396" s="72" t="inlineStr">
        <is>
          <t>Credit</t>
        </is>
      </c>
      <c r="D396" s="72" t="inlineStr">
        <is>
          <t>Reg</t>
        </is>
      </c>
      <c r="E396" s="72" t="inlineStr">
        <is>
          <t>Bal</t>
        </is>
      </c>
      <c r="F396" s="12" t="n">
        <v>1</v>
      </c>
      <c r="G396" s="12" t="n">
        <v>1</v>
      </c>
      <c r="H396" s="72" t="n"/>
      <c r="I396" s="72" t="n"/>
      <c r="J396" s="72" t="n"/>
      <c r="K396" s="72" t="inlineStr">
        <is>
          <t>2990-0000</t>
        </is>
      </c>
      <c r="L396" s="72" t="inlineStr">
        <is>
          <t>Cash Flow</t>
        </is>
      </c>
    </row>
    <row r="397">
      <c r="A397" s="72" t="inlineStr">
        <is>
          <t>2150-0020</t>
        </is>
      </c>
      <c r="B397" s="72" t="inlineStr">
        <is>
          <t>Due To/(From) Other Property</t>
        </is>
      </c>
      <c r="C397" s="72" t="inlineStr">
        <is>
          <t>Credit</t>
        </is>
      </c>
      <c r="D397" s="72" t="inlineStr">
        <is>
          <t>Reg</t>
        </is>
      </c>
      <c r="E397" s="72" t="inlineStr">
        <is>
          <t>Bal</t>
        </is>
      </c>
      <c r="F397" s="12" t="n">
        <v>1</v>
      </c>
      <c r="G397" s="12" t="n">
        <v>1</v>
      </c>
      <c r="H397" s="72" t="n"/>
      <c r="I397" s="72" t="n"/>
      <c r="J397" s="72" t="n"/>
      <c r="K397" s="72" t="inlineStr">
        <is>
          <t>2990-0000</t>
        </is>
      </c>
      <c r="L397" s="72" t="inlineStr">
        <is>
          <t>Cash Flow</t>
        </is>
      </c>
    </row>
    <row r="398">
      <c r="A398" s="72" t="inlineStr">
        <is>
          <t>2150-0021</t>
        </is>
      </c>
      <c r="B398" s="72" t="inlineStr">
        <is>
          <t>Due To/(From) EP SEF IV</t>
        </is>
      </c>
      <c r="C398" s="72" t="inlineStr">
        <is>
          <t>Credit</t>
        </is>
      </c>
      <c r="D398" s="72" t="inlineStr">
        <is>
          <t>Reg</t>
        </is>
      </c>
      <c r="E398" s="72" t="inlineStr">
        <is>
          <t>Bal</t>
        </is>
      </c>
      <c r="F398" s="12" t="n">
        <v>1</v>
      </c>
      <c r="G398" s="12" t="n">
        <v>1</v>
      </c>
      <c r="H398" s="72" t="n"/>
      <c r="I398" s="72" t="n"/>
      <c r="J398" s="72" t="n"/>
      <c r="K398" s="72" t="inlineStr">
        <is>
          <t>2990-0000</t>
        </is>
      </c>
      <c r="L398" s="72" t="inlineStr">
        <is>
          <t>Cash Flow</t>
        </is>
      </c>
    </row>
    <row r="399">
      <c r="A399" s="72" t="inlineStr">
        <is>
          <t>2150-0022</t>
        </is>
      </c>
      <c r="B399" s="72" t="inlineStr">
        <is>
          <t>Due To/(From) SSSM</t>
        </is>
      </c>
      <c r="C399" s="72" t="inlineStr">
        <is>
          <t>Credit</t>
        </is>
      </c>
      <c r="D399" s="72" t="inlineStr">
        <is>
          <t>Reg</t>
        </is>
      </c>
      <c r="E399" s="72" t="inlineStr">
        <is>
          <t>Bal</t>
        </is>
      </c>
      <c r="F399" s="12" t="n">
        <v>1</v>
      </c>
      <c r="G399" s="12" t="n">
        <v>1</v>
      </c>
      <c r="H399" s="72" t="n"/>
      <c r="I399" s="72" t="n"/>
      <c r="J399" s="72" t="n"/>
      <c r="K399" s="72" t="inlineStr">
        <is>
          <t>2990-0000</t>
        </is>
      </c>
      <c r="L399" s="72" t="inlineStr">
        <is>
          <t>Cash Flow</t>
        </is>
      </c>
    </row>
    <row r="400">
      <c r="A400" s="72" t="inlineStr">
        <is>
          <t>2150-0023</t>
        </is>
      </c>
      <c r="B400" s="72" t="inlineStr">
        <is>
          <t>Due To/(From) Storsafe DRE JV LLC</t>
        </is>
      </c>
      <c r="C400" s="72" t="inlineStr">
        <is>
          <t>Credit</t>
        </is>
      </c>
      <c r="D400" s="72" t="inlineStr">
        <is>
          <t>Reg</t>
        </is>
      </c>
      <c r="E400" s="72" t="inlineStr">
        <is>
          <t>Bal</t>
        </is>
      </c>
      <c r="F400" s="12" t="n">
        <v>1</v>
      </c>
      <c r="G400" s="12" t="n">
        <v>1</v>
      </c>
      <c r="H400" s="72" t="n"/>
      <c r="I400" s="72" t="n"/>
      <c r="J400" s="72" t="n"/>
      <c r="K400" s="72" t="inlineStr">
        <is>
          <t>2990-0000</t>
        </is>
      </c>
      <c r="L400" s="72" t="inlineStr">
        <is>
          <t>Cash Flow</t>
        </is>
      </c>
    </row>
    <row r="401">
      <c r="A401" s="72" t="inlineStr">
        <is>
          <t>2200-0000</t>
        </is>
      </c>
      <c r="B401" s="72" t="inlineStr">
        <is>
          <t>Accounts Payable</t>
        </is>
      </c>
      <c r="C401" s="72" t="inlineStr">
        <is>
          <t>Credit</t>
        </is>
      </c>
      <c r="D401" s="72" t="inlineStr">
        <is>
          <t>Reg</t>
        </is>
      </c>
      <c r="E401" s="72" t="inlineStr">
        <is>
          <t>Bal</t>
        </is>
      </c>
      <c r="F401" s="12" t="n">
        <v>1</v>
      </c>
      <c r="G401" s="12" t="n">
        <v>1</v>
      </c>
      <c r="H401" s="72" t="n"/>
      <c r="I401" s="72" t="n"/>
      <c r="J401" s="72" t="n"/>
      <c r="K401" s="72" t="inlineStr">
        <is>
          <t>2990-0000</t>
        </is>
      </c>
      <c r="L401" s="72" t="inlineStr">
        <is>
          <t>Cash Flow, AP</t>
        </is>
      </c>
    </row>
    <row r="402">
      <c r="A402" s="72" t="inlineStr">
        <is>
          <t>2200-1000</t>
        </is>
      </c>
      <c r="B402" s="72" t="inlineStr">
        <is>
          <t>Accrued Liabilities</t>
        </is>
      </c>
      <c r="C402" s="72" t="inlineStr">
        <is>
          <t>Credit</t>
        </is>
      </c>
      <c r="D402" s="72" t="inlineStr">
        <is>
          <t>Reg</t>
        </is>
      </c>
      <c r="E402" s="72" t="inlineStr">
        <is>
          <t>Bal</t>
        </is>
      </c>
      <c r="F402" s="12" t="n">
        <v>1</v>
      </c>
      <c r="G402" s="12" t="n">
        <v>1</v>
      </c>
      <c r="H402" s="72" t="n"/>
      <c r="I402" s="72" t="n"/>
      <c r="J402" s="72" t="n"/>
      <c r="K402" s="72" t="inlineStr">
        <is>
          <t>2990-0000</t>
        </is>
      </c>
      <c r="L402" s="72" t="inlineStr">
        <is>
          <t>Cash Flow</t>
        </is>
      </c>
    </row>
    <row r="403">
      <c r="A403" s="72" t="inlineStr">
        <is>
          <t>2201-0000</t>
        </is>
      </c>
      <c r="B403" s="72" t="inlineStr">
        <is>
          <t>EP 2201 S Halsted</t>
        </is>
      </c>
      <c r="C403" s="72" t="inlineStr">
        <is>
          <t>Debit</t>
        </is>
      </c>
      <c r="D403" s="72" t="inlineStr">
        <is>
          <t>Reg</t>
        </is>
      </c>
      <c r="E403" s="72" t="inlineStr">
        <is>
          <t>Inc</t>
        </is>
      </c>
      <c r="F403" s="12" t="n">
        <v>0</v>
      </c>
      <c r="G403" s="12" t="n">
        <v>1</v>
      </c>
      <c r="H403" s="72" t="n"/>
      <c r="I403" s="72" t="n"/>
      <c r="J403" s="72" t="n"/>
      <c r="K403" s="72" t="n"/>
      <c r="L403" s="72" t="inlineStr">
        <is>
          <t>Exclude</t>
        </is>
      </c>
    </row>
    <row r="404">
      <c r="A404" s="72" t="inlineStr">
        <is>
          <t>2209-0000</t>
        </is>
      </c>
      <c r="B404" s="72" t="inlineStr">
        <is>
          <t>Pre-Paid Closing Costs</t>
        </is>
      </c>
      <c r="C404" s="72" t="inlineStr">
        <is>
          <t>Debit</t>
        </is>
      </c>
      <c r="D404" s="72" t="inlineStr">
        <is>
          <t>Reg</t>
        </is>
      </c>
      <c r="E404" s="72" t="inlineStr">
        <is>
          <t>Bal</t>
        </is>
      </c>
      <c r="F404" s="12" t="n">
        <v>1</v>
      </c>
      <c r="G404" s="12" t="n">
        <v>1</v>
      </c>
      <c r="H404" s="72" t="n"/>
      <c r="I404" s="72" t="n"/>
      <c r="J404" s="72" t="n"/>
      <c r="K404" s="72" t="n"/>
      <c r="L404" s="72" t="inlineStr">
        <is>
          <t>Cash Flow</t>
        </is>
      </c>
    </row>
    <row r="405">
      <c r="A405" s="72" t="inlineStr">
        <is>
          <t>2210-0000</t>
        </is>
      </c>
      <c r="B405" s="72" t="inlineStr">
        <is>
          <t>Prepaid Rent</t>
        </is>
      </c>
      <c r="C405" s="72" t="inlineStr">
        <is>
          <t>Credit</t>
        </is>
      </c>
      <c r="D405" s="72" t="inlineStr">
        <is>
          <t>Reg</t>
        </is>
      </c>
      <c r="E405" s="72" t="inlineStr">
        <is>
          <t>Bal</t>
        </is>
      </c>
      <c r="F405" s="12" t="n">
        <v>1</v>
      </c>
      <c r="G405" s="12" t="n">
        <v>1</v>
      </c>
      <c r="H405" s="72" t="n"/>
      <c r="I405" s="72" t="inlineStr">
        <is>
          <t>4500-0000</t>
        </is>
      </c>
      <c r="J405" s="72" t="n"/>
      <c r="K405" s="72" t="inlineStr">
        <is>
          <t>2990-0000</t>
        </is>
      </c>
      <c r="L405" s="72" t="inlineStr">
        <is>
          <t>Prepay, Cash Flow</t>
        </is>
      </c>
    </row>
    <row r="406">
      <c r="A406" s="72" t="inlineStr">
        <is>
          <t>2220-0000</t>
        </is>
      </c>
      <c r="B406" s="72" t="inlineStr">
        <is>
          <t>Prepaid Assessment</t>
        </is>
      </c>
      <c r="C406" s="72" t="inlineStr">
        <is>
          <t>Credit</t>
        </is>
      </c>
      <c r="D406" s="72" t="inlineStr">
        <is>
          <t>Reg</t>
        </is>
      </c>
      <c r="E406" s="72" t="inlineStr">
        <is>
          <t>Bal</t>
        </is>
      </c>
      <c r="F406" s="12" t="n">
        <v>1</v>
      </c>
      <c r="G406" s="12" t="n">
        <v>1</v>
      </c>
      <c r="H406" s="72" t="n"/>
      <c r="I406" s="72" t="inlineStr">
        <is>
          <t>4400-0000</t>
        </is>
      </c>
      <c r="J406" s="72" t="n"/>
      <c r="K406" s="72" t="inlineStr">
        <is>
          <t>2990-0000</t>
        </is>
      </c>
      <c r="L406" s="72" t="inlineStr">
        <is>
          <t>Prepay, Cash Flow</t>
        </is>
      </c>
    </row>
    <row r="407">
      <c r="A407" s="72" t="inlineStr">
        <is>
          <t>2230-0000</t>
        </is>
      </c>
      <c r="B407" s="72" t="inlineStr">
        <is>
          <t>Insurance Liability</t>
        </is>
      </c>
      <c r="C407" s="72" t="inlineStr">
        <is>
          <t>Credit</t>
        </is>
      </c>
      <c r="D407" s="72" t="inlineStr">
        <is>
          <t>Reg</t>
        </is>
      </c>
      <c r="E407" s="72" t="inlineStr">
        <is>
          <t>Bal</t>
        </is>
      </c>
      <c r="F407" s="12" t="n">
        <v>1</v>
      </c>
      <c r="G407" s="12" t="n">
        <v>1</v>
      </c>
      <c r="H407" s="72" t="n"/>
      <c r="I407" s="72" t="n"/>
      <c r="J407" s="72" t="n"/>
      <c r="K407" s="72" t="inlineStr">
        <is>
          <t>2990-0000</t>
        </is>
      </c>
      <c r="L407" s="72" t="inlineStr">
        <is>
          <t>Cash Flow</t>
        </is>
      </c>
    </row>
    <row r="408">
      <c r="A408" s="72" t="inlineStr">
        <is>
          <t>2235-0000</t>
        </is>
      </c>
      <c r="B408" s="72" t="inlineStr">
        <is>
          <t>Real Estate Tax Liability</t>
        </is>
      </c>
      <c r="C408" s="72" t="inlineStr">
        <is>
          <t>Credit</t>
        </is>
      </c>
      <c r="D408" s="72" t="inlineStr">
        <is>
          <t>Reg</t>
        </is>
      </c>
      <c r="E408" s="72" t="inlineStr">
        <is>
          <t>Bal</t>
        </is>
      </c>
      <c r="F408" s="12" t="n">
        <v>1</v>
      </c>
      <c r="G408" s="12" t="n">
        <v>1</v>
      </c>
      <c r="H408" s="72" t="n"/>
      <c r="I408" s="72" t="n"/>
      <c r="J408" s="72" t="n"/>
      <c r="K408" s="72" t="inlineStr">
        <is>
          <t>2990-0000</t>
        </is>
      </c>
      <c r="L408" s="72" t="inlineStr">
        <is>
          <t>Cash Flow</t>
        </is>
      </c>
    </row>
    <row r="409">
      <c r="A409" s="72" t="inlineStr">
        <is>
          <t>2240-0000</t>
        </is>
      </c>
      <c r="B409" s="72" t="inlineStr">
        <is>
          <t>Pet Deposits</t>
        </is>
      </c>
      <c r="C409" s="72" t="inlineStr">
        <is>
          <t>Credit</t>
        </is>
      </c>
      <c r="D409" s="72" t="inlineStr">
        <is>
          <t>Reg</t>
        </is>
      </c>
      <c r="E409" s="72" t="inlineStr">
        <is>
          <t>Bal</t>
        </is>
      </c>
      <c r="F409" s="12" t="n">
        <v>1</v>
      </c>
      <c r="G409" s="12" t="n">
        <v>1</v>
      </c>
      <c r="H409" s="72" t="inlineStr">
        <is>
          <t>1120-0000</t>
        </is>
      </c>
      <c r="I409" s="72" t="n"/>
      <c r="J409" s="72" t="n"/>
      <c r="K409" s="72" t="inlineStr">
        <is>
          <t>2990-0000</t>
        </is>
      </c>
      <c r="L409" s="72" t="inlineStr">
        <is>
          <t>Dep., Cash Flow</t>
        </is>
      </c>
    </row>
    <row r="410">
      <c r="A410" s="72" t="inlineStr">
        <is>
          <t>2245-0000</t>
        </is>
      </c>
      <c r="B410" s="72" t="inlineStr">
        <is>
          <t>CAM Liability</t>
        </is>
      </c>
      <c r="C410" s="72" t="inlineStr">
        <is>
          <t>Credit</t>
        </is>
      </c>
      <c r="D410" s="72" t="inlineStr">
        <is>
          <t>Reg</t>
        </is>
      </c>
      <c r="E410" s="72" t="inlineStr">
        <is>
          <t>Bal</t>
        </is>
      </c>
      <c r="F410" s="12" t="n">
        <v>1</v>
      </c>
      <c r="G410" s="12" t="n">
        <v>1</v>
      </c>
      <c r="H410" s="72" t="n"/>
      <c r="I410" s="72" t="n"/>
      <c r="J410" s="72" t="n"/>
      <c r="K410" s="72" t="inlineStr">
        <is>
          <t>2990-0000</t>
        </is>
      </c>
      <c r="L410" s="72" t="inlineStr">
        <is>
          <t>Cash Flow</t>
        </is>
      </c>
    </row>
    <row r="411">
      <c r="A411" s="72" t="inlineStr">
        <is>
          <t>2250-0000</t>
        </is>
      </c>
      <c r="B411" s="72" t="inlineStr">
        <is>
          <t>Tenant Deposits</t>
        </is>
      </c>
      <c r="C411" s="72" t="inlineStr">
        <is>
          <t>Credit</t>
        </is>
      </c>
      <c r="D411" s="72" t="inlineStr">
        <is>
          <t>Reg</t>
        </is>
      </c>
      <c r="E411" s="72" t="inlineStr">
        <is>
          <t>Bal</t>
        </is>
      </c>
      <c r="F411" s="12" t="n">
        <v>1</v>
      </c>
      <c r="G411" s="12" t="n">
        <v>1</v>
      </c>
      <c r="H411" s="72" t="n"/>
      <c r="I411" s="72" t="n"/>
      <c r="J411" s="72" t="n"/>
      <c r="K411" s="72" t="inlineStr">
        <is>
          <t>2990-0000</t>
        </is>
      </c>
      <c r="L411" s="72" t="inlineStr">
        <is>
          <t>Dep., Cash Flow</t>
        </is>
      </c>
    </row>
    <row r="412">
      <c r="A412" s="72" t="inlineStr">
        <is>
          <t>2250-0010</t>
        </is>
      </c>
      <c r="B412" s="72" t="inlineStr">
        <is>
          <t>Truck Rental Deposit</t>
        </is>
      </c>
      <c r="C412" s="72" t="inlineStr">
        <is>
          <t>Credit</t>
        </is>
      </c>
      <c r="D412" s="72" t="inlineStr">
        <is>
          <t>Reg</t>
        </is>
      </c>
      <c r="E412" s="72" t="inlineStr">
        <is>
          <t>Bal</t>
        </is>
      </c>
      <c r="F412" s="12" t="n">
        <v>1</v>
      </c>
      <c r="G412" s="12" t="n">
        <v>1</v>
      </c>
      <c r="H412" s="72" t="n"/>
      <c r="I412" s="72" t="n"/>
      <c r="J412" s="72" t="n"/>
      <c r="K412" s="72" t="inlineStr">
        <is>
          <t>2990-0000</t>
        </is>
      </c>
      <c r="L412" s="72" t="inlineStr">
        <is>
          <t>Dep., Cash Flow</t>
        </is>
      </c>
    </row>
    <row r="413">
      <c r="A413" s="72" t="inlineStr">
        <is>
          <t>2255-0000</t>
        </is>
      </c>
      <c r="B413" s="72" t="inlineStr">
        <is>
          <t>Replacement Reserves 3839 HOA</t>
        </is>
      </c>
      <c r="C413" s="72" t="inlineStr">
        <is>
          <t>Credit</t>
        </is>
      </c>
      <c r="D413" s="72" t="inlineStr">
        <is>
          <t>Reg</t>
        </is>
      </c>
      <c r="E413" s="72" t="inlineStr">
        <is>
          <t>Bal</t>
        </is>
      </c>
      <c r="F413" s="12" t="n">
        <v>1</v>
      </c>
      <c r="G413" s="12" t="n">
        <v>1</v>
      </c>
      <c r="H413" s="72" t="n"/>
      <c r="I413" s="72" t="n"/>
      <c r="J413" s="72" t="n"/>
      <c r="K413" s="72" t="inlineStr">
        <is>
          <t>2990-0000</t>
        </is>
      </c>
      <c r="L413" s="72" t="inlineStr">
        <is>
          <t>Cash Flow</t>
        </is>
      </c>
    </row>
    <row r="414">
      <c r="A414" s="72" t="inlineStr">
        <is>
          <t>2256-0000</t>
        </is>
      </c>
      <c r="B414" s="72" t="inlineStr">
        <is>
          <t>Replacement Reserves</t>
        </is>
      </c>
      <c r="C414" s="72" t="inlineStr">
        <is>
          <t>Credit</t>
        </is>
      </c>
      <c r="D414" s="72" t="inlineStr">
        <is>
          <t>Reg</t>
        </is>
      </c>
      <c r="E414" s="72" t="inlineStr">
        <is>
          <t>Bal</t>
        </is>
      </c>
      <c r="F414" s="12" t="n">
        <v>1</v>
      </c>
      <c r="G414" s="12" t="n">
        <v>1</v>
      </c>
      <c r="H414" s="72" t="n"/>
      <c r="I414" s="72" t="n"/>
      <c r="J414" s="72" t="n"/>
      <c r="K414" s="72" t="inlineStr">
        <is>
          <t>2990-0000</t>
        </is>
      </c>
      <c r="L414" s="72" t="inlineStr">
        <is>
          <t>Cash Flow</t>
        </is>
      </c>
    </row>
    <row r="415">
      <c r="A415" s="72" t="inlineStr">
        <is>
          <t>2257-0000</t>
        </is>
      </c>
      <c r="B415" s="72" t="inlineStr">
        <is>
          <t>3839 HOA RE Property Taxes</t>
        </is>
      </c>
      <c r="C415" s="72" t="inlineStr">
        <is>
          <t>Credit</t>
        </is>
      </c>
      <c r="D415" s="72" t="inlineStr">
        <is>
          <t>Reg</t>
        </is>
      </c>
      <c r="E415" s="72" t="inlineStr">
        <is>
          <t>Bal</t>
        </is>
      </c>
      <c r="F415" s="12" t="n">
        <v>1</v>
      </c>
      <c r="G415" s="12" t="n">
        <v>1</v>
      </c>
      <c r="H415" s="72" t="n"/>
      <c r="I415" s="72" t="n"/>
      <c r="J415" s="72" t="n"/>
      <c r="K415" s="72" t="inlineStr">
        <is>
          <t>2990-0000</t>
        </is>
      </c>
      <c r="L415" s="72" t="inlineStr">
        <is>
          <t>Cash Flow</t>
        </is>
      </c>
    </row>
    <row r="416">
      <c r="A416" s="72" t="inlineStr">
        <is>
          <t>2260-0000</t>
        </is>
      </c>
      <c r="B416" s="72" t="inlineStr">
        <is>
          <t>Interest on Tenant Deposits</t>
        </is>
      </c>
      <c r="C416" s="72" t="inlineStr">
        <is>
          <t>Credit</t>
        </is>
      </c>
      <c r="D416" s="72" t="inlineStr">
        <is>
          <t>Reg</t>
        </is>
      </c>
      <c r="E416" s="72" t="inlineStr">
        <is>
          <t>Bal</t>
        </is>
      </c>
      <c r="F416" s="12" t="n">
        <v>1</v>
      </c>
      <c r="G416" s="12" t="n">
        <v>1</v>
      </c>
      <c r="H416" s="72" t="n"/>
      <c r="I416" s="72" t="n"/>
      <c r="J416" s="72" t="n"/>
      <c r="K416" s="72" t="inlineStr">
        <is>
          <t>2990-0000</t>
        </is>
      </c>
      <c r="L416" s="72" t="inlineStr">
        <is>
          <t>Dep., Cash Flow</t>
        </is>
      </c>
    </row>
    <row r="417">
      <c r="A417" s="72" t="inlineStr">
        <is>
          <t>2270-0000</t>
        </is>
      </c>
      <c r="B417" s="72" t="inlineStr">
        <is>
          <t>Clearing Tenant Deposits</t>
        </is>
      </c>
      <c r="C417" s="72" t="inlineStr">
        <is>
          <t>Credit</t>
        </is>
      </c>
      <c r="D417" s="72" t="inlineStr">
        <is>
          <t>Reg</t>
        </is>
      </c>
      <c r="E417" s="72" t="inlineStr">
        <is>
          <t>Bal</t>
        </is>
      </c>
      <c r="F417" s="12" t="n">
        <v>1</v>
      </c>
      <c r="G417" s="12" t="n">
        <v>1</v>
      </c>
      <c r="H417" s="72" t="n"/>
      <c r="I417" s="72" t="n"/>
      <c r="J417" s="72" t="n"/>
      <c r="K417" s="72" t="inlineStr">
        <is>
          <t>2990-0000</t>
        </is>
      </c>
      <c r="L417" s="72" t="inlineStr">
        <is>
          <t>Cash Flow</t>
        </is>
      </c>
    </row>
    <row r="418">
      <c r="A418" s="72" t="inlineStr">
        <is>
          <t>2270-0010</t>
        </is>
      </c>
      <c r="B418" s="72" t="inlineStr">
        <is>
          <t>Tenant Protection Net Payable</t>
        </is>
      </c>
      <c r="C418" s="72" t="inlineStr">
        <is>
          <t>Credit</t>
        </is>
      </c>
      <c r="D418" s="72" t="inlineStr">
        <is>
          <t>Reg</t>
        </is>
      </c>
      <c r="E418" s="72" t="inlineStr">
        <is>
          <t>Bal</t>
        </is>
      </c>
      <c r="F418" s="12" t="n">
        <v>1</v>
      </c>
      <c r="G418" s="12" t="n">
        <v>1</v>
      </c>
      <c r="H418" s="72" t="n"/>
      <c r="I418" s="72" t="n"/>
      <c r="J418" s="72" t="n"/>
      <c r="K418" s="72" t="inlineStr">
        <is>
          <t>2990-0000</t>
        </is>
      </c>
      <c r="L418" s="72" t="inlineStr">
        <is>
          <t>Cash Flow</t>
        </is>
      </c>
    </row>
    <row r="419">
      <c r="A419" s="72" t="inlineStr">
        <is>
          <t>2280-0000</t>
        </is>
      </c>
      <c r="B419" s="72" t="inlineStr">
        <is>
          <t>Due To From Martin &amp; Marbry</t>
        </is>
      </c>
      <c r="C419" s="72" t="inlineStr">
        <is>
          <t>Credit</t>
        </is>
      </c>
      <c r="D419" s="72" t="inlineStr">
        <is>
          <t>Reg</t>
        </is>
      </c>
      <c r="E419" s="72" t="inlineStr">
        <is>
          <t>Bal</t>
        </is>
      </c>
      <c r="F419" s="12" t="n">
        <v>1</v>
      </c>
      <c r="G419" s="12" t="n">
        <v>1</v>
      </c>
      <c r="H419" s="72" t="inlineStr">
        <is>
          <t>1180-0000</t>
        </is>
      </c>
      <c r="I419" s="72" t="n"/>
      <c r="J419" s="72" t="n"/>
      <c r="K419" s="72" t="inlineStr">
        <is>
          <t>2990-0000</t>
        </is>
      </c>
      <c r="L419" s="72" t="inlineStr">
        <is>
          <t>ExclReg, Cash Flow, Exclude, AR, AP</t>
        </is>
      </c>
    </row>
    <row r="420">
      <c r="A420" s="72" t="inlineStr">
        <is>
          <t>2290-0000</t>
        </is>
      </c>
      <c r="B420" s="72" t="inlineStr">
        <is>
          <t>Funds for Transfer</t>
        </is>
      </c>
      <c r="C420" s="72" t="inlineStr">
        <is>
          <t>Credit</t>
        </is>
      </c>
      <c r="D420" s="72" t="inlineStr">
        <is>
          <t>Reg</t>
        </is>
      </c>
      <c r="E420" s="72" t="inlineStr">
        <is>
          <t>Bal</t>
        </is>
      </c>
      <c r="F420" s="12" t="n">
        <v>1</v>
      </c>
      <c r="G420" s="12" t="n">
        <v>1</v>
      </c>
      <c r="H420" s="72" t="inlineStr">
        <is>
          <t>1140-0000</t>
        </is>
      </c>
      <c r="I420" s="72" t="n"/>
      <c r="J420" s="72" t="n"/>
      <c r="K420" s="72" t="inlineStr">
        <is>
          <t>2990-0000</t>
        </is>
      </c>
      <c r="L420" s="72" t="inlineStr">
        <is>
          <t>Cash Flow</t>
        </is>
      </c>
    </row>
    <row r="421">
      <c r="A421" s="72" t="inlineStr">
        <is>
          <t>2300-0000</t>
        </is>
      </c>
      <c r="B421" s="72" t="inlineStr">
        <is>
          <t>TAX LIABILITIES</t>
        </is>
      </c>
      <c r="C421" s="72" t="inlineStr">
        <is>
          <t>Credit</t>
        </is>
      </c>
      <c r="D421" s="72" t="inlineStr">
        <is>
          <t>Head</t>
        </is>
      </c>
      <c r="E421" s="72" t="inlineStr">
        <is>
          <t>Bal</t>
        </is>
      </c>
      <c r="F421" s="12" t="n">
        <v>1</v>
      </c>
      <c r="G421" s="12" t="n">
        <v>2</v>
      </c>
      <c r="H421" s="72" t="n"/>
      <c r="I421" s="72" t="n"/>
      <c r="J421" s="72" t="n"/>
      <c r="K421" s="72" t="n"/>
      <c r="L421" s="72" t="n"/>
    </row>
    <row r="422">
      <c r="A422" s="72" t="inlineStr">
        <is>
          <t>2305-0000</t>
        </is>
      </c>
      <c r="B422" s="72" t="inlineStr">
        <is>
          <t>Real Estate Tax Accrual</t>
        </is>
      </c>
      <c r="C422" s="72" t="inlineStr">
        <is>
          <t>Credit</t>
        </is>
      </c>
      <c r="D422" s="72" t="inlineStr">
        <is>
          <t>Reg</t>
        </is>
      </c>
      <c r="E422" s="72" t="inlineStr">
        <is>
          <t>Bal</t>
        </is>
      </c>
      <c r="F422" s="12" t="n">
        <v>1</v>
      </c>
      <c r="G422" s="12" t="n">
        <v>1</v>
      </c>
      <c r="H422" s="72" t="n"/>
      <c r="I422" s="72" t="n"/>
      <c r="J422" s="72" t="n"/>
      <c r="K422" s="72" t="inlineStr">
        <is>
          <t>2490-0000</t>
        </is>
      </c>
      <c r="L422" s="72" t="inlineStr">
        <is>
          <t>Cash Flow</t>
        </is>
      </c>
    </row>
    <row r="423">
      <c r="A423" s="72" t="inlineStr">
        <is>
          <t>2305-0403</t>
        </is>
      </c>
      <c r="B423" s="72" t="inlineStr">
        <is>
          <t>Tax Liability 403 Badger</t>
        </is>
      </c>
      <c r="C423" s="72" t="inlineStr">
        <is>
          <t>Credit</t>
        </is>
      </c>
      <c r="D423" s="72" t="inlineStr">
        <is>
          <t>Reg</t>
        </is>
      </c>
      <c r="E423" s="72" t="inlineStr">
        <is>
          <t>Bal</t>
        </is>
      </c>
      <c r="F423" s="12" t="n">
        <v>1</v>
      </c>
      <c r="G423" s="12" t="n">
        <v>1</v>
      </c>
      <c r="H423" s="72" t="n"/>
      <c r="I423" s="72" t="n"/>
      <c r="J423" s="72" t="n"/>
      <c r="K423" s="72" t="inlineStr">
        <is>
          <t>2490-0000</t>
        </is>
      </c>
      <c r="L423" s="72" t="inlineStr">
        <is>
          <t>Cash Flow</t>
        </is>
      </c>
    </row>
    <row r="424">
      <c r="A424" s="72" t="inlineStr">
        <is>
          <t>2305-0435</t>
        </is>
      </c>
      <c r="B424" s="72" t="inlineStr">
        <is>
          <t>Property Tax 435 N LaSalle</t>
        </is>
      </c>
      <c r="C424" s="72" t="inlineStr">
        <is>
          <t>Credit</t>
        </is>
      </c>
      <c r="D424" s="72" t="inlineStr">
        <is>
          <t>Reg</t>
        </is>
      </c>
      <c r="E424" s="72" t="inlineStr">
        <is>
          <t>Bal</t>
        </is>
      </c>
      <c r="F424" s="12" t="n">
        <v>1</v>
      </c>
      <c r="G424" s="12" t="n">
        <v>1</v>
      </c>
      <c r="H424" s="72" t="n"/>
      <c r="I424" s="72" t="n"/>
      <c r="J424" s="72" t="n"/>
      <c r="K424" s="72" t="inlineStr">
        <is>
          <t>2490-0000</t>
        </is>
      </c>
      <c r="L424" s="72" t="inlineStr">
        <is>
          <t>Cash Flow</t>
        </is>
      </c>
    </row>
    <row r="425">
      <c r="A425" s="72" t="inlineStr">
        <is>
          <t>2305-0451</t>
        </is>
      </c>
      <c r="B425" s="72" t="inlineStr">
        <is>
          <t>Property Tax 451 Randall Crossings</t>
        </is>
      </c>
      <c r="C425" s="72" t="inlineStr">
        <is>
          <t>Debit</t>
        </is>
      </c>
      <c r="D425" s="72" t="inlineStr">
        <is>
          <t>Reg</t>
        </is>
      </c>
      <c r="E425" s="72" t="inlineStr">
        <is>
          <t>Bal</t>
        </is>
      </c>
      <c r="F425" s="12" t="n">
        <v>1</v>
      </c>
      <c r="G425" s="12" t="n">
        <v>1</v>
      </c>
      <c r="H425" s="72" t="n"/>
      <c r="I425" s="72" t="n"/>
      <c r="J425" s="72" t="n"/>
      <c r="K425" s="72" t="inlineStr">
        <is>
          <t>2490-0000</t>
        </is>
      </c>
      <c r="L425" s="72" t="inlineStr">
        <is>
          <t>Cash Flow</t>
        </is>
      </c>
    </row>
    <row r="426">
      <c r="A426" s="72" t="inlineStr">
        <is>
          <t>2305-0562</t>
        </is>
      </c>
      <c r="B426" s="72" t="inlineStr">
        <is>
          <t>Property Tax Winnetka</t>
        </is>
      </c>
      <c r="C426" s="72" t="inlineStr">
        <is>
          <t>Credit</t>
        </is>
      </c>
      <c r="D426" s="72" t="inlineStr">
        <is>
          <t>Reg</t>
        </is>
      </c>
      <c r="E426" s="72" t="inlineStr">
        <is>
          <t>Bal</t>
        </is>
      </c>
      <c r="F426" s="12" t="n">
        <v>1</v>
      </c>
      <c r="G426" s="12" t="n">
        <v>1</v>
      </c>
      <c r="H426" s="72" t="n"/>
      <c r="I426" s="72" t="n"/>
      <c r="J426" s="72" t="n"/>
      <c r="K426" s="72" t="inlineStr">
        <is>
          <t>2490-0000</t>
        </is>
      </c>
      <c r="L426" s="72" t="inlineStr">
        <is>
          <t>Cash Flow</t>
        </is>
      </c>
    </row>
    <row r="427">
      <c r="A427" s="72" t="inlineStr">
        <is>
          <t>2305-0930</t>
        </is>
      </c>
      <c r="B427" s="72" t="inlineStr">
        <is>
          <t>Property tax 930-950 Homewood</t>
        </is>
      </c>
      <c r="C427" s="72" t="inlineStr">
        <is>
          <t>Credit</t>
        </is>
      </c>
      <c r="D427" s="72" t="inlineStr">
        <is>
          <t>Reg</t>
        </is>
      </c>
      <c r="E427" s="72" t="inlineStr">
        <is>
          <t>Bal</t>
        </is>
      </c>
      <c r="F427" s="12" t="n">
        <v>1</v>
      </c>
      <c r="G427" s="12" t="n">
        <v>1</v>
      </c>
      <c r="H427" s="72" t="n"/>
      <c r="I427" s="72" t="n"/>
      <c r="J427" s="72" t="n"/>
      <c r="K427" s="72" t="inlineStr">
        <is>
          <t>2490-0000</t>
        </is>
      </c>
      <c r="L427" s="72" t="inlineStr">
        <is>
          <t>Cash Flow</t>
        </is>
      </c>
    </row>
    <row r="428">
      <c r="A428" s="72" t="inlineStr">
        <is>
          <t>2305-1001</t>
        </is>
      </c>
      <c r="B428" s="72" t="inlineStr">
        <is>
          <t>Property Taxes 10010 63rd Street</t>
        </is>
      </c>
      <c r="C428" s="72" t="inlineStr">
        <is>
          <t>Credit</t>
        </is>
      </c>
      <c r="D428" s="72" t="inlineStr">
        <is>
          <t>Reg</t>
        </is>
      </c>
      <c r="E428" s="72" t="inlineStr">
        <is>
          <t>Bal</t>
        </is>
      </c>
      <c r="F428" s="12" t="n">
        <v>1</v>
      </c>
      <c r="G428" s="12" t="n">
        <v>1</v>
      </c>
      <c r="H428" s="72" t="n"/>
      <c r="I428" s="72" t="n"/>
      <c r="J428" s="72" t="n"/>
      <c r="K428" s="72" t="inlineStr">
        <is>
          <t>2490-0000</t>
        </is>
      </c>
      <c r="L428" s="72" t="inlineStr">
        <is>
          <t>Cash Flow</t>
        </is>
      </c>
    </row>
    <row r="429">
      <c r="A429" s="72" t="inlineStr">
        <is>
          <t>2305-1307</t>
        </is>
      </c>
      <c r="B429" s="72" t="inlineStr">
        <is>
          <t>Property Tax 1307 College Ave Wheaton</t>
        </is>
      </c>
      <c r="C429" s="72" t="inlineStr">
        <is>
          <t>Credit</t>
        </is>
      </c>
      <c r="D429" s="72" t="inlineStr">
        <is>
          <t>Reg</t>
        </is>
      </c>
      <c r="E429" s="72" t="inlineStr">
        <is>
          <t>Bal</t>
        </is>
      </c>
      <c r="F429" s="12" t="n">
        <v>1</v>
      </c>
      <c r="G429" s="12" t="n">
        <v>1</v>
      </c>
      <c r="H429" s="72" t="n"/>
      <c r="I429" s="72" t="n"/>
      <c r="J429" s="72" t="n"/>
      <c r="K429" s="72" t="inlineStr">
        <is>
          <t>2490-0000</t>
        </is>
      </c>
      <c r="L429" s="72" t="inlineStr">
        <is>
          <t>Cash Flow</t>
        </is>
      </c>
    </row>
    <row r="430">
      <c r="A430" s="72" t="inlineStr">
        <is>
          <t>2305-1401</t>
        </is>
      </c>
      <c r="B430" s="72" t="inlineStr">
        <is>
          <t>Property Tax 1401 Dundee Plaza Verde</t>
        </is>
      </c>
      <c r="C430" s="72" t="inlineStr">
        <is>
          <t>Credit</t>
        </is>
      </c>
      <c r="D430" s="72" t="inlineStr">
        <is>
          <t>Reg</t>
        </is>
      </c>
      <c r="E430" s="72" t="inlineStr">
        <is>
          <t>Bal</t>
        </is>
      </c>
      <c r="F430" s="12" t="n">
        <v>1</v>
      </c>
      <c r="G430" s="12" t="n">
        <v>1</v>
      </c>
      <c r="H430" s="72" t="n"/>
      <c r="I430" s="72" t="n"/>
      <c r="J430" s="72" t="n"/>
      <c r="K430" s="72" t="inlineStr">
        <is>
          <t>2490-0000</t>
        </is>
      </c>
      <c r="L430" s="72" t="inlineStr">
        <is>
          <t>Cash Flow</t>
        </is>
      </c>
    </row>
    <row r="431">
      <c r="A431" s="72" t="inlineStr">
        <is>
          <t>2305-1602</t>
        </is>
      </c>
      <c r="B431" s="72" t="inlineStr">
        <is>
          <t>Property Tax 1602 Darrow</t>
        </is>
      </c>
      <c r="C431" s="72" t="inlineStr">
        <is>
          <t>Credit</t>
        </is>
      </c>
      <c r="D431" s="72" t="inlineStr">
        <is>
          <t>Reg</t>
        </is>
      </c>
      <c r="E431" s="72" t="inlineStr">
        <is>
          <t>Bal</t>
        </is>
      </c>
      <c r="F431" s="12" t="n">
        <v>1</v>
      </c>
      <c r="G431" s="12" t="n">
        <v>1</v>
      </c>
      <c r="H431" s="72" t="n"/>
      <c r="I431" s="72" t="n"/>
      <c r="J431" s="72" t="n"/>
      <c r="K431" s="72" t="inlineStr">
        <is>
          <t>2490-0000</t>
        </is>
      </c>
      <c r="L431" s="72" t="inlineStr">
        <is>
          <t>Cash Flow</t>
        </is>
      </c>
    </row>
    <row r="432">
      <c r="A432" s="72" t="inlineStr">
        <is>
          <t>2305-1747</t>
        </is>
      </c>
      <c r="B432" s="72" t="inlineStr">
        <is>
          <t>Property Taxes 1747 W Wallen Ave</t>
        </is>
      </c>
      <c r="C432" s="72" t="inlineStr">
        <is>
          <t>Credit</t>
        </is>
      </c>
      <c r="D432" s="72" t="inlineStr">
        <is>
          <t>Reg</t>
        </is>
      </c>
      <c r="E432" s="72" t="inlineStr">
        <is>
          <t>Bal</t>
        </is>
      </c>
      <c r="F432" s="12" t="n">
        <v>1</v>
      </c>
      <c r="G432" s="12" t="n">
        <v>1</v>
      </c>
      <c r="H432" s="72" t="n"/>
      <c r="I432" s="72" t="n"/>
      <c r="J432" s="72" t="n"/>
      <c r="K432" s="72" t="inlineStr">
        <is>
          <t>2490-0000</t>
        </is>
      </c>
      <c r="L432" s="72" t="inlineStr">
        <is>
          <t>Cash Flow</t>
        </is>
      </c>
    </row>
    <row r="433">
      <c r="A433" s="72" t="inlineStr">
        <is>
          <t>2305-4121</t>
        </is>
      </c>
      <c r="B433" s="72" t="inlineStr">
        <is>
          <t>Property Tax 4121 S Franklin</t>
        </is>
      </c>
      <c r="C433" s="72" t="inlineStr">
        <is>
          <t>Credit</t>
        </is>
      </c>
      <c r="D433" s="72" t="inlineStr">
        <is>
          <t>Reg</t>
        </is>
      </c>
      <c r="E433" s="72" t="inlineStr">
        <is>
          <t>Bal</t>
        </is>
      </c>
      <c r="F433" s="12" t="n">
        <v>1</v>
      </c>
      <c r="G433" s="12" t="n">
        <v>1</v>
      </c>
      <c r="H433" s="72" t="n"/>
      <c r="I433" s="72" t="n"/>
      <c r="J433" s="72" t="n"/>
      <c r="K433" s="72" t="inlineStr">
        <is>
          <t>2490-0000</t>
        </is>
      </c>
      <c r="L433" s="72" t="inlineStr">
        <is>
          <t>Cash Flow</t>
        </is>
      </c>
    </row>
    <row r="434">
      <c r="A434" s="72" t="inlineStr">
        <is>
          <t>2305-4335</t>
        </is>
      </c>
      <c r="B434" s="72" t="inlineStr">
        <is>
          <t>Property Taxes 4335 W Irving Park</t>
        </is>
      </c>
      <c r="C434" s="72" t="inlineStr">
        <is>
          <t>Credit</t>
        </is>
      </c>
      <c r="D434" s="72" t="inlineStr">
        <is>
          <t>Reg</t>
        </is>
      </c>
      <c r="E434" s="72" t="inlineStr">
        <is>
          <t>Bal</t>
        </is>
      </c>
      <c r="F434" s="12" t="n">
        <v>1</v>
      </c>
      <c r="G434" s="12" t="n">
        <v>1</v>
      </c>
      <c r="H434" s="72" t="n"/>
      <c r="I434" s="72" t="n"/>
      <c r="J434" s="72" t="n"/>
      <c r="K434" s="72" t="inlineStr">
        <is>
          <t>2490-0000</t>
        </is>
      </c>
      <c r="L434" s="72" t="inlineStr">
        <is>
          <t>Cash Flow</t>
        </is>
      </c>
    </row>
    <row r="435">
      <c r="A435" s="72" t="inlineStr">
        <is>
          <t>2305-5025</t>
        </is>
      </c>
      <c r="B435" s="72" t="inlineStr">
        <is>
          <t>Property Tax 5025 to 5043 N East River Road</t>
        </is>
      </c>
      <c r="C435" s="72" t="inlineStr">
        <is>
          <t>Credit</t>
        </is>
      </c>
      <c r="D435" s="72" t="inlineStr">
        <is>
          <t>Reg</t>
        </is>
      </c>
      <c r="E435" s="72" t="inlineStr">
        <is>
          <t>Bal</t>
        </is>
      </c>
      <c r="F435" s="12" t="n">
        <v>1</v>
      </c>
      <c r="G435" s="12" t="n">
        <v>1</v>
      </c>
      <c r="H435" s="72" t="n"/>
      <c r="I435" s="72" t="n"/>
      <c r="J435" s="72" t="n"/>
      <c r="K435" s="72" t="inlineStr">
        <is>
          <t>2490-0000</t>
        </is>
      </c>
      <c r="L435" s="72" t="inlineStr">
        <is>
          <t>Cash Flow</t>
        </is>
      </c>
    </row>
    <row r="436">
      <c r="A436" s="72" t="inlineStr">
        <is>
          <t>2305-5100</t>
        </is>
      </c>
      <c r="B436" s="72" t="inlineStr">
        <is>
          <t>Property Tax 5100 W 96th St</t>
        </is>
      </c>
      <c r="C436" s="72" t="inlineStr">
        <is>
          <t>Credit</t>
        </is>
      </c>
      <c r="D436" s="72" t="inlineStr">
        <is>
          <t>Reg</t>
        </is>
      </c>
      <c r="E436" s="72" t="inlineStr">
        <is>
          <t>Bal</t>
        </is>
      </c>
      <c r="F436" s="12" t="n">
        <v>1</v>
      </c>
      <c r="G436" s="12" t="n">
        <v>1</v>
      </c>
      <c r="H436" s="72" t="n"/>
      <c r="I436" s="72" t="n"/>
      <c r="J436" s="72" t="n"/>
      <c r="K436" s="72" t="inlineStr">
        <is>
          <t>2490-0000</t>
        </is>
      </c>
      <c r="L436" s="72" t="inlineStr">
        <is>
          <t>Cash Flow</t>
        </is>
      </c>
    </row>
    <row r="437">
      <c r="A437" s="72" t="inlineStr">
        <is>
          <t>2305-5301</t>
        </is>
      </c>
      <c r="B437" s="72" t="inlineStr">
        <is>
          <t>5301 Dempster Property Tax</t>
        </is>
      </c>
      <c r="C437" s="72" t="inlineStr">
        <is>
          <t>Credit</t>
        </is>
      </c>
      <c r="D437" s="72" t="inlineStr">
        <is>
          <t>Reg</t>
        </is>
      </c>
      <c r="E437" s="72" t="inlineStr">
        <is>
          <t>Bal</t>
        </is>
      </c>
      <c r="F437" s="12" t="n">
        <v>1</v>
      </c>
      <c r="G437" s="12" t="n">
        <v>1</v>
      </c>
      <c r="H437" s="72" t="n"/>
      <c r="I437" s="72" t="n"/>
      <c r="J437" s="72" t="n"/>
      <c r="K437" s="72" t="inlineStr">
        <is>
          <t>2490-0000</t>
        </is>
      </c>
      <c r="L437" s="72" t="inlineStr">
        <is>
          <t>Cash Flow</t>
        </is>
      </c>
    </row>
    <row r="438">
      <c r="A438" s="72" t="inlineStr">
        <is>
          <t>2305-5408</t>
        </is>
      </c>
      <c r="B438" s="72" t="inlineStr">
        <is>
          <t>Property Taxes 5408 63rd Street</t>
        </is>
      </c>
      <c r="C438" s="72" t="inlineStr">
        <is>
          <t>Credit</t>
        </is>
      </c>
      <c r="D438" s="72" t="inlineStr">
        <is>
          <t>Reg</t>
        </is>
      </c>
      <c r="E438" s="72" t="inlineStr">
        <is>
          <t>Bal</t>
        </is>
      </c>
      <c r="F438" s="12" t="n">
        <v>1</v>
      </c>
      <c r="G438" s="12" t="n">
        <v>1</v>
      </c>
      <c r="H438" s="72" t="n"/>
      <c r="I438" s="72" t="n"/>
      <c r="J438" s="72" t="n"/>
      <c r="K438" s="72" t="inlineStr">
        <is>
          <t>2490-0000</t>
        </is>
      </c>
      <c r="L438" s="72" t="inlineStr">
        <is>
          <t>Cash Flow</t>
        </is>
      </c>
    </row>
    <row r="439">
      <c r="A439" s="72" t="inlineStr">
        <is>
          <t>2305-5601</t>
        </is>
      </c>
      <c r="B439" s="72" t="inlineStr">
        <is>
          <t>Property Tax 5601 N Sheridan</t>
        </is>
      </c>
      <c r="C439" s="72" t="inlineStr">
        <is>
          <t>Credit</t>
        </is>
      </c>
      <c r="D439" s="72" t="inlineStr">
        <is>
          <t>Reg</t>
        </is>
      </c>
      <c r="E439" s="72" t="inlineStr">
        <is>
          <t>Bal</t>
        </is>
      </c>
      <c r="F439" s="12" t="n">
        <v>1</v>
      </c>
      <c r="G439" s="12" t="n">
        <v>1</v>
      </c>
      <c r="H439" s="72" t="n"/>
      <c r="I439" s="72" t="n"/>
      <c r="J439" s="72" t="n"/>
      <c r="K439" s="72" t="inlineStr">
        <is>
          <t>2490-0000</t>
        </is>
      </c>
      <c r="L439" s="72" t="inlineStr">
        <is>
          <t>Cash Flow</t>
        </is>
      </c>
    </row>
    <row r="440">
      <c r="A440" s="72" t="inlineStr">
        <is>
          <t>2305-5620</t>
        </is>
      </c>
      <c r="B440" s="72" t="inlineStr">
        <is>
          <t>Property TAX Coldwell Banker</t>
        </is>
      </c>
      <c r="C440" s="72" t="inlineStr">
        <is>
          <t>Credit</t>
        </is>
      </c>
      <c r="D440" s="72" t="inlineStr">
        <is>
          <t>Reg</t>
        </is>
      </c>
      <c r="E440" s="72" t="inlineStr">
        <is>
          <t>Bal</t>
        </is>
      </c>
      <c r="F440" s="12" t="n">
        <v>1</v>
      </c>
      <c r="G440" s="12" t="n">
        <v>1</v>
      </c>
      <c r="H440" s="72" t="n"/>
      <c r="I440" s="72" t="n"/>
      <c r="J440" s="72" t="n"/>
      <c r="K440" s="72" t="inlineStr">
        <is>
          <t>2490-0000</t>
        </is>
      </c>
      <c r="L440" s="72" t="inlineStr">
        <is>
          <t>Cash Flow</t>
        </is>
      </c>
    </row>
    <row r="441">
      <c r="A441" s="72" t="inlineStr">
        <is>
          <t>2305-6250</t>
        </is>
      </c>
      <c r="B441" s="72" t="inlineStr">
        <is>
          <t>Property Tax 6250 N Claremont</t>
        </is>
      </c>
      <c r="C441" s="72" t="inlineStr">
        <is>
          <t>Credit</t>
        </is>
      </c>
      <c r="D441" s="72" t="inlineStr">
        <is>
          <t>Reg</t>
        </is>
      </c>
      <c r="E441" s="72" t="inlineStr">
        <is>
          <t>Bal</t>
        </is>
      </c>
      <c r="F441" s="12" t="n">
        <v>1</v>
      </c>
      <c r="G441" s="12" t="n">
        <v>1</v>
      </c>
      <c r="H441" s="72" t="n"/>
      <c r="I441" s="72" t="n"/>
      <c r="J441" s="72" t="n"/>
      <c r="K441" s="72" t="inlineStr">
        <is>
          <t>2490-0000</t>
        </is>
      </c>
      <c r="L441" s="72" t="inlineStr">
        <is>
          <t>Cash Flow</t>
        </is>
      </c>
    </row>
    <row r="442">
      <c r="A442" s="72" t="inlineStr">
        <is>
          <t>2305-6333</t>
        </is>
      </c>
      <c r="B442" s="72" t="inlineStr">
        <is>
          <t>Property Taxes 6333 N Milwaukee</t>
        </is>
      </c>
      <c r="C442" s="72" t="inlineStr">
        <is>
          <t>Credit</t>
        </is>
      </c>
      <c r="D442" s="72" t="inlineStr">
        <is>
          <t>Reg</t>
        </is>
      </c>
      <c r="E442" s="72" t="inlineStr">
        <is>
          <t>Bal</t>
        </is>
      </c>
      <c r="F442" s="12" t="n">
        <v>1</v>
      </c>
      <c r="G442" s="12" t="n">
        <v>1</v>
      </c>
      <c r="H442" s="72" t="n"/>
      <c r="I442" s="72" t="n"/>
      <c r="J442" s="72" t="n"/>
      <c r="K442" s="72" t="inlineStr">
        <is>
          <t>2490-0000</t>
        </is>
      </c>
      <c r="L442" s="72" t="inlineStr">
        <is>
          <t>Cash Flow</t>
        </is>
      </c>
    </row>
    <row r="443">
      <c r="A443" s="72" t="inlineStr">
        <is>
          <t>2305-6401</t>
        </is>
      </c>
      <c r="B443" s="72" t="inlineStr">
        <is>
          <t>6401 Property Taxes</t>
        </is>
      </c>
      <c r="C443" s="72" t="inlineStr">
        <is>
          <t>Credit</t>
        </is>
      </c>
      <c r="D443" s="72" t="inlineStr">
        <is>
          <t>Reg</t>
        </is>
      </c>
      <c r="E443" s="72" t="inlineStr">
        <is>
          <t>Bal</t>
        </is>
      </c>
      <c r="F443" s="12" t="n">
        <v>1</v>
      </c>
      <c r="G443" s="12" t="n">
        <v>1</v>
      </c>
      <c r="H443" s="72" t="n"/>
      <c r="I443" s="72" t="n"/>
      <c r="J443" s="72" t="n"/>
      <c r="K443" s="72" t="inlineStr">
        <is>
          <t>2490-0000</t>
        </is>
      </c>
      <c r="L443" s="72" t="inlineStr">
        <is>
          <t>Cash Flow</t>
        </is>
      </c>
    </row>
    <row r="444">
      <c r="A444" s="72" t="inlineStr">
        <is>
          <t>2305-6818</t>
        </is>
      </c>
      <c r="B444" s="72" t="inlineStr">
        <is>
          <t>Property Tax 6818 N Ashland, 1A  Chicago IL</t>
        </is>
      </c>
      <c r="C444" s="72" t="inlineStr">
        <is>
          <t>Credit</t>
        </is>
      </c>
      <c r="D444" s="72" t="inlineStr">
        <is>
          <t>Reg</t>
        </is>
      </c>
      <c r="E444" s="72" t="inlineStr">
        <is>
          <t>Bal</t>
        </is>
      </c>
      <c r="F444" s="12" t="n">
        <v>1</v>
      </c>
      <c r="G444" s="12" t="n">
        <v>1</v>
      </c>
      <c r="H444" s="72" t="n"/>
      <c r="I444" s="72" t="n"/>
      <c r="J444" s="72" t="n"/>
      <c r="K444" s="72" t="inlineStr">
        <is>
          <t>2490-0000</t>
        </is>
      </c>
      <c r="L444" s="72" t="inlineStr">
        <is>
          <t>Cash Flow</t>
        </is>
      </c>
    </row>
    <row r="445">
      <c r="A445" s="72" t="inlineStr">
        <is>
          <t>2305-7440</t>
        </is>
      </c>
      <c r="B445" s="72" t="inlineStr">
        <is>
          <t>Property Taxes 7440</t>
        </is>
      </c>
      <c r="C445" s="72" t="inlineStr">
        <is>
          <t>Credit</t>
        </is>
      </c>
      <c r="D445" s="72" t="inlineStr">
        <is>
          <t>Reg</t>
        </is>
      </c>
      <c r="E445" s="72" t="inlineStr">
        <is>
          <t>Bal</t>
        </is>
      </c>
      <c r="F445" s="12" t="n">
        <v>1</v>
      </c>
      <c r="G445" s="12" t="n">
        <v>1</v>
      </c>
      <c r="H445" s="72" t="n"/>
      <c r="I445" s="72" t="n"/>
      <c r="J445" s="72" t="n"/>
      <c r="K445" s="72" t="inlineStr">
        <is>
          <t>2490-0000</t>
        </is>
      </c>
      <c r="L445" s="72" t="inlineStr">
        <is>
          <t>Cash Flow</t>
        </is>
      </c>
    </row>
    <row r="446">
      <c r="A446" s="72" t="inlineStr">
        <is>
          <t>2305-9446</t>
        </is>
      </c>
      <c r="B446" s="72" t="inlineStr">
        <is>
          <t>Property Taxes 9446 73rd Street</t>
        </is>
      </c>
      <c r="C446" s="72" t="inlineStr">
        <is>
          <t>Credit</t>
        </is>
      </c>
      <c r="D446" s="72" t="inlineStr">
        <is>
          <t>Reg</t>
        </is>
      </c>
      <c r="E446" s="72" t="inlineStr">
        <is>
          <t>Bal</t>
        </is>
      </c>
      <c r="F446" s="12" t="n">
        <v>1</v>
      </c>
      <c r="G446" s="12" t="n">
        <v>1</v>
      </c>
      <c r="H446" s="72" t="n"/>
      <c r="I446" s="72" t="n"/>
      <c r="J446" s="72" t="n"/>
      <c r="K446" s="72" t="inlineStr">
        <is>
          <t>2490-0000</t>
        </is>
      </c>
      <c r="L446" s="72" t="inlineStr">
        <is>
          <t>Cash Flow</t>
        </is>
      </c>
    </row>
    <row r="447">
      <c r="A447" s="72" t="inlineStr">
        <is>
          <t>2305-9523</t>
        </is>
      </c>
      <c r="B447" s="72" t="inlineStr">
        <is>
          <t>Property Tax 9523 74th Street</t>
        </is>
      </c>
      <c r="C447" s="72" t="inlineStr">
        <is>
          <t>Credit</t>
        </is>
      </c>
      <c r="D447" s="72" t="inlineStr">
        <is>
          <t>Reg</t>
        </is>
      </c>
      <c r="E447" s="72" t="inlineStr">
        <is>
          <t>Bal</t>
        </is>
      </c>
      <c r="F447" s="12" t="n">
        <v>1</v>
      </c>
      <c r="G447" s="12" t="n">
        <v>1</v>
      </c>
      <c r="H447" s="72" t="n"/>
      <c r="I447" s="72" t="n"/>
      <c r="J447" s="72" t="n"/>
      <c r="K447" s="72" t="inlineStr">
        <is>
          <t>2490-0000</t>
        </is>
      </c>
      <c r="L447" s="72" t="inlineStr">
        <is>
          <t>Cash Flow</t>
        </is>
      </c>
    </row>
    <row r="448">
      <c r="A448" s="72" t="inlineStr">
        <is>
          <t>2305-9530</t>
        </is>
      </c>
      <c r="B448" s="72" t="inlineStr">
        <is>
          <t>Property Tax 9530 S Cook</t>
        </is>
      </c>
      <c r="C448" s="72" t="inlineStr">
        <is>
          <t>Credit</t>
        </is>
      </c>
      <c r="D448" s="72" t="inlineStr">
        <is>
          <t>Reg</t>
        </is>
      </c>
      <c r="E448" s="72" t="inlineStr">
        <is>
          <t>Bal</t>
        </is>
      </c>
      <c r="F448" s="12" t="n">
        <v>1</v>
      </c>
      <c r="G448" s="12" t="n">
        <v>1</v>
      </c>
      <c r="H448" s="72" t="n"/>
      <c r="I448" s="72" t="n"/>
      <c r="J448" s="72" t="n"/>
      <c r="K448" s="72" t="inlineStr">
        <is>
          <t>2490-0000</t>
        </is>
      </c>
      <c r="L448" s="72" t="inlineStr">
        <is>
          <t>Cash Flow</t>
        </is>
      </c>
    </row>
    <row r="449">
      <c r="A449" s="72" t="inlineStr">
        <is>
          <t>2305-9621</t>
        </is>
      </c>
      <c r="B449" s="72" t="inlineStr">
        <is>
          <t>Property Taxes 9621 64th Street</t>
        </is>
      </c>
      <c r="C449" s="72" t="inlineStr">
        <is>
          <t>Credit</t>
        </is>
      </c>
      <c r="D449" s="72" t="inlineStr">
        <is>
          <t>Reg</t>
        </is>
      </c>
      <c r="E449" s="72" t="inlineStr">
        <is>
          <t>Bal</t>
        </is>
      </c>
      <c r="F449" s="12" t="n">
        <v>1</v>
      </c>
      <c r="G449" s="12" t="n">
        <v>1</v>
      </c>
      <c r="H449" s="72" t="n"/>
      <c r="I449" s="72" t="n"/>
      <c r="J449" s="72" t="n"/>
      <c r="K449" s="72" t="inlineStr">
        <is>
          <t>2490-0000</t>
        </is>
      </c>
      <c r="L449" s="72" t="inlineStr">
        <is>
          <t>Cash Flow</t>
        </is>
      </c>
    </row>
    <row r="450">
      <c r="A450" s="72" t="inlineStr">
        <is>
          <t>2309-0000</t>
        </is>
      </c>
      <c r="B450" s="72" t="inlineStr">
        <is>
          <t>Lender Held Funds for use</t>
        </is>
      </c>
      <c r="C450" s="72" t="inlineStr">
        <is>
          <t>Credit</t>
        </is>
      </c>
      <c r="D450" s="72" t="inlineStr">
        <is>
          <t>Reg</t>
        </is>
      </c>
      <c r="E450" s="72" t="inlineStr">
        <is>
          <t>Bal</t>
        </is>
      </c>
      <c r="F450" s="12" t="n">
        <v>1</v>
      </c>
      <c r="G450" s="12" t="n">
        <v>1</v>
      </c>
      <c r="H450" s="72" t="n"/>
      <c r="I450" s="72" t="n"/>
      <c r="J450" s="72" t="n"/>
      <c r="K450" s="72" t="inlineStr">
        <is>
          <t>2990-0000</t>
        </is>
      </c>
      <c r="L450" s="72" t="inlineStr">
        <is>
          <t>Cash Flow</t>
        </is>
      </c>
    </row>
    <row r="451">
      <c r="A451" s="72" t="inlineStr">
        <is>
          <t>2310-0000</t>
        </is>
      </c>
      <c r="B451" s="72" t="inlineStr">
        <is>
          <t>Sales Tax Collected</t>
        </is>
      </c>
      <c r="C451" s="72" t="inlineStr">
        <is>
          <t>Credit</t>
        </is>
      </c>
      <c r="D451" s="72" t="inlineStr">
        <is>
          <t>Reg</t>
        </is>
      </c>
      <c r="E451" s="72" t="inlineStr">
        <is>
          <t>Bal</t>
        </is>
      </c>
      <c r="F451" s="12" t="n">
        <v>1</v>
      </c>
      <c r="G451" s="12" t="n">
        <v>1</v>
      </c>
      <c r="H451" s="72" t="n"/>
      <c r="I451" s="72" t="n"/>
      <c r="J451" s="72" t="n"/>
      <c r="K451" s="72" t="inlineStr">
        <is>
          <t>2490-0000</t>
        </is>
      </c>
      <c r="L451" s="72" t="inlineStr">
        <is>
          <t>Cash Flow</t>
        </is>
      </c>
    </row>
    <row r="452">
      <c r="A452" s="72" t="inlineStr">
        <is>
          <t>2310-0001</t>
        </is>
      </c>
      <c r="B452" s="72" t="inlineStr">
        <is>
          <t>Sales Tax Payable</t>
        </is>
      </c>
      <c r="C452" s="72" t="inlineStr">
        <is>
          <t>Credit</t>
        </is>
      </c>
      <c r="D452" s="72" t="inlineStr">
        <is>
          <t>Reg</t>
        </is>
      </c>
      <c r="E452" s="72" t="inlineStr">
        <is>
          <t>Bal</t>
        </is>
      </c>
      <c r="F452" s="12" t="n">
        <v>1</v>
      </c>
      <c r="G452" s="12" t="n">
        <v>1</v>
      </c>
      <c r="H452" s="72" t="n"/>
      <c r="I452" s="72" t="n"/>
      <c r="J452" s="72" t="n"/>
      <c r="K452" s="72" t="inlineStr">
        <is>
          <t>2490-0000</t>
        </is>
      </c>
      <c r="L452" s="72" t="inlineStr">
        <is>
          <t>Cash Flow</t>
        </is>
      </c>
    </row>
    <row r="453">
      <c r="A453" s="72" t="inlineStr">
        <is>
          <t>2410-0000</t>
        </is>
      </c>
      <c r="B453" s="72" t="inlineStr">
        <is>
          <t>Federal Withholding Payable</t>
        </is>
      </c>
      <c r="C453" s="72" t="inlineStr">
        <is>
          <t>Credit</t>
        </is>
      </c>
      <c r="D453" s="72" t="inlineStr">
        <is>
          <t>Reg</t>
        </is>
      </c>
      <c r="E453" s="72" t="inlineStr">
        <is>
          <t>Bal</t>
        </is>
      </c>
      <c r="F453" s="12" t="n">
        <v>1</v>
      </c>
      <c r="G453" s="12" t="n">
        <v>1</v>
      </c>
      <c r="H453" s="72" t="n"/>
      <c r="I453" s="72" t="n"/>
      <c r="J453" s="72" t="n"/>
      <c r="K453" s="72" t="inlineStr">
        <is>
          <t>2490-0000</t>
        </is>
      </c>
      <c r="L453" s="72" t="inlineStr">
        <is>
          <t>Cash Flow</t>
        </is>
      </c>
    </row>
    <row r="454">
      <c r="A454" s="72" t="inlineStr">
        <is>
          <t>2420-0000</t>
        </is>
      </c>
      <c r="B454" s="72" t="inlineStr">
        <is>
          <t>State Withholding Payable</t>
        </is>
      </c>
      <c r="C454" s="72" t="inlineStr">
        <is>
          <t>Credit</t>
        </is>
      </c>
      <c r="D454" s="72" t="inlineStr">
        <is>
          <t>Reg</t>
        </is>
      </c>
      <c r="E454" s="72" t="inlineStr">
        <is>
          <t>Bal</t>
        </is>
      </c>
      <c r="F454" s="12" t="n">
        <v>1</v>
      </c>
      <c r="G454" s="12" t="n">
        <v>1</v>
      </c>
      <c r="H454" s="72" t="n"/>
      <c r="I454" s="72" t="n"/>
      <c r="J454" s="72" t="n"/>
      <c r="K454" s="72" t="inlineStr">
        <is>
          <t>2490-0000</t>
        </is>
      </c>
      <c r="L454" s="72" t="inlineStr">
        <is>
          <t>Cash Flow</t>
        </is>
      </c>
    </row>
    <row r="455">
      <c r="A455" s="72" t="inlineStr">
        <is>
          <t>2430-0000</t>
        </is>
      </c>
      <c r="B455" s="72" t="inlineStr">
        <is>
          <t>FICA Tax Payable</t>
        </is>
      </c>
      <c r="C455" s="72" t="inlineStr">
        <is>
          <t>Credit</t>
        </is>
      </c>
      <c r="D455" s="72" t="inlineStr">
        <is>
          <t>Reg</t>
        </is>
      </c>
      <c r="E455" s="72" t="inlineStr">
        <is>
          <t>Bal</t>
        </is>
      </c>
      <c r="F455" s="12" t="n">
        <v>1</v>
      </c>
      <c r="G455" s="12" t="n">
        <v>1</v>
      </c>
      <c r="H455" s="72" t="n"/>
      <c r="I455" s="72" t="n"/>
      <c r="J455" s="72" t="n"/>
      <c r="K455" s="72" t="inlineStr">
        <is>
          <t>2490-0000</t>
        </is>
      </c>
      <c r="L455" s="72" t="inlineStr">
        <is>
          <t>Cash Flow</t>
        </is>
      </c>
    </row>
    <row r="456">
      <c r="A456" s="72" t="inlineStr">
        <is>
          <t>2431-0000</t>
        </is>
      </c>
      <c r="B456" s="72" t="inlineStr">
        <is>
          <t>Medicare Tax Payable</t>
        </is>
      </c>
      <c r="C456" s="72" t="inlineStr">
        <is>
          <t>Credit</t>
        </is>
      </c>
      <c r="D456" s="72" t="inlineStr">
        <is>
          <t>Reg</t>
        </is>
      </c>
      <c r="E456" s="72" t="inlineStr">
        <is>
          <t>Bal</t>
        </is>
      </c>
      <c r="F456" s="12" t="n">
        <v>1</v>
      </c>
      <c r="G456" s="12" t="n">
        <v>1</v>
      </c>
      <c r="H456" s="72" t="n"/>
      <c r="I456" s="72" t="n"/>
      <c r="J456" s="72" t="n"/>
      <c r="K456" s="72" t="inlineStr">
        <is>
          <t>2490-0000</t>
        </is>
      </c>
      <c r="L456" s="72" t="inlineStr">
        <is>
          <t>Cash Flow</t>
        </is>
      </c>
    </row>
    <row r="457">
      <c r="A457" s="72" t="inlineStr">
        <is>
          <t>2440-0000</t>
        </is>
      </c>
      <c r="B457" s="72" t="inlineStr">
        <is>
          <t>FUTA Tax Payable</t>
        </is>
      </c>
      <c r="C457" s="72" t="inlineStr">
        <is>
          <t>Credit</t>
        </is>
      </c>
      <c r="D457" s="72" t="inlineStr">
        <is>
          <t>Reg</t>
        </is>
      </c>
      <c r="E457" s="72" t="inlineStr">
        <is>
          <t>Bal</t>
        </is>
      </c>
      <c r="F457" s="12" t="n">
        <v>1</v>
      </c>
      <c r="G457" s="12" t="n">
        <v>1</v>
      </c>
      <c r="H457" s="72" t="n"/>
      <c r="I457" s="72" t="n"/>
      <c r="J457" s="72" t="n"/>
      <c r="K457" s="72" t="inlineStr">
        <is>
          <t>2490-0000</t>
        </is>
      </c>
      <c r="L457" s="72" t="inlineStr">
        <is>
          <t>Cash Flow</t>
        </is>
      </c>
    </row>
    <row r="458">
      <c r="A458" s="72" t="inlineStr">
        <is>
          <t>2450-0000</t>
        </is>
      </c>
      <c r="B458" s="72" t="inlineStr">
        <is>
          <t>State Unemployment Tax Payable</t>
        </is>
      </c>
      <c r="C458" s="72" t="inlineStr">
        <is>
          <t>Credit</t>
        </is>
      </c>
      <c r="D458" s="72" t="inlineStr">
        <is>
          <t>Reg</t>
        </is>
      </c>
      <c r="E458" s="72" t="inlineStr">
        <is>
          <t>Bal</t>
        </is>
      </c>
      <c r="F458" s="12" t="n">
        <v>1</v>
      </c>
      <c r="G458" s="12" t="n">
        <v>1</v>
      </c>
      <c r="H458" s="72" t="n"/>
      <c r="I458" s="72" t="n"/>
      <c r="J458" s="72" t="n"/>
      <c r="K458" s="72" t="inlineStr">
        <is>
          <t>2490-0000</t>
        </is>
      </c>
      <c r="L458" s="72" t="inlineStr">
        <is>
          <t>Cash Flow</t>
        </is>
      </c>
    </row>
    <row r="459">
      <c r="A459" s="72" t="inlineStr">
        <is>
          <t>2460-0000</t>
        </is>
      </c>
      <c r="B459" s="72" t="inlineStr">
        <is>
          <t>State Disability SDI Premium</t>
        </is>
      </c>
      <c r="C459" s="72" t="inlineStr">
        <is>
          <t>Credit</t>
        </is>
      </c>
      <c r="D459" s="72" t="inlineStr">
        <is>
          <t>Reg</t>
        </is>
      </c>
      <c r="E459" s="72" t="inlineStr">
        <is>
          <t>Bal</t>
        </is>
      </c>
      <c r="F459" s="12" t="n">
        <v>1</v>
      </c>
      <c r="G459" s="12" t="n">
        <v>1</v>
      </c>
      <c r="H459" s="72" t="n"/>
      <c r="I459" s="72" t="n"/>
      <c r="J459" s="72" t="n"/>
      <c r="K459" s="72" t="inlineStr">
        <is>
          <t>2490-0000</t>
        </is>
      </c>
      <c r="L459" s="72" t="inlineStr">
        <is>
          <t>Cash Flow</t>
        </is>
      </c>
    </row>
    <row r="460">
      <c r="A460" s="72" t="inlineStr">
        <is>
          <t>2470-0000</t>
        </is>
      </c>
      <c r="B460" s="72" t="inlineStr">
        <is>
          <t>401k  Liability</t>
        </is>
      </c>
      <c r="C460" s="72" t="inlineStr">
        <is>
          <t>Credit</t>
        </is>
      </c>
      <c r="D460" s="72" t="inlineStr">
        <is>
          <t>Reg</t>
        </is>
      </c>
      <c r="E460" s="72" t="inlineStr">
        <is>
          <t>Bal</t>
        </is>
      </c>
      <c r="F460" s="12" t="n">
        <v>1</v>
      </c>
      <c r="G460" s="12" t="n">
        <v>1</v>
      </c>
      <c r="H460" s="72" t="n"/>
      <c r="I460" s="72" t="n"/>
      <c r="J460" s="72" t="n"/>
      <c r="K460" s="72" t="inlineStr">
        <is>
          <t>2490-0000</t>
        </is>
      </c>
      <c r="L460" s="72" t="inlineStr">
        <is>
          <t>Cash Flow</t>
        </is>
      </c>
    </row>
    <row r="461">
      <c r="A461" s="72" t="inlineStr">
        <is>
          <t>2490-0000</t>
        </is>
      </c>
      <c r="B461" s="72" t="inlineStr">
        <is>
          <t>TOTAL TAX LIABILITIES</t>
        </is>
      </c>
      <c r="C461" s="72" t="inlineStr">
        <is>
          <t>Credit</t>
        </is>
      </c>
      <c r="D461" s="72" t="inlineStr">
        <is>
          <t>Tot</t>
        </is>
      </c>
      <c r="E461" s="72" t="inlineStr">
        <is>
          <t>Bal</t>
        </is>
      </c>
      <c r="F461" s="12" t="n">
        <v>2</v>
      </c>
      <c r="G461" s="12" t="n">
        <v>1</v>
      </c>
      <c r="H461" s="72" t="n"/>
      <c r="I461" s="72" t="n"/>
      <c r="J461" s="72" t="n"/>
      <c r="K461" s="72" t="inlineStr">
        <is>
          <t>2990-0000</t>
        </is>
      </c>
      <c r="L461" s="72" t="n"/>
    </row>
    <row r="462">
      <c r="A462" s="72" t="inlineStr">
        <is>
          <t>2609-0000</t>
        </is>
      </c>
      <c r="B462" s="72" t="inlineStr">
        <is>
          <t>Interest Accrual</t>
        </is>
      </c>
      <c r="C462" s="72" t="inlineStr">
        <is>
          <t>Credit</t>
        </is>
      </c>
      <c r="D462" s="72" t="inlineStr">
        <is>
          <t>Reg</t>
        </is>
      </c>
      <c r="E462" s="72" t="inlineStr">
        <is>
          <t>Bal</t>
        </is>
      </c>
      <c r="F462" s="12" t="n">
        <v>1</v>
      </c>
      <c r="G462" s="12" t="n">
        <v>1</v>
      </c>
      <c r="H462" s="72" t="n"/>
      <c r="I462" s="72" t="n"/>
      <c r="J462" s="72" t="n"/>
      <c r="K462" s="72" t="inlineStr">
        <is>
          <t>2990-0000</t>
        </is>
      </c>
      <c r="L462" s="72" t="inlineStr">
        <is>
          <t>Cash Flow</t>
        </is>
      </c>
    </row>
    <row r="463">
      <c r="A463" s="72" t="inlineStr">
        <is>
          <t>2609-0001</t>
        </is>
      </c>
      <c r="B463" s="72" t="inlineStr">
        <is>
          <t>Construction Management Fee Accrual</t>
        </is>
      </c>
      <c r="C463" s="72" t="inlineStr">
        <is>
          <t>Debit</t>
        </is>
      </c>
      <c r="D463" s="72" t="inlineStr">
        <is>
          <t>Reg</t>
        </is>
      </c>
      <c r="E463" s="72" t="inlineStr">
        <is>
          <t>Bal</t>
        </is>
      </c>
      <c r="F463" s="12" t="n">
        <v>1</v>
      </c>
      <c r="G463" s="12" t="n">
        <v>1</v>
      </c>
      <c r="H463" s="72" t="n"/>
      <c r="I463" s="72" t="n"/>
      <c r="J463" s="72" t="n"/>
      <c r="K463" s="72" t="inlineStr">
        <is>
          <t>2990-0000</t>
        </is>
      </c>
      <c r="L463" s="72" t="n"/>
    </row>
    <row r="464">
      <c r="A464" s="72" t="inlineStr">
        <is>
          <t>2609-0002</t>
        </is>
      </c>
      <c r="B464" s="72" t="inlineStr">
        <is>
          <t>Development Fee Accrual</t>
        </is>
      </c>
      <c r="C464" s="72" t="inlineStr">
        <is>
          <t>Debit</t>
        </is>
      </c>
      <c r="D464" s="72" t="inlineStr">
        <is>
          <t>Reg</t>
        </is>
      </c>
      <c r="E464" s="72" t="inlineStr">
        <is>
          <t>Bal</t>
        </is>
      </c>
      <c r="F464" s="12" t="n">
        <v>1</v>
      </c>
      <c r="G464" s="12" t="n">
        <v>1</v>
      </c>
      <c r="H464" s="72" t="n"/>
      <c r="I464" s="72" t="n"/>
      <c r="J464" s="72" t="n"/>
      <c r="K464" s="72" t="inlineStr">
        <is>
          <t>2990-0000</t>
        </is>
      </c>
      <c r="L464" s="72" t="n"/>
    </row>
    <row r="465">
      <c r="A465" s="72" t="inlineStr">
        <is>
          <t>2610-0000</t>
        </is>
      </c>
      <c r="B465" s="72" t="inlineStr">
        <is>
          <t>Workers Compensation Premium</t>
        </is>
      </c>
      <c r="C465" s="72" t="inlineStr">
        <is>
          <t>Credit</t>
        </is>
      </c>
      <c r="D465" s="72" t="inlineStr">
        <is>
          <t>Reg</t>
        </is>
      </c>
      <c r="E465" s="72" t="inlineStr">
        <is>
          <t>Bal</t>
        </is>
      </c>
      <c r="F465" s="12" t="n">
        <v>1</v>
      </c>
      <c r="G465" s="12" t="n">
        <v>1</v>
      </c>
      <c r="H465" s="72" t="n"/>
      <c r="I465" s="72" t="n"/>
      <c r="J465" s="72" t="n"/>
      <c r="K465" s="72" t="inlineStr">
        <is>
          <t>2990-0000</t>
        </is>
      </c>
      <c r="L465" s="72" t="inlineStr">
        <is>
          <t>Cash Flow</t>
        </is>
      </c>
    </row>
    <row r="466">
      <c r="A466" s="72" t="inlineStr">
        <is>
          <t>2620-0000</t>
        </is>
      </c>
      <c r="B466" s="72" t="inlineStr">
        <is>
          <t>Medical Insurance Premium</t>
        </is>
      </c>
      <c r="C466" s="72" t="inlineStr">
        <is>
          <t>Credit</t>
        </is>
      </c>
      <c r="D466" s="72" t="inlineStr">
        <is>
          <t>Reg</t>
        </is>
      </c>
      <c r="E466" s="72" t="inlineStr">
        <is>
          <t>Bal</t>
        </is>
      </c>
      <c r="F466" s="12" t="n">
        <v>1</v>
      </c>
      <c r="G466" s="12" t="n">
        <v>2</v>
      </c>
      <c r="H466" s="72" t="n"/>
      <c r="I466" s="72" t="n"/>
      <c r="J466" s="72" t="n"/>
      <c r="K466" s="72" t="inlineStr">
        <is>
          <t>2990-0000</t>
        </is>
      </c>
      <c r="L466" s="72" t="inlineStr">
        <is>
          <t>Cash Flow</t>
        </is>
      </c>
    </row>
    <row r="467">
      <c r="A467" s="72" t="inlineStr">
        <is>
          <t>2630-0000</t>
        </is>
      </c>
      <c r="B467" s="72" t="inlineStr">
        <is>
          <t>Employee Credit Union Payable</t>
        </is>
      </c>
      <c r="C467" s="72" t="inlineStr">
        <is>
          <t>Credit</t>
        </is>
      </c>
      <c r="D467" s="72" t="inlineStr">
        <is>
          <t>Reg</t>
        </is>
      </c>
      <c r="E467" s="72" t="inlineStr">
        <is>
          <t>Bal</t>
        </is>
      </c>
      <c r="F467" s="12" t="n">
        <v>1</v>
      </c>
      <c r="G467" s="12" t="n">
        <v>1</v>
      </c>
      <c r="H467" s="72" t="n"/>
      <c r="I467" s="72" t="n"/>
      <c r="J467" s="72" t="n"/>
      <c r="K467" s="72" t="inlineStr">
        <is>
          <t>2990-0000</t>
        </is>
      </c>
      <c r="L467" s="72" t="inlineStr">
        <is>
          <t>Cash Flow</t>
        </is>
      </c>
    </row>
    <row r="468">
      <c r="A468" s="72" t="inlineStr">
        <is>
          <t>2640-0000</t>
        </is>
      </c>
      <c r="B468" s="72" t="inlineStr">
        <is>
          <t>Workers Union Dues Payable</t>
        </is>
      </c>
      <c r="C468" s="72" t="inlineStr">
        <is>
          <t>Credit</t>
        </is>
      </c>
      <c r="D468" s="72" t="inlineStr">
        <is>
          <t>Reg</t>
        </is>
      </c>
      <c r="E468" s="72" t="inlineStr">
        <is>
          <t>Bal</t>
        </is>
      </c>
      <c r="F468" s="12" t="n">
        <v>1</v>
      </c>
      <c r="G468" s="12" t="n">
        <v>1</v>
      </c>
      <c r="H468" s="72" t="n"/>
      <c r="I468" s="72" t="n"/>
      <c r="J468" s="72" t="n"/>
      <c r="K468" s="72" t="inlineStr">
        <is>
          <t>2990-0000</t>
        </is>
      </c>
      <c r="L468" s="72" t="inlineStr">
        <is>
          <t>Cash Flow</t>
        </is>
      </c>
    </row>
    <row r="469">
      <c r="A469" s="72" t="inlineStr">
        <is>
          <t>2640-0998</t>
        </is>
      </c>
      <c r="B469" s="72" t="inlineStr">
        <is>
          <t>Expense Accrual</t>
        </is>
      </c>
      <c r="C469" s="72" t="inlineStr">
        <is>
          <t>Credit</t>
        </is>
      </c>
      <c r="D469" s="72" t="inlineStr">
        <is>
          <t>Reg</t>
        </is>
      </c>
      <c r="E469" s="72" t="inlineStr">
        <is>
          <t>Bal</t>
        </is>
      </c>
      <c r="F469" s="12" t="n">
        <v>1</v>
      </c>
      <c r="G469" s="12" t="n">
        <v>1</v>
      </c>
      <c r="H469" s="72" t="n"/>
      <c r="I469" s="72" t="n"/>
      <c r="J469" s="72" t="n"/>
      <c r="K469" s="72" t="inlineStr">
        <is>
          <t>2990-0000</t>
        </is>
      </c>
      <c r="L469" s="72" t="inlineStr">
        <is>
          <t>Cash Flow</t>
        </is>
      </c>
    </row>
    <row r="470">
      <c r="A470" s="72" t="inlineStr">
        <is>
          <t>2640-0999</t>
        </is>
      </c>
      <c r="B470" s="72" t="inlineStr">
        <is>
          <t>Payroll Accrual</t>
        </is>
      </c>
      <c r="C470" s="72" t="inlineStr">
        <is>
          <t>Credit</t>
        </is>
      </c>
      <c r="D470" s="72" t="inlineStr">
        <is>
          <t>Reg</t>
        </is>
      </c>
      <c r="E470" s="72" t="inlineStr">
        <is>
          <t>Bal</t>
        </is>
      </c>
      <c r="F470" s="12" t="n">
        <v>1</v>
      </c>
      <c r="G470" s="12" t="n">
        <v>1</v>
      </c>
      <c r="H470" s="72" t="n"/>
      <c r="I470" s="72" t="n"/>
      <c r="J470" s="72" t="n"/>
      <c r="K470" s="72" t="inlineStr">
        <is>
          <t>2990-0000</t>
        </is>
      </c>
      <c r="L470" s="72" t="inlineStr">
        <is>
          <t>Cash Flow</t>
        </is>
      </c>
    </row>
    <row r="471">
      <c r="A471" s="72" t="inlineStr">
        <is>
          <t>2641-0000</t>
        </is>
      </c>
      <c r="B471" s="72" t="inlineStr">
        <is>
          <t>Garnishment Payable</t>
        </is>
      </c>
      <c r="C471" s="72" t="inlineStr">
        <is>
          <t>Credit</t>
        </is>
      </c>
      <c r="D471" s="72" t="inlineStr">
        <is>
          <t>Reg</t>
        </is>
      </c>
      <c r="E471" s="72" t="inlineStr">
        <is>
          <t>Bal</t>
        </is>
      </c>
      <c r="F471" s="12" t="n">
        <v>1</v>
      </c>
      <c r="G471" s="12" t="n">
        <v>1</v>
      </c>
      <c r="H471" s="72" t="n"/>
      <c r="I471" s="72" t="n"/>
      <c r="J471" s="72" t="n"/>
      <c r="K471" s="72" t="inlineStr">
        <is>
          <t>2990-0000</t>
        </is>
      </c>
      <c r="L471" s="72" t="inlineStr">
        <is>
          <t>Cash Flow</t>
        </is>
      </c>
    </row>
    <row r="472">
      <c r="A472" s="72" t="inlineStr">
        <is>
          <t>2641-1000</t>
        </is>
      </c>
      <c r="B472" s="72" t="inlineStr">
        <is>
          <t>Garnishment Fee</t>
        </is>
      </c>
      <c r="C472" s="72" t="inlineStr">
        <is>
          <t>Credit</t>
        </is>
      </c>
      <c r="D472" s="72" t="inlineStr">
        <is>
          <t>Reg</t>
        </is>
      </c>
      <c r="E472" s="72" t="inlineStr">
        <is>
          <t>Bal</t>
        </is>
      </c>
      <c r="F472" s="12" t="n">
        <v>1</v>
      </c>
      <c r="G472" s="12" t="n">
        <v>1</v>
      </c>
      <c r="H472" s="72" t="n"/>
      <c r="I472" s="72" t="n"/>
      <c r="J472" s="72" t="n"/>
      <c r="K472" s="72" t="inlineStr">
        <is>
          <t>2990-0000</t>
        </is>
      </c>
      <c r="L472" s="72" t="inlineStr">
        <is>
          <t>Cash Flow</t>
        </is>
      </c>
    </row>
    <row r="473">
      <c r="A473" s="72" t="inlineStr">
        <is>
          <t>2990-0000</t>
        </is>
      </c>
      <c r="B473" s="72" t="inlineStr">
        <is>
          <t>TOTAL LIABILITIES</t>
        </is>
      </c>
      <c r="C473" s="72" t="inlineStr">
        <is>
          <t>Credit</t>
        </is>
      </c>
      <c r="D473" s="72" t="inlineStr">
        <is>
          <t>Tot</t>
        </is>
      </c>
      <c r="E473" s="72" t="inlineStr">
        <is>
          <t>Bal</t>
        </is>
      </c>
      <c r="F473" s="12" t="n">
        <v>2</v>
      </c>
      <c r="G473" s="12" t="n">
        <v>1</v>
      </c>
      <c r="H473" s="72" t="n"/>
      <c r="I473" s="72" t="n"/>
      <c r="J473" s="72" t="n"/>
      <c r="K473" s="72" t="inlineStr">
        <is>
          <t>3990-0000</t>
        </is>
      </c>
      <c r="L473" s="72" t="n"/>
    </row>
    <row r="474">
      <c r="A474" s="72" t="inlineStr">
        <is>
          <t>3000-0000</t>
        </is>
      </c>
      <c r="B474" s="72" t="inlineStr">
        <is>
          <t>CAPITAL</t>
        </is>
      </c>
      <c r="C474" s="72" t="inlineStr">
        <is>
          <t>Credit</t>
        </is>
      </c>
      <c r="D474" s="72" t="inlineStr">
        <is>
          <t>Head</t>
        </is>
      </c>
      <c r="E474" s="72" t="inlineStr">
        <is>
          <t>Bal</t>
        </is>
      </c>
      <c r="F474" s="12" t="n">
        <v>1</v>
      </c>
      <c r="G474" s="12" t="n">
        <v>2</v>
      </c>
      <c r="H474" s="72" t="n"/>
      <c r="I474" s="72" t="n"/>
      <c r="J474" s="72" t="n"/>
      <c r="K474" s="72" t="n"/>
      <c r="L474" s="72" t="n"/>
    </row>
    <row r="475">
      <c r="A475" s="72" t="inlineStr">
        <is>
          <t>3000-1000</t>
        </is>
      </c>
      <c r="B475" s="72" t="inlineStr">
        <is>
          <t>MJP PARTNERS</t>
        </is>
      </c>
      <c r="C475" s="72" t="inlineStr">
        <is>
          <t>Credit</t>
        </is>
      </c>
      <c r="D475" s="72" t="inlineStr">
        <is>
          <t>Head</t>
        </is>
      </c>
      <c r="E475" s="72" t="inlineStr">
        <is>
          <t>Bal</t>
        </is>
      </c>
      <c r="F475" s="12" t="n">
        <v>1</v>
      </c>
      <c r="G475" s="12" t="n">
        <v>2</v>
      </c>
      <c r="H475" s="72" t="n"/>
      <c r="I475" s="72" t="n"/>
      <c r="J475" s="72" t="n"/>
      <c r="K475" s="72" t="inlineStr">
        <is>
          <t>3003-0000</t>
        </is>
      </c>
      <c r="L475" s="72" t="n"/>
    </row>
    <row r="476">
      <c r="A476" s="72" t="inlineStr">
        <is>
          <t>3001-0000</t>
        </is>
      </c>
      <c r="B476" s="72" t="inlineStr">
        <is>
          <t>MJP Capital Equity Contribution</t>
        </is>
      </c>
      <c r="C476" s="72" t="inlineStr">
        <is>
          <t>Credit</t>
        </is>
      </c>
      <c r="D476" s="72" t="inlineStr">
        <is>
          <t>Reg</t>
        </is>
      </c>
      <c r="E476" s="72" t="inlineStr">
        <is>
          <t>Bal</t>
        </is>
      </c>
      <c r="F476" s="12" t="n">
        <v>1</v>
      </c>
      <c r="G476" s="12" t="n">
        <v>1</v>
      </c>
      <c r="H476" s="72" t="n"/>
      <c r="I476" s="72" t="n"/>
      <c r="J476" s="72" t="n"/>
      <c r="K476" s="72" t="inlineStr">
        <is>
          <t>3003-0000</t>
        </is>
      </c>
      <c r="L476" s="72" t="inlineStr">
        <is>
          <t>Cash Flow</t>
        </is>
      </c>
    </row>
    <row r="477">
      <c r="A477" s="72" t="inlineStr">
        <is>
          <t>3002-0000</t>
        </is>
      </c>
      <c r="B477" s="72" t="inlineStr">
        <is>
          <t>MJP Partner Distribution</t>
        </is>
      </c>
      <c r="C477" s="72" t="inlineStr">
        <is>
          <t>Credit</t>
        </is>
      </c>
      <c r="D477" s="72" t="inlineStr">
        <is>
          <t>Reg</t>
        </is>
      </c>
      <c r="E477" s="72" t="inlineStr">
        <is>
          <t>Bal</t>
        </is>
      </c>
      <c r="F477" s="12" t="n">
        <v>1</v>
      </c>
      <c r="G477" s="12" t="n">
        <v>1</v>
      </c>
      <c r="H477" s="72" t="n"/>
      <c r="I477" s="72" t="n"/>
      <c r="J477" s="72" t="n"/>
      <c r="K477" s="72" t="inlineStr">
        <is>
          <t>3003-0000</t>
        </is>
      </c>
      <c r="L477" s="72" t="inlineStr">
        <is>
          <t>Cash Flow</t>
        </is>
      </c>
    </row>
    <row r="478">
      <c r="A478" s="72" t="inlineStr">
        <is>
          <t>3003-0000</t>
        </is>
      </c>
      <c r="B478" s="72" t="inlineStr">
        <is>
          <t>MJP PARTNERS TOTAL</t>
        </is>
      </c>
      <c r="C478" s="72" t="inlineStr">
        <is>
          <t>Credit</t>
        </is>
      </c>
      <c r="D478" s="72" t="inlineStr">
        <is>
          <t>Tot</t>
        </is>
      </c>
      <c r="E478" s="72" t="inlineStr">
        <is>
          <t>Bal</t>
        </is>
      </c>
      <c r="F478" s="12" t="n">
        <v>1</v>
      </c>
      <c r="G478" s="12" t="n">
        <v>1</v>
      </c>
      <c r="H478" s="72" t="n"/>
      <c r="I478" s="72" t="n"/>
      <c r="J478" s="72" t="n"/>
      <c r="K478" s="72" t="inlineStr">
        <is>
          <t>3890-0000</t>
        </is>
      </c>
      <c r="L478" s="72" t="n"/>
    </row>
    <row r="479">
      <c r="A479" s="72" t="inlineStr">
        <is>
          <t>3003-0100</t>
        </is>
      </c>
      <c r="B479" s="72" t="inlineStr">
        <is>
          <t>JIM HECHTMAN</t>
        </is>
      </c>
      <c r="C479" s="72" t="inlineStr">
        <is>
          <t>Credit</t>
        </is>
      </c>
      <c r="D479" s="72" t="inlineStr">
        <is>
          <t>Head</t>
        </is>
      </c>
      <c r="E479" s="72" t="inlineStr">
        <is>
          <t>Bal</t>
        </is>
      </c>
      <c r="F479" s="12" t="n">
        <v>1</v>
      </c>
      <c r="G479" s="12" t="n">
        <v>2</v>
      </c>
      <c r="H479" s="72" t="n"/>
      <c r="I479" s="72" t="n"/>
      <c r="J479" s="72" t="n"/>
      <c r="K479" s="72" t="inlineStr">
        <is>
          <t>3003-0113</t>
        </is>
      </c>
      <c r="L479" s="72" t="n"/>
    </row>
    <row r="480">
      <c r="A480" s="72" t="inlineStr">
        <is>
          <t>3003-0111</t>
        </is>
      </c>
      <c r="B480" s="72" t="inlineStr">
        <is>
          <t>Jim Hechtman Contribution</t>
        </is>
      </c>
      <c r="C480" s="72" t="inlineStr">
        <is>
          <t>Credit</t>
        </is>
      </c>
      <c r="D480" s="72" t="inlineStr">
        <is>
          <t>Reg</t>
        </is>
      </c>
      <c r="E480" s="72" t="inlineStr">
        <is>
          <t>Bal</t>
        </is>
      </c>
      <c r="F480" s="12" t="n">
        <v>1</v>
      </c>
      <c r="G480" s="12" t="n">
        <v>1</v>
      </c>
      <c r="H480" s="72" t="n"/>
      <c r="I480" s="72" t="n"/>
      <c r="J480" s="72" t="n"/>
      <c r="K480" s="72" t="inlineStr">
        <is>
          <t>3003-0113</t>
        </is>
      </c>
      <c r="L480" s="72" t="inlineStr">
        <is>
          <t>Cash Flow</t>
        </is>
      </c>
    </row>
    <row r="481">
      <c r="A481" s="72" t="inlineStr">
        <is>
          <t>3003-0112</t>
        </is>
      </c>
      <c r="B481" s="72" t="inlineStr">
        <is>
          <t>Jim Hechtman Distribution</t>
        </is>
      </c>
      <c r="C481" s="72" t="inlineStr">
        <is>
          <t>Credit</t>
        </is>
      </c>
      <c r="D481" s="72" t="inlineStr">
        <is>
          <t>Reg</t>
        </is>
      </c>
      <c r="E481" s="72" t="inlineStr">
        <is>
          <t>Bal</t>
        </is>
      </c>
      <c r="F481" s="12" t="n">
        <v>1</v>
      </c>
      <c r="G481" s="12" t="n">
        <v>1</v>
      </c>
      <c r="H481" s="72" t="n"/>
      <c r="I481" s="72" t="n"/>
      <c r="J481" s="72" t="n"/>
      <c r="K481" s="72" t="inlineStr">
        <is>
          <t>3003-0113</t>
        </is>
      </c>
      <c r="L481" s="72" t="inlineStr">
        <is>
          <t>Cash Flow</t>
        </is>
      </c>
    </row>
    <row r="482">
      <c r="A482" s="72" t="inlineStr">
        <is>
          <t>3003-0113</t>
        </is>
      </c>
      <c r="B482" s="72" t="inlineStr">
        <is>
          <t>JIM HECHTMAN TOTAL</t>
        </is>
      </c>
      <c r="C482" s="72" t="inlineStr">
        <is>
          <t>Credit</t>
        </is>
      </c>
      <c r="D482" s="72" t="inlineStr">
        <is>
          <t>Tot</t>
        </is>
      </c>
      <c r="E482" s="72" t="inlineStr">
        <is>
          <t>Bal</t>
        </is>
      </c>
      <c r="F482" s="12" t="n">
        <v>1</v>
      </c>
      <c r="G482" s="12" t="n">
        <v>1</v>
      </c>
      <c r="H482" s="72" t="n"/>
      <c r="I482" s="72" t="n"/>
      <c r="J482" s="72" t="n"/>
      <c r="K482" s="72" t="inlineStr">
        <is>
          <t>3890-0000</t>
        </is>
      </c>
      <c r="L482" s="72" t="n"/>
    </row>
    <row r="483">
      <c r="A483" s="72" t="inlineStr">
        <is>
          <t>3003-0114</t>
        </is>
      </c>
      <c r="B483" s="72" t="inlineStr">
        <is>
          <t>JOSHUA MUTNICK</t>
        </is>
      </c>
      <c r="C483" s="72" t="inlineStr">
        <is>
          <t>Credit</t>
        </is>
      </c>
      <c r="D483" s="72" t="inlineStr">
        <is>
          <t>Head</t>
        </is>
      </c>
      <c r="E483" s="72" t="inlineStr">
        <is>
          <t>Bal</t>
        </is>
      </c>
      <c r="F483" s="12" t="n">
        <v>1</v>
      </c>
      <c r="G483" s="12" t="n">
        <v>2</v>
      </c>
      <c r="H483" s="72" t="n"/>
      <c r="I483" s="72" t="n"/>
      <c r="J483" s="72" t="n"/>
      <c r="K483" s="72" t="inlineStr">
        <is>
          <t>3003-0117</t>
        </is>
      </c>
      <c r="L483" s="72" t="n"/>
    </row>
    <row r="484">
      <c r="A484" s="72" t="inlineStr">
        <is>
          <t>3003-0115</t>
        </is>
      </c>
      <c r="B484" s="72" t="inlineStr">
        <is>
          <t>Joshua Mutnick Contribution</t>
        </is>
      </c>
      <c r="C484" s="72" t="inlineStr">
        <is>
          <t>Credit</t>
        </is>
      </c>
      <c r="D484" s="72" t="inlineStr">
        <is>
          <t>Reg</t>
        </is>
      </c>
      <c r="E484" s="72" t="inlineStr">
        <is>
          <t>Bal</t>
        </is>
      </c>
      <c r="F484" s="12" t="n">
        <v>1</v>
      </c>
      <c r="G484" s="12" t="n">
        <v>1</v>
      </c>
      <c r="H484" s="72" t="n"/>
      <c r="I484" s="72" t="n"/>
      <c r="J484" s="72" t="n"/>
      <c r="K484" s="72" t="inlineStr">
        <is>
          <t>3003-0117</t>
        </is>
      </c>
      <c r="L484" s="72" t="inlineStr">
        <is>
          <t>Cash Flow</t>
        </is>
      </c>
    </row>
    <row r="485">
      <c r="A485" s="72" t="inlineStr">
        <is>
          <t>3003-0116</t>
        </is>
      </c>
      <c r="B485" s="72" t="inlineStr">
        <is>
          <t>Joshua Mutnick Distribution</t>
        </is>
      </c>
      <c r="C485" s="72" t="inlineStr">
        <is>
          <t>Credit</t>
        </is>
      </c>
      <c r="D485" s="72" t="inlineStr">
        <is>
          <t>Reg</t>
        </is>
      </c>
      <c r="E485" s="72" t="inlineStr">
        <is>
          <t>Bal</t>
        </is>
      </c>
      <c r="F485" s="12" t="n">
        <v>1</v>
      </c>
      <c r="G485" s="12" t="n">
        <v>1</v>
      </c>
      <c r="H485" s="72" t="n"/>
      <c r="I485" s="72" t="n"/>
      <c r="J485" s="72" t="n"/>
      <c r="K485" s="72" t="inlineStr">
        <is>
          <t>3003-0117</t>
        </is>
      </c>
      <c r="L485" s="72" t="inlineStr">
        <is>
          <t>Cash Flow</t>
        </is>
      </c>
    </row>
    <row r="486">
      <c r="A486" s="72" t="inlineStr">
        <is>
          <t>3003-0117</t>
        </is>
      </c>
      <c r="B486" s="72" t="inlineStr">
        <is>
          <t>JOSHUA MUTNICK TOTAL</t>
        </is>
      </c>
      <c r="C486" s="72" t="inlineStr">
        <is>
          <t>Credit</t>
        </is>
      </c>
      <c r="D486" s="72" t="inlineStr">
        <is>
          <t>Tot</t>
        </is>
      </c>
      <c r="E486" s="72" t="inlineStr">
        <is>
          <t>Bal</t>
        </is>
      </c>
      <c r="F486" s="12" t="n">
        <v>1</v>
      </c>
      <c r="G486" s="12" t="n">
        <v>1</v>
      </c>
      <c r="H486" s="72" t="n"/>
      <c r="I486" s="72" t="n"/>
      <c r="J486" s="72" t="n"/>
      <c r="K486" s="72" t="inlineStr">
        <is>
          <t>3890-0000</t>
        </is>
      </c>
      <c r="L486" s="72" t="n"/>
    </row>
    <row r="487">
      <c r="A487" s="72" t="inlineStr">
        <is>
          <t>3003-1000</t>
        </is>
      </c>
      <c r="B487" s="72" t="inlineStr">
        <is>
          <t>SLAB HOLDINGS LLC</t>
        </is>
      </c>
      <c r="C487" s="72" t="inlineStr">
        <is>
          <t>Credit</t>
        </is>
      </c>
      <c r="D487" s="72" t="inlineStr">
        <is>
          <t>Head</t>
        </is>
      </c>
      <c r="E487" s="72" t="inlineStr">
        <is>
          <t>Bal</t>
        </is>
      </c>
      <c r="F487" s="12" t="n">
        <v>1</v>
      </c>
      <c r="G487" s="12" t="n">
        <v>2</v>
      </c>
      <c r="H487" s="72" t="n"/>
      <c r="I487" s="72" t="n"/>
      <c r="J487" s="72" t="n"/>
      <c r="K487" s="72" t="inlineStr">
        <is>
          <t>3003-1003</t>
        </is>
      </c>
      <c r="L487" s="72" t="n"/>
    </row>
    <row r="488">
      <c r="A488" s="72" t="inlineStr">
        <is>
          <t>3003-1001</t>
        </is>
      </c>
      <c r="B488" s="72" t="inlineStr">
        <is>
          <t>SLAB Holdings LLC Contribution</t>
        </is>
      </c>
      <c r="C488" s="72" t="inlineStr">
        <is>
          <t>Credit</t>
        </is>
      </c>
      <c r="D488" s="72" t="inlineStr">
        <is>
          <t>Reg</t>
        </is>
      </c>
      <c r="E488" s="72" t="inlineStr">
        <is>
          <t>Bal</t>
        </is>
      </c>
      <c r="F488" s="12" t="n">
        <v>1</v>
      </c>
      <c r="G488" s="12" t="n">
        <v>1</v>
      </c>
      <c r="H488" s="72" t="n"/>
      <c r="I488" s="72" t="n"/>
      <c r="J488" s="72" t="n"/>
      <c r="K488" s="72" t="inlineStr">
        <is>
          <t>3003-1003</t>
        </is>
      </c>
      <c r="L488" s="72" t="inlineStr">
        <is>
          <t>Cash Flow</t>
        </is>
      </c>
    </row>
    <row r="489">
      <c r="A489" s="72" t="inlineStr">
        <is>
          <t>3003-1002</t>
        </is>
      </c>
      <c r="B489" s="72" t="inlineStr">
        <is>
          <t>SLAB Holdings LLC Distribution</t>
        </is>
      </c>
      <c r="C489" s="72" t="inlineStr">
        <is>
          <t>Credit</t>
        </is>
      </c>
      <c r="D489" s="72" t="inlineStr">
        <is>
          <t>Reg</t>
        </is>
      </c>
      <c r="E489" s="72" t="inlineStr">
        <is>
          <t>Bal</t>
        </is>
      </c>
      <c r="F489" s="12" t="n">
        <v>1</v>
      </c>
      <c r="G489" s="12" t="n">
        <v>1</v>
      </c>
      <c r="H489" s="72" t="n"/>
      <c r="I489" s="72" t="n"/>
      <c r="J489" s="72" t="n"/>
      <c r="K489" s="72" t="inlineStr">
        <is>
          <t>3003-1003</t>
        </is>
      </c>
      <c r="L489" s="72" t="inlineStr">
        <is>
          <t>Cash Flow</t>
        </is>
      </c>
    </row>
    <row r="490">
      <c r="A490" s="72" t="inlineStr">
        <is>
          <t>3003-1003</t>
        </is>
      </c>
      <c r="B490" s="72" t="inlineStr">
        <is>
          <t>SLAB HOLDINGS LLC TOTAL</t>
        </is>
      </c>
      <c r="C490" s="72" t="inlineStr">
        <is>
          <t>Credit</t>
        </is>
      </c>
      <c r="D490" s="72" t="inlineStr">
        <is>
          <t>Tot</t>
        </is>
      </c>
      <c r="E490" s="72" t="inlineStr">
        <is>
          <t>Bal</t>
        </is>
      </c>
      <c r="F490" s="12" t="n">
        <v>1</v>
      </c>
      <c r="G490" s="12" t="n">
        <v>1</v>
      </c>
      <c r="H490" s="72" t="n"/>
      <c r="I490" s="72" t="n"/>
      <c r="J490" s="72" t="n"/>
      <c r="K490" s="72" t="inlineStr">
        <is>
          <t>3890-0000</t>
        </is>
      </c>
      <c r="L490" s="72" t="n"/>
    </row>
    <row r="491">
      <c r="A491" s="72" t="inlineStr">
        <is>
          <t>3003-1100</t>
        </is>
      </c>
      <c r="B491" s="72" t="inlineStr">
        <is>
          <t>ERIC BICKLER</t>
        </is>
      </c>
      <c r="C491" s="72" t="inlineStr">
        <is>
          <t>Credit</t>
        </is>
      </c>
      <c r="D491" s="72" t="inlineStr">
        <is>
          <t>Head</t>
        </is>
      </c>
      <c r="E491" s="72" t="inlineStr">
        <is>
          <t>Bal</t>
        </is>
      </c>
      <c r="F491" s="12" t="n">
        <v>1</v>
      </c>
      <c r="G491" s="12" t="n">
        <v>2</v>
      </c>
      <c r="H491" s="72" t="n"/>
      <c r="I491" s="72" t="n"/>
      <c r="J491" s="72" t="n"/>
      <c r="K491" s="72" t="inlineStr">
        <is>
          <t>3003-1103</t>
        </is>
      </c>
      <c r="L491" s="72" t="n"/>
    </row>
    <row r="492">
      <c r="A492" s="72" t="inlineStr">
        <is>
          <t>3003-1101</t>
        </is>
      </c>
      <c r="B492" s="72" t="inlineStr">
        <is>
          <t>Eric Bickler Contribution</t>
        </is>
      </c>
      <c r="C492" s="72" t="inlineStr">
        <is>
          <t>Credit</t>
        </is>
      </c>
      <c r="D492" s="72" t="inlineStr">
        <is>
          <t>Reg</t>
        </is>
      </c>
      <c r="E492" s="72" t="inlineStr">
        <is>
          <t>Bal</t>
        </is>
      </c>
      <c r="F492" s="12" t="n">
        <v>1</v>
      </c>
      <c r="G492" s="12" t="n">
        <v>1</v>
      </c>
      <c r="H492" s="72" t="n"/>
      <c r="I492" s="72" t="n"/>
      <c r="J492" s="72" t="n"/>
      <c r="K492" s="72" t="inlineStr">
        <is>
          <t>3003-1103</t>
        </is>
      </c>
      <c r="L492" s="72" t="inlineStr">
        <is>
          <t>Cash Flow</t>
        </is>
      </c>
    </row>
    <row r="493">
      <c r="A493" s="72" t="inlineStr">
        <is>
          <t>3003-1102</t>
        </is>
      </c>
      <c r="B493" s="72" t="inlineStr">
        <is>
          <t>Eric Bickler Distribution</t>
        </is>
      </c>
      <c r="C493" s="72" t="inlineStr">
        <is>
          <t>Credit</t>
        </is>
      </c>
      <c r="D493" s="72" t="inlineStr">
        <is>
          <t>Reg</t>
        </is>
      </c>
      <c r="E493" s="72" t="inlineStr">
        <is>
          <t>Bal</t>
        </is>
      </c>
      <c r="F493" s="12" t="n">
        <v>1</v>
      </c>
      <c r="G493" s="12" t="n">
        <v>1</v>
      </c>
      <c r="H493" s="72" t="n"/>
      <c r="I493" s="72" t="n"/>
      <c r="J493" s="72" t="n"/>
      <c r="K493" s="72" t="inlineStr">
        <is>
          <t>3003-1103</t>
        </is>
      </c>
      <c r="L493" s="72" t="inlineStr">
        <is>
          <t>Cash Flow</t>
        </is>
      </c>
    </row>
    <row r="494">
      <c r="A494" s="72" t="inlineStr">
        <is>
          <t>3003-1103</t>
        </is>
      </c>
      <c r="B494" s="72" t="inlineStr">
        <is>
          <t>ERIC BICKLER TOTAL</t>
        </is>
      </c>
      <c r="C494" s="72" t="inlineStr">
        <is>
          <t>Credit</t>
        </is>
      </c>
      <c r="D494" s="72" t="inlineStr">
        <is>
          <t>Tot</t>
        </is>
      </c>
      <c r="E494" s="72" t="inlineStr">
        <is>
          <t>Bal</t>
        </is>
      </c>
      <c r="F494" s="12" t="n">
        <v>1</v>
      </c>
      <c r="G494" s="12" t="n">
        <v>1</v>
      </c>
      <c r="H494" s="72" t="n"/>
      <c r="I494" s="72" t="n"/>
      <c r="J494" s="72" t="n"/>
      <c r="K494" s="72" t="inlineStr">
        <is>
          <t>3890-0000</t>
        </is>
      </c>
      <c r="L494" s="72" t="n"/>
    </row>
    <row r="495">
      <c r="A495" s="72" t="inlineStr">
        <is>
          <t>3003-1200</t>
        </is>
      </c>
      <c r="B495" s="72" t="inlineStr">
        <is>
          <t>MARC TRAINA</t>
        </is>
      </c>
      <c r="C495" s="72" t="inlineStr">
        <is>
          <t>Credit</t>
        </is>
      </c>
      <c r="D495" s="72" t="inlineStr">
        <is>
          <t>Head</t>
        </is>
      </c>
      <c r="E495" s="72" t="inlineStr">
        <is>
          <t>Bal</t>
        </is>
      </c>
      <c r="F495" s="12" t="n">
        <v>1</v>
      </c>
      <c r="G495" s="12" t="n">
        <v>2</v>
      </c>
      <c r="H495" s="72" t="n"/>
      <c r="I495" s="72" t="n"/>
      <c r="J495" s="72" t="n"/>
      <c r="K495" s="72" t="inlineStr">
        <is>
          <t>3003-1203</t>
        </is>
      </c>
      <c r="L495" s="72" t="n"/>
    </row>
    <row r="496">
      <c r="A496" s="72" t="inlineStr">
        <is>
          <t>3003-1201</t>
        </is>
      </c>
      <c r="B496" s="72" t="inlineStr">
        <is>
          <t>Marc Traina Contribution</t>
        </is>
      </c>
      <c r="C496" s="72" t="inlineStr">
        <is>
          <t>Credit</t>
        </is>
      </c>
      <c r="D496" s="72" t="inlineStr">
        <is>
          <t>Reg</t>
        </is>
      </c>
      <c r="E496" s="72" t="inlineStr">
        <is>
          <t>Bal</t>
        </is>
      </c>
      <c r="F496" s="12" t="n">
        <v>1</v>
      </c>
      <c r="G496" s="12" t="n">
        <v>1</v>
      </c>
      <c r="H496" s="72" t="n"/>
      <c r="I496" s="72" t="n"/>
      <c r="J496" s="72" t="n"/>
      <c r="K496" s="72" t="inlineStr">
        <is>
          <t>3003-1203</t>
        </is>
      </c>
      <c r="L496" s="72" t="inlineStr">
        <is>
          <t>Cash Flow</t>
        </is>
      </c>
    </row>
    <row r="497">
      <c r="A497" s="72" t="inlineStr">
        <is>
          <t>3003-1202</t>
        </is>
      </c>
      <c r="B497" s="72" t="inlineStr">
        <is>
          <t>Marc Traina Distribution</t>
        </is>
      </c>
      <c r="C497" s="72" t="inlineStr">
        <is>
          <t>Credit</t>
        </is>
      </c>
      <c r="D497" s="72" t="inlineStr">
        <is>
          <t>Reg</t>
        </is>
      </c>
      <c r="E497" s="72" t="inlineStr">
        <is>
          <t>Bal</t>
        </is>
      </c>
      <c r="F497" s="12" t="n">
        <v>1</v>
      </c>
      <c r="G497" s="12" t="n">
        <v>1</v>
      </c>
      <c r="H497" s="72" t="n"/>
      <c r="I497" s="72" t="n"/>
      <c r="J497" s="72" t="n"/>
      <c r="K497" s="72" t="inlineStr">
        <is>
          <t>3003-1203</t>
        </is>
      </c>
      <c r="L497" s="72" t="inlineStr">
        <is>
          <t>Cash Flow</t>
        </is>
      </c>
    </row>
    <row r="498">
      <c r="A498" s="72" t="inlineStr">
        <is>
          <t>3003-1203</t>
        </is>
      </c>
      <c r="B498" s="72" t="inlineStr">
        <is>
          <t>MARC TRAINA TOTAL</t>
        </is>
      </c>
      <c r="C498" s="72" t="inlineStr">
        <is>
          <t>Credit</t>
        </is>
      </c>
      <c r="D498" s="72" t="inlineStr">
        <is>
          <t>Tot</t>
        </is>
      </c>
      <c r="E498" s="72" t="inlineStr">
        <is>
          <t>Bal</t>
        </is>
      </c>
      <c r="F498" s="12" t="n">
        <v>1</v>
      </c>
      <c r="G498" s="12" t="n">
        <v>1</v>
      </c>
      <c r="H498" s="72" t="n"/>
      <c r="I498" s="72" t="n"/>
      <c r="J498" s="72" t="n"/>
      <c r="K498" s="72" t="inlineStr">
        <is>
          <t>3890-0000</t>
        </is>
      </c>
      <c r="L498" s="72" t="n"/>
    </row>
    <row r="499">
      <c r="A499" s="72" t="inlineStr">
        <is>
          <t>3003-1300</t>
        </is>
      </c>
      <c r="B499" s="72" t="inlineStr">
        <is>
          <t>Voshel Investments</t>
        </is>
      </c>
      <c r="C499" s="72" t="inlineStr">
        <is>
          <t>Credit</t>
        </is>
      </c>
      <c r="D499" s="72" t="inlineStr">
        <is>
          <t>Head</t>
        </is>
      </c>
      <c r="E499" s="72" t="inlineStr">
        <is>
          <t>Bal</t>
        </is>
      </c>
      <c r="F499" s="12" t="n">
        <v>1</v>
      </c>
      <c r="G499" s="12" t="n">
        <v>1</v>
      </c>
      <c r="H499" s="72" t="n"/>
      <c r="I499" s="72" t="n"/>
      <c r="J499" s="72" t="n"/>
      <c r="K499" s="72" t="inlineStr">
        <is>
          <t>3003-1303</t>
        </is>
      </c>
      <c r="L499" s="72" t="n"/>
    </row>
    <row r="500">
      <c r="A500" s="72" t="inlineStr">
        <is>
          <t>3003-1301</t>
        </is>
      </c>
      <c r="B500" s="72" t="inlineStr">
        <is>
          <t>Voshel Investments Contribution</t>
        </is>
      </c>
      <c r="C500" s="72" t="inlineStr">
        <is>
          <t>Credit</t>
        </is>
      </c>
      <c r="D500" s="72" t="inlineStr">
        <is>
          <t>Reg</t>
        </is>
      </c>
      <c r="E500" s="72" t="inlineStr">
        <is>
          <t>Bal</t>
        </is>
      </c>
      <c r="F500" s="12" t="n">
        <v>0</v>
      </c>
      <c r="G500" s="12" t="n">
        <v>1</v>
      </c>
      <c r="H500" s="72" t="n"/>
      <c r="I500" s="72" t="n"/>
      <c r="J500" s="72" t="n"/>
      <c r="K500" s="72" t="inlineStr">
        <is>
          <t>3003-1303</t>
        </is>
      </c>
      <c r="L500" s="72" t="inlineStr">
        <is>
          <t>Cash Flow</t>
        </is>
      </c>
    </row>
    <row r="501">
      <c r="A501" s="72" t="inlineStr">
        <is>
          <t>3003-1302</t>
        </is>
      </c>
      <c r="B501" s="72" t="inlineStr">
        <is>
          <t>Voshel Investments Distribution</t>
        </is>
      </c>
      <c r="C501" s="72" t="inlineStr">
        <is>
          <t>Credit</t>
        </is>
      </c>
      <c r="D501" s="72" t="inlineStr">
        <is>
          <t>Reg</t>
        </is>
      </c>
      <c r="E501" s="72" t="inlineStr">
        <is>
          <t>Bal</t>
        </is>
      </c>
      <c r="F501" s="12" t="n">
        <v>0</v>
      </c>
      <c r="G501" s="12" t="n">
        <v>1</v>
      </c>
      <c r="H501" s="72" t="n"/>
      <c r="I501" s="72" t="n"/>
      <c r="J501" s="72" t="n"/>
      <c r="K501" s="72" t="inlineStr">
        <is>
          <t>3003-1303</t>
        </is>
      </c>
      <c r="L501" s="72" t="inlineStr">
        <is>
          <t>Cash Flow</t>
        </is>
      </c>
    </row>
    <row r="502">
      <c r="A502" s="72" t="inlineStr">
        <is>
          <t>3003-1303</t>
        </is>
      </c>
      <c r="B502" s="72" t="inlineStr">
        <is>
          <t>Voshel Investments Total</t>
        </is>
      </c>
      <c r="C502" s="72" t="inlineStr">
        <is>
          <t>Credit</t>
        </is>
      </c>
      <c r="D502" s="72" t="inlineStr">
        <is>
          <t>Tot</t>
        </is>
      </c>
      <c r="E502" s="72" t="inlineStr">
        <is>
          <t>Bal</t>
        </is>
      </c>
      <c r="F502" s="12" t="n">
        <v>0</v>
      </c>
      <c r="G502" s="12" t="n">
        <v>1</v>
      </c>
      <c r="H502" s="72" t="n"/>
      <c r="I502" s="72" t="n"/>
      <c r="J502" s="72" t="n"/>
      <c r="K502" s="72" t="inlineStr">
        <is>
          <t>3890-0000</t>
        </is>
      </c>
      <c r="L502" s="72" t="n"/>
    </row>
    <row r="503">
      <c r="A503" s="72" t="inlineStr">
        <is>
          <t>3003-1400</t>
        </is>
      </c>
      <c r="B503" s="72" t="inlineStr">
        <is>
          <t>Stefanos Grapsas</t>
        </is>
      </c>
      <c r="C503" s="72" t="inlineStr">
        <is>
          <t>Credit</t>
        </is>
      </c>
      <c r="D503" s="72" t="inlineStr">
        <is>
          <t>Head</t>
        </is>
      </c>
      <c r="E503" s="72" t="inlineStr">
        <is>
          <t>Bal</t>
        </is>
      </c>
      <c r="F503" s="12" t="n">
        <v>0</v>
      </c>
      <c r="G503" s="12" t="n">
        <v>1</v>
      </c>
      <c r="H503" s="72" t="n"/>
      <c r="I503" s="72" t="n"/>
      <c r="J503" s="72" t="n"/>
      <c r="K503" s="72" t="inlineStr">
        <is>
          <t>3003-1403</t>
        </is>
      </c>
      <c r="L503" s="72" t="n"/>
    </row>
    <row r="504">
      <c r="A504" s="72" t="inlineStr">
        <is>
          <t>3003-1401</t>
        </is>
      </c>
      <c r="B504" s="72" t="inlineStr">
        <is>
          <t>Stefanos Grapsas Contribution</t>
        </is>
      </c>
      <c r="C504" s="72" t="inlineStr">
        <is>
          <t>Credit</t>
        </is>
      </c>
      <c r="D504" s="72" t="inlineStr">
        <is>
          <t>Reg</t>
        </is>
      </c>
      <c r="E504" s="72" t="inlineStr">
        <is>
          <t>Bal</t>
        </is>
      </c>
      <c r="F504" s="12" t="n">
        <v>0</v>
      </c>
      <c r="G504" s="12" t="n">
        <v>1</v>
      </c>
      <c r="H504" s="72" t="n"/>
      <c r="I504" s="72" t="n"/>
      <c r="J504" s="72" t="n"/>
      <c r="K504" s="72" t="inlineStr">
        <is>
          <t>3003-1403</t>
        </is>
      </c>
      <c r="L504" s="72" t="inlineStr">
        <is>
          <t>Cash Flow</t>
        </is>
      </c>
    </row>
    <row r="505">
      <c r="A505" s="72" t="inlineStr">
        <is>
          <t>3003-1402</t>
        </is>
      </c>
      <c r="B505" s="72" t="inlineStr">
        <is>
          <t>Stefanos Grapsas Distribution</t>
        </is>
      </c>
      <c r="C505" s="72" t="inlineStr">
        <is>
          <t>Credit</t>
        </is>
      </c>
      <c r="D505" s="72" t="inlineStr">
        <is>
          <t>Reg</t>
        </is>
      </c>
      <c r="E505" s="72" t="inlineStr">
        <is>
          <t>Bal</t>
        </is>
      </c>
      <c r="F505" s="12" t="n">
        <v>0</v>
      </c>
      <c r="G505" s="12" t="n">
        <v>1</v>
      </c>
      <c r="H505" s="72" t="n"/>
      <c r="I505" s="72" t="n"/>
      <c r="J505" s="72" t="n"/>
      <c r="K505" s="72" t="inlineStr">
        <is>
          <t>3003-1403</t>
        </is>
      </c>
      <c r="L505" s="72" t="inlineStr">
        <is>
          <t>Cash Flow</t>
        </is>
      </c>
    </row>
    <row r="506">
      <c r="A506" s="72" t="inlineStr">
        <is>
          <t>3003-1403</t>
        </is>
      </c>
      <c r="B506" s="72" t="inlineStr">
        <is>
          <t>Stefanos Grapsas Total</t>
        </is>
      </c>
      <c r="C506" s="72" t="inlineStr">
        <is>
          <t>Credit</t>
        </is>
      </c>
      <c r="D506" s="72" t="inlineStr">
        <is>
          <t>Tot</t>
        </is>
      </c>
      <c r="E506" s="72" t="inlineStr">
        <is>
          <t>Bal</t>
        </is>
      </c>
      <c r="F506" s="12" t="n">
        <v>0</v>
      </c>
      <c r="G506" s="12" t="n">
        <v>1</v>
      </c>
      <c r="H506" s="72" t="n"/>
      <c r="I506" s="72" t="n"/>
      <c r="J506" s="72" t="n"/>
      <c r="K506" s="72" t="inlineStr">
        <is>
          <t>3890-0000</t>
        </is>
      </c>
      <c r="L506" s="72" t="n"/>
    </row>
    <row r="507">
      <c r="A507" s="72" t="inlineStr">
        <is>
          <t>3003-1500</t>
        </is>
      </c>
      <c r="B507" s="72" t="inlineStr">
        <is>
          <t>TDSS LLC</t>
        </is>
      </c>
      <c r="C507" s="72" t="inlineStr">
        <is>
          <t>Credit</t>
        </is>
      </c>
      <c r="D507" s="72" t="inlineStr">
        <is>
          <t>Head</t>
        </is>
      </c>
      <c r="E507" s="72" t="inlineStr">
        <is>
          <t>Bal</t>
        </is>
      </c>
      <c r="F507" s="12" t="n">
        <v>0</v>
      </c>
      <c r="G507" s="12" t="n">
        <v>1</v>
      </c>
      <c r="H507" s="72" t="n"/>
      <c r="I507" s="72" t="n"/>
      <c r="J507" s="72" t="n"/>
      <c r="K507" s="72" t="inlineStr">
        <is>
          <t>3003-1503</t>
        </is>
      </c>
      <c r="L507" s="72" t="n"/>
    </row>
    <row r="508">
      <c r="A508" s="72" t="inlineStr">
        <is>
          <t>3003-1501</t>
        </is>
      </c>
      <c r="B508" s="72" t="inlineStr">
        <is>
          <t>TDSS LLC Contribution</t>
        </is>
      </c>
      <c r="C508" s="72" t="inlineStr">
        <is>
          <t>Credit</t>
        </is>
      </c>
      <c r="D508" s="72" t="inlineStr">
        <is>
          <t>Reg</t>
        </is>
      </c>
      <c r="E508" s="72" t="inlineStr">
        <is>
          <t>Bal</t>
        </is>
      </c>
      <c r="F508" s="12" t="n">
        <v>0</v>
      </c>
      <c r="G508" s="12" t="n">
        <v>1</v>
      </c>
      <c r="H508" s="72" t="n"/>
      <c r="I508" s="72" t="n"/>
      <c r="J508" s="72" t="n"/>
      <c r="K508" s="72" t="inlineStr">
        <is>
          <t>3003-1503</t>
        </is>
      </c>
      <c r="L508" s="72" t="inlineStr">
        <is>
          <t>Cash Flow</t>
        </is>
      </c>
    </row>
    <row r="509">
      <c r="A509" s="72" t="inlineStr">
        <is>
          <t>3003-1502</t>
        </is>
      </c>
      <c r="B509" s="72" t="inlineStr">
        <is>
          <t>TDSS LLC Distribution</t>
        </is>
      </c>
      <c r="C509" s="72" t="inlineStr">
        <is>
          <t>Credit</t>
        </is>
      </c>
      <c r="D509" s="72" t="inlineStr">
        <is>
          <t>Reg</t>
        </is>
      </c>
      <c r="E509" s="72" t="inlineStr">
        <is>
          <t>Bal</t>
        </is>
      </c>
      <c r="F509" s="12" t="n">
        <v>0</v>
      </c>
      <c r="G509" s="12" t="n">
        <v>1</v>
      </c>
      <c r="H509" s="72" t="n"/>
      <c r="I509" s="72" t="n"/>
      <c r="J509" s="72" t="n"/>
      <c r="K509" s="72" t="inlineStr">
        <is>
          <t>3003-1503</t>
        </is>
      </c>
      <c r="L509" s="72" t="inlineStr">
        <is>
          <t>Cash Flow</t>
        </is>
      </c>
    </row>
    <row r="510">
      <c r="A510" s="72" t="inlineStr">
        <is>
          <t>3003-1503</t>
        </is>
      </c>
      <c r="B510" s="72" t="inlineStr">
        <is>
          <t>TDSS LLC Total</t>
        </is>
      </c>
      <c r="C510" s="72" t="inlineStr">
        <is>
          <t>Credit</t>
        </is>
      </c>
      <c r="D510" s="72" t="inlineStr">
        <is>
          <t>Tot</t>
        </is>
      </c>
      <c r="E510" s="72" t="inlineStr">
        <is>
          <t>Bal</t>
        </is>
      </c>
      <c r="F510" s="12" t="n">
        <v>0</v>
      </c>
      <c r="G510" s="12" t="n">
        <v>1</v>
      </c>
      <c r="H510" s="72" t="n"/>
      <c r="I510" s="72" t="n"/>
      <c r="J510" s="72" t="n"/>
      <c r="K510" s="72" t="inlineStr">
        <is>
          <t>3890-0000</t>
        </is>
      </c>
      <c r="L510" s="72" t="n"/>
    </row>
    <row r="511">
      <c r="A511" s="72" t="inlineStr">
        <is>
          <t>3003-1600</t>
        </is>
      </c>
      <c r="B511" s="72" t="inlineStr">
        <is>
          <t>Compoo Holdings LLC</t>
        </is>
      </c>
      <c r="C511" s="72" t="inlineStr">
        <is>
          <t>Credit</t>
        </is>
      </c>
      <c r="D511" s="72" t="inlineStr">
        <is>
          <t>Head</t>
        </is>
      </c>
      <c r="E511" s="72" t="inlineStr">
        <is>
          <t>Bal</t>
        </is>
      </c>
      <c r="F511" s="12" t="n">
        <v>0</v>
      </c>
      <c r="G511" s="12" t="n">
        <v>1</v>
      </c>
      <c r="H511" s="72" t="n"/>
      <c r="I511" s="72" t="n"/>
      <c r="J511" s="72" t="n"/>
      <c r="K511" s="72" t="inlineStr">
        <is>
          <t>3003-1603</t>
        </is>
      </c>
      <c r="L511" s="72" t="n"/>
    </row>
    <row r="512">
      <c r="A512" s="72" t="inlineStr">
        <is>
          <t>3003-1601</t>
        </is>
      </c>
      <c r="B512" s="72" t="inlineStr">
        <is>
          <t>Compoo Holdings LLC Contribution</t>
        </is>
      </c>
      <c r="C512" s="72" t="inlineStr">
        <is>
          <t>Credit</t>
        </is>
      </c>
      <c r="D512" s="72" t="inlineStr">
        <is>
          <t>Reg</t>
        </is>
      </c>
      <c r="E512" s="72" t="inlineStr">
        <is>
          <t>Bal</t>
        </is>
      </c>
      <c r="F512" s="12" t="n">
        <v>0</v>
      </c>
      <c r="G512" s="12" t="n">
        <v>1</v>
      </c>
      <c r="H512" s="72" t="n"/>
      <c r="I512" s="72" t="n"/>
      <c r="J512" s="72" t="n"/>
      <c r="K512" s="72" t="inlineStr">
        <is>
          <t>3003-1603</t>
        </is>
      </c>
      <c r="L512" s="72" t="inlineStr">
        <is>
          <t>Cash Flow</t>
        </is>
      </c>
    </row>
    <row r="513">
      <c r="A513" s="72" t="inlineStr">
        <is>
          <t>3003-1602</t>
        </is>
      </c>
      <c r="B513" s="72" t="inlineStr">
        <is>
          <t>Compoo Holdings LLC Distribution</t>
        </is>
      </c>
      <c r="C513" s="72" t="inlineStr">
        <is>
          <t>Credit</t>
        </is>
      </c>
      <c r="D513" s="72" t="inlineStr">
        <is>
          <t>Reg</t>
        </is>
      </c>
      <c r="E513" s="72" t="inlineStr">
        <is>
          <t>Bal</t>
        </is>
      </c>
      <c r="F513" s="12" t="n">
        <v>0</v>
      </c>
      <c r="G513" s="12" t="n">
        <v>1</v>
      </c>
      <c r="H513" s="72" t="n"/>
      <c r="I513" s="72" t="n"/>
      <c r="J513" s="72" t="n"/>
      <c r="K513" s="72" t="inlineStr">
        <is>
          <t>3003-1603</t>
        </is>
      </c>
      <c r="L513" s="72" t="inlineStr">
        <is>
          <t>Cash Flow</t>
        </is>
      </c>
    </row>
    <row r="514">
      <c r="A514" s="72" t="inlineStr">
        <is>
          <t>3003-1603</t>
        </is>
      </c>
      <c r="B514" s="72" t="inlineStr">
        <is>
          <t>Compoo Holdings LLC Total</t>
        </is>
      </c>
      <c r="C514" s="72" t="inlineStr">
        <is>
          <t>Credit</t>
        </is>
      </c>
      <c r="D514" s="72" t="inlineStr">
        <is>
          <t>Tot</t>
        </is>
      </c>
      <c r="E514" s="72" t="inlineStr">
        <is>
          <t>Bal</t>
        </is>
      </c>
      <c r="F514" s="12" t="n">
        <v>0</v>
      </c>
      <c r="G514" s="12" t="n">
        <v>1</v>
      </c>
      <c r="H514" s="72" t="n"/>
      <c r="I514" s="72" t="n"/>
      <c r="J514" s="72" t="n"/>
      <c r="K514" s="72" t="inlineStr">
        <is>
          <t>3890-0000</t>
        </is>
      </c>
      <c r="L514" s="72" t="n"/>
    </row>
    <row r="515">
      <c r="A515" s="72" t="inlineStr">
        <is>
          <t>3003-1700</t>
        </is>
      </c>
      <c r="B515" s="72" t="inlineStr">
        <is>
          <t>Arnold Freeman</t>
        </is>
      </c>
      <c r="C515" s="72" t="inlineStr">
        <is>
          <t>Credit</t>
        </is>
      </c>
      <c r="D515" s="72" t="inlineStr">
        <is>
          <t>Head</t>
        </is>
      </c>
      <c r="E515" s="72" t="inlineStr">
        <is>
          <t>Bal</t>
        </is>
      </c>
      <c r="F515" s="12" t="n">
        <v>0</v>
      </c>
      <c r="G515" s="12" t="n">
        <v>1</v>
      </c>
      <c r="H515" s="72" t="n"/>
      <c r="I515" s="72" t="n"/>
      <c r="J515" s="72" t="n"/>
      <c r="K515" s="72" t="inlineStr">
        <is>
          <t>3003-1703</t>
        </is>
      </c>
      <c r="L515" s="72" t="n"/>
    </row>
    <row r="516">
      <c r="A516" s="72" t="inlineStr">
        <is>
          <t>3003-1701</t>
        </is>
      </c>
      <c r="B516" s="72" t="inlineStr">
        <is>
          <t>Arnold Freeman Contribution</t>
        </is>
      </c>
      <c r="C516" s="72" t="inlineStr">
        <is>
          <t>Credit</t>
        </is>
      </c>
      <c r="D516" s="72" t="inlineStr">
        <is>
          <t>Reg</t>
        </is>
      </c>
      <c r="E516" s="72" t="inlineStr">
        <is>
          <t>Bal</t>
        </is>
      </c>
      <c r="F516" s="12" t="n">
        <v>0</v>
      </c>
      <c r="G516" s="12" t="n">
        <v>1</v>
      </c>
      <c r="H516" s="72" t="n"/>
      <c r="I516" s="72" t="n"/>
      <c r="J516" s="72" t="n"/>
      <c r="K516" s="72" t="inlineStr">
        <is>
          <t>3003-1703</t>
        </is>
      </c>
      <c r="L516" s="72" t="inlineStr">
        <is>
          <t>Cash Flow</t>
        </is>
      </c>
    </row>
    <row r="517">
      <c r="A517" s="72" t="inlineStr">
        <is>
          <t>3003-1702</t>
        </is>
      </c>
      <c r="B517" s="72" t="inlineStr">
        <is>
          <t>Arnold Freeman Distribution</t>
        </is>
      </c>
      <c r="C517" s="72" t="inlineStr">
        <is>
          <t>Credit</t>
        </is>
      </c>
      <c r="D517" s="72" t="inlineStr">
        <is>
          <t>Reg</t>
        </is>
      </c>
      <c r="E517" s="72" t="inlineStr">
        <is>
          <t>Bal</t>
        </is>
      </c>
      <c r="F517" s="12" t="n">
        <v>0</v>
      </c>
      <c r="G517" s="12" t="n">
        <v>1</v>
      </c>
      <c r="H517" s="72" t="n"/>
      <c r="I517" s="72" t="n"/>
      <c r="J517" s="72" t="n"/>
      <c r="K517" s="72" t="inlineStr">
        <is>
          <t>3003-1703</t>
        </is>
      </c>
      <c r="L517" s="72" t="inlineStr">
        <is>
          <t>Cash Flow</t>
        </is>
      </c>
    </row>
    <row r="518">
      <c r="A518" s="72" t="inlineStr">
        <is>
          <t>3003-1703</t>
        </is>
      </c>
      <c r="B518" s="72" t="inlineStr">
        <is>
          <t>Arnold Freeman Total</t>
        </is>
      </c>
      <c r="C518" s="72" t="inlineStr">
        <is>
          <t>Credit</t>
        </is>
      </c>
      <c r="D518" s="72" t="inlineStr">
        <is>
          <t>Tot</t>
        </is>
      </c>
      <c r="E518" s="72" t="inlineStr">
        <is>
          <t>Bal</t>
        </is>
      </c>
      <c r="F518" s="12" t="n">
        <v>0</v>
      </c>
      <c r="G518" s="12" t="n">
        <v>1</v>
      </c>
      <c r="H518" s="72" t="n"/>
      <c r="I518" s="72" t="n"/>
      <c r="J518" s="72" t="n"/>
      <c r="K518" s="72" t="inlineStr">
        <is>
          <t>3890-0000</t>
        </is>
      </c>
      <c r="L518" s="72" t="n"/>
    </row>
    <row r="519">
      <c r="A519" s="72" t="inlineStr">
        <is>
          <t>3003-1800</t>
        </is>
      </c>
      <c r="B519" s="72" t="inlineStr">
        <is>
          <t>Clifford Wener</t>
        </is>
      </c>
      <c r="C519" s="72" t="inlineStr">
        <is>
          <t>Credit</t>
        </is>
      </c>
      <c r="D519" s="72" t="inlineStr">
        <is>
          <t>Head</t>
        </is>
      </c>
      <c r="E519" s="72" t="inlineStr">
        <is>
          <t>Bal</t>
        </is>
      </c>
      <c r="F519" s="12" t="n">
        <v>0</v>
      </c>
      <c r="G519" s="12" t="n">
        <v>1</v>
      </c>
      <c r="H519" s="72" t="n"/>
      <c r="I519" s="72" t="n"/>
      <c r="J519" s="72" t="n"/>
      <c r="K519" s="72" t="inlineStr">
        <is>
          <t>3003-1803</t>
        </is>
      </c>
      <c r="L519" s="72" t="n"/>
    </row>
    <row r="520">
      <c r="A520" s="72" t="inlineStr">
        <is>
          <t>3003-1801</t>
        </is>
      </c>
      <c r="B520" s="72" t="inlineStr">
        <is>
          <t>Clifford Wener Contribution</t>
        </is>
      </c>
      <c r="C520" s="72" t="inlineStr">
        <is>
          <t>Credit</t>
        </is>
      </c>
      <c r="D520" s="72" t="inlineStr">
        <is>
          <t>Reg</t>
        </is>
      </c>
      <c r="E520" s="72" t="inlineStr">
        <is>
          <t>Bal</t>
        </is>
      </c>
      <c r="F520" s="12" t="n">
        <v>0</v>
      </c>
      <c r="G520" s="12" t="n">
        <v>1</v>
      </c>
      <c r="H520" s="72" t="n"/>
      <c r="I520" s="72" t="n"/>
      <c r="J520" s="72" t="n"/>
      <c r="K520" s="72" t="inlineStr">
        <is>
          <t>3003-1803</t>
        </is>
      </c>
      <c r="L520" s="72" t="inlineStr">
        <is>
          <t>Cash Flow</t>
        </is>
      </c>
    </row>
    <row r="521">
      <c r="A521" s="72" t="inlineStr">
        <is>
          <t>3003-1802</t>
        </is>
      </c>
      <c r="B521" s="72" t="inlineStr">
        <is>
          <t>Clifford Wener Distribution</t>
        </is>
      </c>
      <c r="C521" s="72" t="inlineStr">
        <is>
          <t>Credit</t>
        </is>
      </c>
      <c r="D521" s="72" t="inlineStr">
        <is>
          <t>Reg</t>
        </is>
      </c>
      <c r="E521" s="72" t="inlineStr">
        <is>
          <t>Bal</t>
        </is>
      </c>
      <c r="F521" s="12" t="n">
        <v>0</v>
      </c>
      <c r="G521" s="12" t="n">
        <v>1</v>
      </c>
      <c r="H521" s="72" t="n"/>
      <c r="I521" s="72" t="n"/>
      <c r="J521" s="72" t="n"/>
      <c r="K521" s="72" t="inlineStr">
        <is>
          <t>3003-1803</t>
        </is>
      </c>
      <c r="L521" s="72" t="inlineStr">
        <is>
          <t>Cash Flow</t>
        </is>
      </c>
    </row>
    <row r="522">
      <c r="A522" s="72" t="inlineStr">
        <is>
          <t>3003-1803</t>
        </is>
      </c>
      <c r="B522" s="72" t="inlineStr">
        <is>
          <t>Clifford Wener Total</t>
        </is>
      </c>
      <c r="C522" s="72" t="inlineStr">
        <is>
          <t>Credit</t>
        </is>
      </c>
      <c r="D522" s="72" t="inlineStr">
        <is>
          <t>Tot</t>
        </is>
      </c>
      <c r="E522" s="72" t="inlineStr">
        <is>
          <t>Bal</t>
        </is>
      </c>
      <c r="F522" s="12" t="n">
        <v>0</v>
      </c>
      <c r="G522" s="12" t="n">
        <v>1</v>
      </c>
      <c r="H522" s="72" t="n"/>
      <c r="I522" s="72" t="n"/>
      <c r="J522" s="72" t="n"/>
      <c r="K522" s="72" t="inlineStr">
        <is>
          <t>3890-0000</t>
        </is>
      </c>
      <c r="L522" s="72" t="n"/>
    </row>
    <row r="523">
      <c r="A523" s="72" t="inlineStr">
        <is>
          <t>3003-2000</t>
        </is>
      </c>
      <c r="B523" s="72" t="inlineStr">
        <is>
          <t>THE DAVID MUTNICK LIVING TRUST</t>
        </is>
      </c>
      <c r="C523" s="72" t="inlineStr">
        <is>
          <t>Credit</t>
        </is>
      </c>
      <c r="D523" s="72" t="inlineStr">
        <is>
          <t>Head</t>
        </is>
      </c>
      <c r="E523" s="72" t="inlineStr">
        <is>
          <t>Bal</t>
        </is>
      </c>
      <c r="F523" s="12" t="n">
        <v>1</v>
      </c>
      <c r="G523" s="12" t="n">
        <v>2</v>
      </c>
      <c r="H523" s="72" t="n"/>
      <c r="I523" s="72" t="n"/>
      <c r="J523" s="72" t="n"/>
      <c r="K523" s="72" t="inlineStr">
        <is>
          <t>3003-2003</t>
        </is>
      </c>
      <c r="L523" s="72" t="n"/>
    </row>
    <row r="524">
      <c r="A524" s="72" t="inlineStr">
        <is>
          <t>3003-2001</t>
        </is>
      </c>
      <c r="B524" s="72" t="inlineStr">
        <is>
          <t>The David Mutnick Living Trust Contribution</t>
        </is>
      </c>
      <c r="C524" s="72" t="inlineStr">
        <is>
          <t>Credit</t>
        </is>
      </c>
      <c r="D524" s="72" t="inlineStr">
        <is>
          <t>Reg</t>
        </is>
      </c>
      <c r="E524" s="72" t="inlineStr">
        <is>
          <t>Bal</t>
        </is>
      </c>
      <c r="F524" s="12" t="n">
        <v>1</v>
      </c>
      <c r="G524" s="12" t="n">
        <v>1</v>
      </c>
      <c r="H524" s="72" t="n"/>
      <c r="I524" s="72" t="n"/>
      <c r="J524" s="72" t="n"/>
      <c r="K524" s="72" t="inlineStr">
        <is>
          <t>3003-2003</t>
        </is>
      </c>
      <c r="L524" s="72" t="inlineStr">
        <is>
          <t>Cash Flow</t>
        </is>
      </c>
    </row>
    <row r="525">
      <c r="A525" s="72" t="inlineStr">
        <is>
          <t>3003-2002</t>
        </is>
      </c>
      <c r="B525" s="72" t="inlineStr">
        <is>
          <t>The David Mutnick Living Trust Distribution</t>
        </is>
      </c>
      <c r="C525" s="72" t="inlineStr">
        <is>
          <t>Credit</t>
        </is>
      </c>
      <c r="D525" s="72" t="inlineStr">
        <is>
          <t>Reg</t>
        </is>
      </c>
      <c r="E525" s="72" t="inlineStr">
        <is>
          <t>Bal</t>
        </is>
      </c>
      <c r="F525" s="12" t="n">
        <v>1</v>
      </c>
      <c r="G525" s="12" t="n">
        <v>1</v>
      </c>
      <c r="H525" s="72" t="n"/>
      <c r="I525" s="72" t="n"/>
      <c r="J525" s="72" t="n"/>
      <c r="K525" s="72" t="inlineStr">
        <is>
          <t>3003-2003</t>
        </is>
      </c>
      <c r="L525" s="72" t="inlineStr">
        <is>
          <t>Cash Flow</t>
        </is>
      </c>
    </row>
    <row r="526">
      <c r="A526" s="72" t="inlineStr">
        <is>
          <t>3003-2003</t>
        </is>
      </c>
      <c r="B526" s="72" t="inlineStr">
        <is>
          <t>THE DAVID MUTNICK LIVING TRUST TOTAL</t>
        </is>
      </c>
      <c r="C526" s="72" t="inlineStr">
        <is>
          <t>Credit</t>
        </is>
      </c>
      <c r="D526" s="72" t="inlineStr">
        <is>
          <t>Tot</t>
        </is>
      </c>
      <c r="E526" s="72" t="inlineStr">
        <is>
          <t>Bal</t>
        </is>
      </c>
      <c r="F526" s="12" t="n">
        <v>1</v>
      </c>
      <c r="G526" s="12" t="n">
        <v>1</v>
      </c>
      <c r="H526" s="72" t="n"/>
      <c r="I526" s="72" t="n"/>
      <c r="J526" s="72" t="n"/>
      <c r="K526" s="72" t="inlineStr">
        <is>
          <t>3890-0000</t>
        </is>
      </c>
      <c r="L526" s="72" t="n"/>
    </row>
    <row r="527">
      <c r="A527" s="72" t="inlineStr">
        <is>
          <t>3003-2010</t>
        </is>
      </c>
      <c r="B527" s="72" t="inlineStr">
        <is>
          <t>EP 235 Executive, LLC Contribution</t>
        </is>
      </c>
      <c r="C527" s="72" t="inlineStr">
        <is>
          <t>Credit</t>
        </is>
      </c>
      <c r="D527" s="72" t="inlineStr">
        <is>
          <t>Reg</t>
        </is>
      </c>
      <c r="E527" s="72" t="inlineStr">
        <is>
          <t>Inc</t>
        </is>
      </c>
      <c r="F527" s="12" t="n">
        <v>0</v>
      </c>
      <c r="G527" s="12" t="n">
        <v>1</v>
      </c>
      <c r="H527" s="72" t="n"/>
      <c r="I527" s="72" t="n"/>
      <c r="J527" s="72" t="n"/>
      <c r="K527" s="72" t="inlineStr">
        <is>
          <t>3003-2012</t>
        </is>
      </c>
      <c r="L527" s="72" t="n"/>
    </row>
    <row r="528">
      <c r="A528" s="72" t="inlineStr">
        <is>
          <t>3003-2012</t>
        </is>
      </c>
      <c r="B528" s="72" t="inlineStr">
        <is>
          <t>EP 235 Executive, LLC Total</t>
        </is>
      </c>
      <c r="C528" s="72" t="inlineStr">
        <is>
          <t>Credit</t>
        </is>
      </c>
      <c r="D528" s="72" t="inlineStr">
        <is>
          <t>Tot</t>
        </is>
      </c>
      <c r="E528" s="72" t="inlineStr">
        <is>
          <t>Bal</t>
        </is>
      </c>
      <c r="F528" s="12" t="n">
        <v>0</v>
      </c>
      <c r="G528" s="12" t="n">
        <v>1</v>
      </c>
      <c r="H528" s="72" t="n"/>
      <c r="I528" s="72" t="n"/>
      <c r="J528" s="72" t="n"/>
      <c r="K528" s="72" t="inlineStr">
        <is>
          <t>3890-0000</t>
        </is>
      </c>
      <c r="L528" s="72" t="n"/>
    </row>
    <row r="529">
      <c r="A529" s="72" t="inlineStr">
        <is>
          <t>3003-3000</t>
        </is>
      </c>
      <c r="B529" s="72" t="inlineStr">
        <is>
          <t>DANIEL BAYLY</t>
        </is>
      </c>
      <c r="C529" s="72" t="inlineStr">
        <is>
          <t>Credit</t>
        </is>
      </c>
      <c r="D529" s="72" t="inlineStr">
        <is>
          <t>Head</t>
        </is>
      </c>
      <c r="E529" s="72" t="inlineStr">
        <is>
          <t>Bal</t>
        </is>
      </c>
      <c r="F529" s="12" t="n">
        <v>1</v>
      </c>
      <c r="G529" s="12" t="n">
        <v>2</v>
      </c>
      <c r="H529" s="72" t="n"/>
      <c r="I529" s="72" t="n"/>
      <c r="J529" s="72" t="n"/>
      <c r="K529" s="72" t="inlineStr">
        <is>
          <t>3003-3003</t>
        </is>
      </c>
      <c r="L529" s="72" t="n"/>
    </row>
    <row r="530">
      <c r="A530" s="72" t="inlineStr">
        <is>
          <t>3003-3001</t>
        </is>
      </c>
      <c r="B530" s="72" t="inlineStr">
        <is>
          <t>Daniel Bayly Contribution</t>
        </is>
      </c>
      <c r="C530" s="72" t="inlineStr">
        <is>
          <t>Credit</t>
        </is>
      </c>
      <c r="D530" s="72" t="inlineStr">
        <is>
          <t>Reg</t>
        </is>
      </c>
      <c r="E530" s="72" t="inlineStr">
        <is>
          <t>Bal</t>
        </is>
      </c>
      <c r="F530" s="12" t="n">
        <v>1</v>
      </c>
      <c r="G530" s="12" t="n">
        <v>1</v>
      </c>
      <c r="H530" s="72" t="n"/>
      <c r="I530" s="72" t="n"/>
      <c r="J530" s="72" t="n"/>
      <c r="K530" s="72" t="inlineStr">
        <is>
          <t>3003-3003</t>
        </is>
      </c>
      <c r="L530" s="72" t="inlineStr">
        <is>
          <t>Cash Flow</t>
        </is>
      </c>
    </row>
    <row r="531">
      <c r="A531" s="72" t="inlineStr">
        <is>
          <t>3003-3002</t>
        </is>
      </c>
      <c r="B531" s="72" t="inlineStr">
        <is>
          <t>Daniel Bayly Distribution</t>
        </is>
      </c>
      <c r="C531" s="72" t="inlineStr">
        <is>
          <t>Credit</t>
        </is>
      </c>
      <c r="D531" s="72" t="inlineStr">
        <is>
          <t>Reg</t>
        </is>
      </c>
      <c r="E531" s="72" t="inlineStr">
        <is>
          <t>Bal</t>
        </is>
      </c>
      <c r="F531" s="12" t="n">
        <v>1</v>
      </c>
      <c r="G531" s="12" t="n">
        <v>1</v>
      </c>
      <c r="H531" s="72" t="n"/>
      <c r="I531" s="72" t="n"/>
      <c r="J531" s="72" t="n"/>
      <c r="K531" s="72" t="inlineStr">
        <is>
          <t>3003-3003</t>
        </is>
      </c>
      <c r="L531" s="72" t="inlineStr">
        <is>
          <t>Cash Flow</t>
        </is>
      </c>
    </row>
    <row r="532">
      <c r="A532" s="72" t="inlineStr">
        <is>
          <t>3003-3003</t>
        </is>
      </c>
      <c r="B532" s="72" t="inlineStr">
        <is>
          <t>DANIEL BAYLY TOTAL</t>
        </is>
      </c>
      <c r="C532" s="72" t="inlineStr">
        <is>
          <t>Credit</t>
        </is>
      </c>
      <c r="D532" s="72" t="inlineStr">
        <is>
          <t>Tot</t>
        </is>
      </c>
      <c r="E532" s="72" t="inlineStr">
        <is>
          <t>Bal</t>
        </is>
      </c>
      <c r="F532" s="12" t="n">
        <v>1</v>
      </c>
      <c r="G532" s="12" t="n">
        <v>1</v>
      </c>
      <c r="H532" s="72" t="n"/>
      <c r="I532" s="72" t="n"/>
      <c r="J532" s="72" t="n"/>
      <c r="K532" s="72" t="inlineStr">
        <is>
          <t>3890-0000</t>
        </is>
      </c>
      <c r="L532" s="72" t="n"/>
    </row>
    <row r="533">
      <c r="A533" s="72" t="inlineStr">
        <is>
          <t>3003-4000</t>
        </is>
      </c>
      <c r="B533" s="72" t="inlineStr">
        <is>
          <t>MAZAL LLC</t>
        </is>
      </c>
      <c r="C533" s="72" t="inlineStr">
        <is>
          <t>Credit</t>
        </is>
      </c>
      <c r="D533" s="72" t="inlineStr">
        <is>
          <t>Head</t>
        </is>
      </c>
      <c r="E533" s="72" t="inlineStr">
        <is>
          <t>Bal</t>
        </is>
      </c>
      <c r="F533" s="12" t="n">
        <v>1</v>
      </c>
      <c r="G533" s="12" t="n">
        <v>2</v>
      </c>
      <c r="H533" s="72" t="n"/>
      <c r="I533" s="72" t="n"/>
      <c r="J533" s="72" t="n"/>
      <c r="K533" s="72" t="inlineStr">
        <is>
          <t>3003-4003</t>
        </is>
      </c>
      <c r="L533" s="72" t="n"/>
    </row>
    <row r="534">
      <c r="A534" s="72" t="inlineStr">
        <is>
          <t>3003-4001</t>
        </is>
      </c>
      <c r="B534" s="72" t="inlineStr">
        <is>
          <t>Mazal LLC Contribution</t>
        </is>
      </c>
      <c r="C534" s="72" t="inlineStr">
        <is>
          <t>Credit</t>
        </is>
      </c>
      <c r="D534" s="72" t="inlineStr">
        <is>
          <t>Reg</t>
        </is>
      </c>
      <c r="E534" s="72" t="inlineStr">
        <is>
          <t>Bal</t>
        </is>
      </c>
      <c r="F534" s="12" t="n">
        <v>1</v>
      </c>
      <c r="G534" s="12" t="n">
        <v>1</v>
      </c>
      <c r="H534" s="72" t="n"/>
      <c r="I534" s="72" t="n"/>
      <c r="J534" s="72" t="n"/>
      <c r="K534" s="72" t="inlineStr">
        <is>
          <t>3003-4003</t>
        </is>
      </c>
      <c r="L534" s="72" t="inlineStr">
        <is>
          <t>Cash Flow</t>
        </is>
      </c>
    </row>
    <row r="535">
      <c r="A535" s="72" t="inlineStr">
        <is>
          <t>3003-4002</t>
        </is>
      </c>
      <c r="B535" s="72" t="inlineStr">
        <is>
          <t>Mazal LLC Distribution</t>
        </is>
      </c>
      <c r="C535" s="72" t="inlineStr">
        <is>
          <t>Credit</t>
        </is>
      </c>
      <c r="D535" s="72" t="inlineStr">
        <is>
          <t>Reg</t>
        </is>
      </c>
      <c r="E535" s="72" t="inlineStr">
        <is>
          <t>Bal</t>
        </is>
      </c>
      <c r="F535" s="12" t="n">
        <v>1</v>
      </c>
      <c r="G535" s="12" t="n">
        <v>1</v>
      </c>
      <c r="H535" s="72" t="n"/>
      <c r="I535" s="72" t="n"/>
      <c r="J535" s="72" t="n"/>
      <c r="K535" s="72" t="inlineStr">
        <is>
          <t>3003-4003</t>
        </is>
      </c>
      <c r="L535" s="72" t="inlineStr">
        <is>
          <t>Cash Flow</t>
        </is>
      </c>
    </row>
    <row r="536">
      <c r="A536" s="72" t="inlineStr">
        <is>
          <t>3003-4003</t>
        </is>
      </c>
      <c r="B536" s="72" t="inlineStr">
        <is>
          <t>MAZAL LLC TOTAL</t>
        </is>
      </c>
      <c r="C536" s="72" t="inlineStr">
        <is>
          <t>Credit</t>
        </is>
      </c>
      <c r="D536" s="72" t="inlineStr">
        <is>
          <t>Tot</t>
        </is>
      </c>
      <c r="E536" s="72" t="inlineStr">
        <is>
          <t>Bal</t>
        </is>
      </c>
      <c r="F536" s="12" t="n">
        <v>1</v>
      </c>
      <c r="G536" s="12" t="n">
        <v>1</v>
      </c>
      <c r="H536" s="72" t="n"/>
      <c r="I536" s="72" t="n"/>
      <c r="J536" s="72" t="n"/>
      <c r="K536" s="72" t="inlineStr">
        <is>
          <t>3890-0000</t>
        </is>
      </c>
      <c r="L536" s="72" t="n"/>
    </row>
    <row r="537">
      <c r="A537" s="72" t="inlineStr">
        <is>
          <t>3003-5000</t>
        </is>
      </c>
      <c r="B537" s="72" t="inlineStr">
        <is>
          <t>W THOMAS CROSS</t>
        </is>
      </c>
      <c r="C537" s="72" t="inlineStr">
        <is>
          <t>Credit</t>
        </is>
      </c>
      <c r="D537" s="72" t="inlineStr">
        <is>
          <t>Head</t>
        </is>
      </c>
      <c r="E537" s="72" t="inlineStr">
        <is>
          <t>Bal</t>
        </is>
      </c>
      <c r="F537" s="12" t="n">
        <v>1</v>
      </c>
      <c r="G537" s="12" t="n">
        <v>2</v>
      </c>
      <c r="H537" s="72" t="n"/>
      <c r="I537" s="72" t="n"/>
      <c r="J537" s="72" t="n"/>
      <c r="K537" s="72" t="inlineStr">
        <is>
          <t>3003-5003</t>
        </is>
      </c>
      <c r="L537" s="72" t="n"/>
    </row>
    <row r="538">
      <c r="A538" s="72" t="inlineStr">
        <is>
          <t>3003-5001</t>
        </is>
      </c>
      <c r="B538" s="72" t="inlineStr">
        <is>
          <t>W Thomas Cross Contribution</t>
        </is>
      </c>
      <c r="C538" s="72" t="inlineStr">
        <is>
          <t>Credit</t>
        </is>
      </c>
      <c r="D538" s="72" t="inlineStr">
        <is>
          <t>Reg</t>
        </is>
      </c>
      <c r="E538" s="72" t="inlineStr">
        <is>
          <t>Bal</t>
        </is>
      </c>
      <c r="F538" s="12" t="n">
        <v>1</v>
      </c>
      <c r="G538" s="12" t="n">
        <v>1</v>
      </c>
      <c r="H538" s="72" t="n"/>
      <c r="I538" s="72" t="n"/>
      <c r="J538" s="72" t="n"/>
      <c r="K538" s="72" t="inlineStr">
        <is>
          <t>3003-5003</t>
        </is>
      </c>
      <c r="L538" s="72" t="inlineStr">
        <is>
          <t>Cash Flow</t>
        </is>
      </c>
    </row>
    <row r="539">
      <c r="A539" s="72" t="inlineStr">
        <is>
          <t>3003-5002</t>
        </is>
      </c>
      <c r="B539" s="72" t="inlineStr">
        <is>
          <t>W Thomas Cross Distribution</t>
        </is>
      </c>
      <c r="C539" s="72" t="inlineStr">
        <is>
          <t>Credit</t>
        </is>
      </c>
      <c r="D539" s="72" t="inlineStr">
        <is>
          <t>Reg</t>
        </is>
      </c>
      <c r="E539" s="72" t="inlineStr">
        <is>
          <t>Bal</t>
        </is>
      </c>
      <c r="F539" s="12" t="n">
        <v>1</v>
      </c>
      <c r="G539" s="12" t="n">
        <v>1</v>
      </c>
      <c r="H539" s="72" t="n"/>
      <c r="I539" s="72" t="n"/>
      <c r="J539" s="72" t="n"/>
      <c r="K539" s="72" t="inlineStr">
        <is>
          <t>3003-5003</t>
        </is>
      </c>
      <c r="L539" s="72" t="inlineStr">
        <is>
          <t>Cash Flow</t>
        </is>
      </c>
    </row>
    <row r="540">
      <c r="A540" s="72" t="inlineStr">
        <is>
          <t>3003-5003</t>
        </is>
      </c>
      <c r="B540" s="72" t="inlineStr">
        <is>
          <t>W THOMAS CROSS TOTAL</t>
        </is>
      </c>
      <c r="C540" s="72" t="inlineStr">
        <is>
          <t>Credit</t>
        </is>
      </c>
      <c r="D540" s="72" t="inlineStr">
        <is>
          <t>Tot</t>
        </is>
      </c>
      <c r="E540" s="72" t="inlineStr">
        <is>
          <t>Bal</t>
        </is>
      </c>
      <c r="F540" s="12" t="n">
        <v>1</v>
      </c>
      <c r="G540" s="12" t="n">
        <v>1</v>
      </c>
      <c r="H540" s="72" t="n"/>
      <c r="I540" s="72" t="n"/>
      <c r="J540" s="72" t="n"/>
      <c r="K540" s="72" t="inlineStr">
        <is>
          <t>3890-0000</t>
        </is>
      </c>
      <c r="L540" s="72" t="n"/>
    </row>
    <row r="541">
      <c r="A541" s="72" t="inlineStr">
        <is>
          <t>3003-6000</t>
        </is>
      </c>
      <c r="B541" s="72" t="inlineStr">
        <is>
          <t>MATTHEW BERTRAM</t>
        </is>
      </c>
      <c r="C541" s="72" t="inlineStr">
        <is>
          <t>Credit</t>
        </is>
      </c>
      <c r="D541" s="72" t="inlineStr">
        <is>
          <t>Head</t>
        </is>
      </c>
      <c r="E541" s="72" t="inlineStr">
        <is>
          <t>Bal</t>
        </is>
      </c>
      <c r="F541" s="12" t="n">
        <v>1</v>
      </c>
      <c r="G541" s="12" t="n">
        <v>2</v>
      </c>
      <c r="H541" s="72" t="n"/>
      <c r="I541" s="72" t="n"/>
      <c r="J541" s="72" t="n"/>
      <c r="K541" s="72" t="inlineStr">
        <is>
          <t>3003-6003</t>
        </is>
      </c>
      <c r="L541" s="72" t="n"/>
    </row>
    <row r="542">
      <c r="A542" s="72" t="inlineStr">
        <is>
          <t>3003-6001</t>
        </is>
      </c>
      <c r="B542" s="72" t="inlineStr">
        <is>
          <t>Matthew Bertram Contribution</t>
        </is>
      </c>
      <c r="C542" s="72" t="inlineStr">
        <is>
          <t>Credit</t>
        </is>
      </c>
      <c r="D542" s="72" t="inlineStr">
        <is>
          <t>Reg</t>
        </is>
      </c>
      <c r="E542" s="72" t="inlineStr">
        <is>
          <t>Bal</t>
        </is>
      </c>
      <c r="F542" s="12" t="n">
        <v>1</v>
      </c>
      <c r="G542" s="12" t="n">
        <v>1</v>
      </c>
      <c r="H542" s="72" t="n"/>
      <c r="I542" s="72" t="n"/>
      <c r="J542" s="72" t="n"/>
      <c r="K542" s="72" t="inlineStr">
        <is>
          <t>3003-6003</t>
        </is>
      </c>
      <c r="L542" s="72" t="inlineStr">
        <is>
          <t>Cash Flow</t>
        </is>
      </c>
    </row>
    <row r="543">
      <c r="A543" s="72" t="inlineStr">
        <is>
          <t>3003-6002</t>
        </is>
      </c>
      <c r="B543" s="72" t="inlineStr">
        <is>
          <t>Matthew Bertram Distribution</t>
        </is>
      </c>
      <c r="C543" s="72" t="inlineStr">
        <is>
          <t>Credit</t>
        </is>
      </c>
      <c r="D543" s="72" t="inlineStr">
        <is>
          <t>Reg</t>
        </is>
      </c>
      <c r="E543" s="72" t="inlineStr">
        <is>
          <t>Bal</t>
        </is>
      </c>
      <c r="F543" s="12" t="n">
        <v>1</v>
      </c>
      <c r="G543" s="12" t="n">
        <v>1</v>
      </c>
      <c r="H543" s="72" t="n"/>
      <c r="I543" s="72" t="n"/>
      <c r="J543" s="72" t="n"/>
      <c r="K543" s="72" t="inlineStr">
        <is>
          <t>3003-6003</t>
        </is>
      </c>
      <c r="L543" s="72" t="inlineStr">
        <is>
          <t>Cash Flow</t>
        </is>
      </c>
    </row>
    <row r="544">
      <c r="A544" s="72" t="inlineStr">
        <is>
          <t>3003-6003</t>
        </is>
      </c>
      <c r="B544" s="72" t="inlineStr">
        <is>
          <t>MATTHEW BERTRAM TOTAL</t>
        </is>
      </c>
      <c r="C544" s="72" t="inlineStr">
        <is>
          <t>Credit</t>
        </is>
      </c>
      <c r="D544" s="72" t="inlineStr">
        <is>
          <t>Tot</t>
        </is>
      </c>
      <c r="E544" s="72" t="inlineStr">
        <is>
          <t>Bal</t>
        </is>
      </c>
      <c r="F544" s="12" t="n">
        <v>1</v>
      </c>
      <c r="G544" s="12" t="n">
        <v>1</v>
      </c>
      <c r="H544" s="72" t="n"/>
      <c r="I544" s="72" t="n"/>
      <c r="J544" s="72" t="n"/>
      <c r="K544" s="72" t="inlineStr">
        <is>
          <t>3890-0000</t>
        </is>
      </c>
      <c r="L544" s="72" t="n"/>
    </row>
    <row r="545">
      <c r="A545" s="72" t="inlineStr">
        <is>
          <t>3003-7000</t>
        </is>
      </c>
      <c r="B545" s="72" t="inlineStr">
        <is>
          <t>MICHAEL PERLSTEIN</t>
        </is>
      </c>
      <c r="C545" s="72" t="inlineStr">
        <is>
          <t>Credit</t>
        </is>
      </c>
      <c r="D545" s="72" t="inlineStr">
        <is>
          <t>Head</t>
        </is>
      </c>
      <c r="E545" s="72" t="inlineStr">
        <is>
          <t>Bal</t>
        </is>
      </c>
      <c r="F545" s="12" t="n">
        <v>1</v>
      </c>
      <c r="G545" s="12" t="n">
        <v>2</v>
      </c>
      <c r="H545" s="72" t="n"/>
      <c r="I545" s="72" t="n"/>
      <c r="J545" s="72" t="n"/>
      <c r="K545" s="72" t="inlineStr">
        <is>
          <t>3003-7003</t>
        </is>
      </c>
      <c r="L545" s="72" t="n"/>
    </row>
    <row r="546">
      <c r="A546" s="72" t="inlineStr">
        <is>
          <t>3003-7001</t>
        </is>
      </c>
      <c r="B546" s="72" t="inlineStr">
        <is>
          <t>Michael Perlstein Contribution</t>
        </is>
      </c>
      <c r="C546" s="72" t="inlineStr">
        <is>
          <t>Credit</t>
        </is>
      </c>
      <c r="D546" s="72" t="inlineStr">
        <is>
          <t>Reg</t>
        </is>
      </c>
      <c r="E546" s="72" t="inlineStr">
        <is>
          <t>Bal</t>
        </is>
      </c>
      <c r="F546" s="12" t="n">
        <v>1</v>
      </c>
      <c r="G546" s="12" t="n">
        <v>1</v>
      </c>
      <c r="H546" s="72" t="n"/>
      <c r="I546" s="72" t="n"/>
      <c r="J546" s="72" t="n"/>
      <c r="K546" s="72" t="inlineStr">
        <is>
          <t>3003-7003</t>
        </is>
      </c>
      <c r="L546" s="72" t="inlineStr">
        <is>
          <t>Cash Flow</t>
        </is>
      </c>
    </row>
    <row r="547">
      <c r="A547" s="72" t="inlineStr">
        <is>
          <t>3003-7002</t>
        </is>
      </c>
      <c r="B547" s="72" t="inlineStr">
        <is>
          <t>Michael Perlstein Distribution</t>
        </is>
      </c>
      <c r="C547" s="72" t="inlineStr">
        <is>
          <t>Credit</t>
        </is>
      </c>
      <c r="D547" s="72" t="inlineStr">
        <is>
          <t>Reg</t>
        </is>
      </c>
      <c r="E547" s="72" t="inlineStr">
        <is>
          <t>Bal</t>
        </is>
      </c>
      <c r="F547" s="12" t="n">
        <v>1</v>
      </c>
      <c r="G547" s="12" t="n">
        <v>1</v>
      </c>
      <c r="H547" s="72" t="n"/>
      <c r="I547" s="72" t="n"/>
      <c r="J547" s="72" t="n"/>
      <c r="K547" s="72" t="inlineStr">
        <is>
          <t>3003-7003</t>
        </is>
      </c>
      <c r="L547" s="72" t="inlineStr">
        <is>
          <t>Cash Flow</t>
        </is>
      </c>
    </row>
    <row r="548">
      <c r="A548" s="72" t="inlineStr">
        <is>
          <t>3003-7003</t>
        </is>
      </c>
      <c r="B548" s="72" t="inlineStr">
        <is>
          <t>MICHAEL PERLSTEIN TOTAL</t>
        </is>
      </c>
      <c r="C548" s="72" t="inlineStr">
        <is>
          <t>Credit</t>
        </is>
      </c>
      <c r="D548" s="72" t="inlineStr">
        <is>
          <t>Tot</t>
        </is>
      </c>
      <c r="E548" s="72" t="inlineStr">
        <is>
          <t>Bal</t>
        </is>
      </c>
      <c r="F548" s="12" t="n">
        <v>1</v>
      </c>
      <c r="G548" s="12" t="n">
        <v>1</v>
      </c>
      <c r="H548" s="72" t="n"/>
      <c r="I548" s="72" t="n"/>
      <c r="J548" s="72" t="n"/>
      <c r="K548" s="72" t="inlineStr">
        <is>
          <t>3890-0000</t>
        </is>
      </c>
      <c r="L548" s="72" t="n"/>
    </row>
    <row r="549">
      <c r="A549" s="72" t="inlineStr">
        <is>
          <t>3003-8000</t>
        </is>
      </c>
      <c r="B549" s="72" t="inlineStr">
        <is>
          <t>TREE TOP INVESTMENTS LLC</t>
        </is>
      </c>
      <c r="C549" s="72" t="inlineStr">
        <is>
          <t>Credit</t>
        </is>
      </c>
      <c r="D549" s="72" t="inlineStr">
        <is>
          <t>Head</t>
        </is>
      </c>
      <c r="E549" s="72" t="inlineStr">
        <is>
          <t>Bal</t>
        </is>
      </c>
      <c r="F549" s="12" t="n">
        <v>1</v>
      </c>
      <c r="G549" s="12" t="n">
        <v>2</v>
      </c>
      <c r="H549" s="72" t="n"/>
      <c r="I549" s="72" t="n"/>
      <c r="J549" s="72" t="n"/>
      <c r="K549" s="72" t="inlineStr">
        <is>
          <t>3003-8003</t>
        </is>
      </c>
      <c r="L549" s="72" t="n"/>
    </row>
    <row r="550">
      <c r="A550" s="72" t="inlineStr">
        <is>
          <t>3003-8001</t>
        </is>
      </c>
      <c r="B550" s="72" t="inlineStr">
        <is>
          <t>Tree Top Investments LLC Contribution</t>
        </is>
      </c>
      <c r="C550" s="72" t="inlineStr">
        <is>
          <t>Credit</t>
        </is>
      </c>
      <c r="D550" s="72" t="inlineStr">
        <is>
          <t>Reg</t>
        </is>
      </c>
      <c r="E550" s="72" t="inlineStr">
        <is>
          <t>Bal</t>
        </is>
      </c>
      <c r="F550" s="12" t="n">
        <v>1</v>
      </c>
      <c r="G550" s="12" t="n">
        <v>1</v>
      </c>
      <c r="H550" s="72" t="n"/>
      <c r="I550" s="72" t="n"/>
      <c r="J550" s="72" t="n"/>
      <c r="K550" s="72" t="inlineStr">
        <is>
          <t>3003-8003</t>
        </is>
      </c>
      <c r="L550" s="72" t="inlineStr">
        <is>
          <t>Cash Flow</t>
        </is>
      </c>
    </row>
    <row r="551">
      <c r="A551" s="72" t="inlineStr">
        <is>
          <t>3003-8002</t>
        </is>
      </c>
      <c r="B551" s="72" t="inlineStr">
        <is>
          <t>Tree Top Investments LLC Distribution</t>
        </is>
      </c>
      <c r="C551" s="72" t="inlineStr">
        <is>
          <t>Credit</t>
        </is>
      </c>
      <c r="D551" s="72" t="inlineStr">
        <is>
          <t>Reg</t>
        </is>
      </c>
      <c r="E551" s="72" t="inlineStr">
        <is>
          <t>Bal</t>
        </is>
      </c>
      <c r="F551" s="12" t="n">
        <v>1</v>
      </c>
      <c r="G551" s="12" t="n">
        <v>1</v>
      </c>
      <c r="H551" s="72" t="n"/>
      <c r="I551" s="72" t="n"/>
      <c r="J551" s="72" t="n"/>
      <c r="K551" s="72" t="inlineStr">
        <is>
          <t>3003-8003</t>
        </is>
      </c>
      <c r="L551" s="72" t="inlineStr">
        <is>
          <t>Cash Flow</t>
        </is>
      </c>
    </row>
    <row r="552">
      <c r="A552" s="72" t="inlineStr">
        <is>
          <t>3003-8003</t>
        </is>
      </c>
      <c r="B552" s="72" t="inlineStr">
        <is>
          <t>TREE TOP INVESTMENTS LLC TOTAL</t>
        </is>
      </c>
      <c r="C552" s="72" t="inlineStr">
        <is>
          <t>Credit</t>
        </is>
      </c>
      <c r="D552" s="72" t="inlineStr">
        <is>
          <t>Tot</t>
        </is>
      </c>
      <c r="E552" s="72" t="inlineStr">
        <is>
          <t>Bal</t>
        </is>
      </c>
      <c r="F552" s="12" t="n">
        <v>1</v>
      </c>
      <c r="G552" s="12" t="n">
        <v>1</v>
      </c>
      <c r="H552" s="72" t="n"/>
      <c r="I552" s="72" t="n"/>
      <c r="J552" s="72" t="n"/>
      <c r="K552" s="72" t="inlineStr">
        <is>
          <t>3890-0000</t>
        </is>
      </c>
      <c r="L552" s="72" t="n"/>
    </row>
    <row r="553">
      <c r="A553" s="72" t="inlineStr">
        <is>
          <t>3003-9000</t>
        </is>
      </c>
      <c r="B553" s="72" t="inlineStr">
        <is>
          <t>SL &amp; LS INVESTMENT, LLC</t>
        </is>
      </c>
      <c r="C553" s="72" t="inlineStr">
        <is>
          <t>Credit</t>
        </is>
      </c>
      <c r="D553" s="72" t="inlineStr">
        <is>
          <t>Head</t>
        </is>
      </c>
      <c r="E553" s="72" t="inlineStr">
        <is>
          <t>Bal</t>
        </is>
      </c>
      <c r="F553" s="12" t="n">
        <v>1</v>
      </c>
      <c r="G553" s="12" t="n">
        <v>2</v>
      </c>
      <c r="H553" s="72" t="n"/>
      <c r="I553" s="72" t="n"/>
      <c r="J553" s="72" t="n"/>
      <c r="K553" s="72" t="inlineStr">
        <is>
          <t>3003-9003</t>
        </is>
      </c>
      <c r="L553" s="72" t="n"/>
    </row>
    <row r="554">
      <c r="A554" s="72" t="inlineStr">
        <is>
          <t>3003-9001</t>
        </is>
      </c>
      <c r="B554" s="72" t="inlineStr">
        <is>
          <t>SL &amp; LS Investment Contribution</t>
        </is>
      </c>
      <c r="C554" s="72" t="inlineStr">
        <is>
          <t>Credit</t>
        </is>
      </c>
      <c r="D554" s="72" t="inlineStr">
        <is>
          <t>Reg</t>
        </is>
      </c>
      <c r="E554" s="72" t="inlineStr">
        <is>
          <t>Bal</t>
        </is>
      </c>
      <c r="F554" s="12" t="n">
        <v>1</v>
      </c>
      <c r="G554" s="12" t="n">
        <v>1</v>
      </c>
      <c r="H554" s="72" t="n"/>
      <c r="I554" s="72" t="n"/>
      <c r="J554" s="72" t="n"/>
      <c r="K554" s="72" t="inlineStr">
        <is>
          <t>3003-9003</t>
        </is>
      </c>
      <c r="L554" s="72" t="inlineStr">
        <is>
          <t>Cash Flow</t>
        </is>
      </c>
    </row>
    <row r="555">
      <c r="A555" s="72" t="inlineStr">
        <is>
          <t>3003-9002</t>
        </is>
      </c>
      <c r="B555" s="72" t="inlineStr">
        <is>
          <t>SL &amp; LS Investment Distribution</t>
        </is>
      </c>
      <c r="C555" s="72" t="inlineStr">
        <is>
          <t>Credit</t>
        </is>
      </c>
      <c r="D555" s="72" t="inlineStr">
        <is>
          <t>Reg</t>
        </is>
      </c>
      <c r="E555" s="72" t="inlineStr">
        <is>
          <t>Bal</t>
        </is>
      </c>
      <c r="F555" s="12" t="n">
        <v>1</v>
      </c>
      <c r="G555" s="12" t="n">
        <v>1</v>
      </c>
      <c r="H555" s="72" t="n"/>
      <c r="I555" s="72" t="n"/>
      <c r="J555" s="72" t="n"/>
      <c r="K555" s="72" t="inlineStr">
        <is>
          <t>3003-9003</t>
        </is>
      </c>
      <c r="L555" s="72" t="inlineStr">
        <is>
          <t>Cash Flow</t>
        </is>
      </c>
    </row>
    <row r="556">
      <c r="A556" s="72" t="inlineStr">
        <is>
          <t>3003-9003</t>
        </is>
      </c>
      <c r="B556" s="72" t="inlineStr">
        <is>
          <t>SL &amp; LS INVESTMENT TOTAL</t>
        </is>
      </c>
      <c r="C556" s="72" t="inlineStr">
        <is>
          <t>Credit</t>
        </is>
      </c>
      <c r="D556" s="72" t="inlineStr">
        <is>
          <t>Tot</t>
        </is>
      </c>
      <c r="E556" s="72" t="inlineStr">
        <is>
          <t>Bal</t>
        </is>
      </c>
      <c r="F556" s="12" t="n">
        <v>1</v>
      </c>
      <c r="G556" s="12" t="n">
        <v>1</v>
      </c>
      <c r="H556" s="72" t="n"/>
      <c r="I556" s="72" t="n"/>
      <c r="J556" s="72" t="n"/>
      <c r="K556" s="72" t="inlineStr">
        <is>
          <t>3890-0000</t>
        </is>
      </c>
      <c r="L556" s="72" t="n"/>
    </row>
    <row r="557">
      <c r="A557" s="72" t="inlineStr">
        <is>
          <t>3004-0000</t>
        </is>
      </c>
      <c r="B557" s="72" t="inlineStr">
        <is>
          <t>EP LEGACY, LLC</t>
        </is>
      </c>
      <c r="C557" s="72" t="inlineStr">
        <is>
          <t>Credit</t>
        </is>
      </c>
      <c r="D557" s="72" t="inlineStr">
        <is>
          <t>Head</t>
        </is>
      </c>
      <c r="E557" s="72" t="inlineStr">
        <is>
          <t>Bal</t>
        </is>
      </c>
      <c r="F557" s="12" t="n">
        <v>1</v>
      </c>
      <c r="G557" s="12" t="n">
        <v>2</v>
      </c>
      <c r="H557" s="72" t="n"/>
      <c r="I557" s="72" t="n"/>
      <c r="J557" s="72" t="n"/>
      <c r="K557" s="72" t="inlineStr">
        <is>
          <t>3005-1003</t>
        </is>
      </c>
      <c r="L557" s="72" t="n"/>
    </row>
    <row r="558">
      <c r="A558" s="72" t="inlineStr">
        <is>
          <t>3005-1000</t>
        </is>
      </c>
      <c r="B558" s="72" t="inlineStr">
        <is>
          <t>EP Legacy Capital Account</t>
        </is>
      </c>
      <c r="C558" s="72" t="inlineStr">
        <is>
          <t>Credit</t>
        </is>
      </c>
      <c r="D558" s="72" t="inlineStr">
        <is>
          <t>Reg</t>
        </is>
      </c>
      <c r="E558" s="72" t="inlineStr">
        <is>
          <t>Bal</t>
        </is>
      </c>
      <c r="F558" s="12" t="n">
        <v>1</v>
      </c>
      <c r="G558" s="12" t="n">
        <v>1</v>
      </c>
      <c r="H558" s="72" t="n"/>
      <c r="I558" s="72" t="n"/>
      <c r="J558" s="72" t="n"/>
      <c r="K558" s="72" t="inlineStr">
        <is>
          <t>3005-1003</t>
        </is>
      </c>
      <c r="L558" s="72" t="inlineStr">
        <is>
          <t>Cash Flow</t>
        </is>
      </c>
    </row>
    <row r="559">
      <c r="A559" s="72" t="inlineStr">
        <is>
          <t>3005-1001</t>
        </is>
      </c>
      <c r="B559" s="72" t="inlineStr">
        <is>
          <t>EP Legacy Contribution</t>
        </is>
      </c>
      <c r="C559" s="72" t="inlineStr">
        <is>
          <t>Credit</t>
        </is>
      </c>
      <c r="D559" s="72" t="inlineStr">
        <is>
          <t>Reg</t>
        </is>
      </c>
      <c r="E559" s="72" t="inlineStr">
        <is>
          <t>Bal</t>
        </is>
      </c>
      <c r="F559" s="12" t="n">
        <v>1</v>
      </c>
      <c r="G559" s="12" t="n">
        <v>1</v>
      </c>
      <c r="H559" s="72" t="n"/>
      <c r="I559" s="72" t="n"/>
      <c r="J559" s="72" t="n"/>
      <c r="K559" s="72" t="inlineStr">
        <is>
          <t>3005-1003</t>
        </is>
      </c>
      <c r="L559" s="72" t="inlineStr">
        <is>
          <t>Cash Flow</t>
        </is>
      </c>
    </row>
    <row r="560">
      <c r="A560" s="72" t="inlineStr">
        <is>
          <t>3005-1002</t>
        </is>
      </c>
      <c r="B560" s="72" t="inlineStr">
        <is>
          <t>EP Legacy Distribution</t>
        </is>
      </c>
      <c r="C560" s="72" t="inlineStr">
        <is>
          <t>Credit</t>
        </is>
      </c>
      <c r="D560" s="72" t="inlineStr">
        <is>
          <t>Reg</t>
        </is>
      </c>
      <c r="E560" s="72" t="inlineStr">
        <is>
          <t>Bal</t>
        </is>
      </c>
      <c r="F560" s="12" t="n">
        <v>1</v>
      </c>
      <c r="G560" s="12" t="n">
        <v>1</v>
      </c>
      <c r="H560" s="72" t="n"/>
      <c r="I560" s="72" t="n"/>
      <c r="J560" s="72" t="n"/>
      <c r="K560" s="72" t="inlineStr">
        <is>
          <t>3005-1003</t>
        </is>
      </c>
      <c r="L560" s="72" t="inlineStr">
        <is>
          <t>Cash Flow</t>
        </is>
      </c>
    </row>
    <row r="561">
      <c r="A561" s="72" t="inlineStr">
        <is>
          <t>3005-1003</t>
        </is>
      </c>
      <c r="B561" s="72" t="inlineStr">
        <is>
          <t>EP LEGACY TOTAL</t>
        </is>
      </c>
      <c r="C561" s="72" t="inlineStr">
        <is>
          <t>Credit</t>
        </is>
      </c>
      <c r="D561" s="72" t="inlineStr">
        <is>
          <t>Tot</t>
        </is>
      </c>
      <c r="E561" s="72" t="inlineStr">
        <is>
          <t>Bal</t>
        </is>
      </c>
      <c r="F561" s="12" t="n">
        <v>1</v>
      </c>
      <c r="G561" s="12" t="n">
        <v>1</v>
      </c>
      <c r="H561" s="72" t="n"/>
      <c r="I561" s="72" t="n"/>
      <c r="J561" s="72" t="n"/>
      <c r="K561" s="72" t="inlineStr">
        <is>
          <t>3890-0000</t>
        </is>
      </c>
      <c r="L561" s="72" t="n"/>
    </row>
    <row r="562">
      <c r="A562" s="72" t="inlineStr">
        <is>
          <t>3006-0000</t>
        </is>
      </c>
      <c r="B562" s="72" t="inlineStr">
        <is>
          <t>EP 3236-30 Ashland Capital</t>
        </is>
      </c>
      <c r="C562" s="72" t="inlineStr">
        <is>
          <t>Credit</t>
        </is>
      </c>
      <c r="D562" s="72" t="inlineStr">
        <is>
          <t>Head</t>
        </is>
      </c>
      <c r="E562" s="72" t="inlineStr">
        <is>
          <t>Bal</t>
        </is>
      </c>
      <c r="F562" s="12" t="n">
        <v>1</v>
      </c>
      <c r="G562" s="12" t="n">
        <v>2</v>
      </c>
      <c r="H562" s="72" t="n"/>
      <c r="I562" s="72" t="n"/>
      <c r="J562" s="72" t="n"/>
      <c r="K562" s="72" t="inlineStr">
        <is>
          <t>3006-1003</t>
        </is>
      </c>
      <c r="L562" s="72" t="n"/>
    </row>
    <row r="563">
      <c r="A563" s="72" t="inlineStr">
        <is>
          <t>3006-1001</t>
        </is>
      </c>
      <c r="B563" s="72" t="inlineStr">
        <is>
          <t>EP 3236-30 Ashland Contribution</t>
        </is>
      </c>
      <c r="C563" s="72" t="inlineStr">
        <is>
          <t>Credit</t>
        </is>
      </c>
      <c r="D563" s="72" t="inlineStr">
        <is>
          <t>Reg</t>
        </is>
      </c>
      <c r="E563" s="72" t="inlineStr">
        <is>
          <t>Bal</t>
        </is>
      </c>
      <c r="F563" s="12" t="n">
        <v>1</v>
      </c>
      <c r="G563" s="12" t="n">
        <v>1</v>
      </c>
      <c r="H563" s="72" t="n"/>
      <c r="I563" s="72" t="n"/>
      <c r="J563" s="72" t="n"/>
      <c r="K563" s="72" t="inlineStr">
        <is>
          <t>3006-1003</t>
        </is>
      </c>
      <c r="L563" s="72" t="inlineStr">
        <is>
          <t>Cash Flow</t>
        </is>
      </c>
    </row>
    <row r="564">
      <c r="A564" s="72" t="inlineStr">
        <is>
          <t>3006-1002</t>
        </is>
      </c>
      <c r="B564" s="72" t="inlineStr">
        <is>
          <t>EP 3236-30 Ashland Distribution</t>
        </is>
      </c>
      <c r="C564" s="72" t="inlineStr">
        <is>
          <t>Credit</t>
        </is>
      </c>
      <c r="D564" s="72" t="inlineStr">
        <is>
          <t>Reg</t>
        </is>
      </c>
      <c r="E564" s="72" t="inlineStr">
        <is>
          <t>Bal</t>
        </is>
      </c>
      <c r="F564" s="12" t="n">
        <v>1</v>
      </c>
      <c r="G564" s="12" t="n">
        <v>1</v>
      </c>
      <c r="H564" s="72" t="n"/>
      <c r="I564" s="72" t="n"/>
      <c r="J564" s="72" t="n"/>
      <c r="K564" s="72" t="inlineStr">
        <is>
          <t>3006-1003</t>
        </is>
      </c>
      <c r="L564" s="72" t="inlineStr">
        <is>
          <t>Cash Flow</t>
        </is>
      </c>
    </row>
    <row r="565">
      <c r="A565" s="72" t="inlineStr">
        <is>
          <t>3006-1003</t>
        </is>
      </c>
      <c r="B565" s="72" t="inlineStr">
        <is>
          <t>EP 3826-30 Ashland Capital Account TOTAL</t>
        </is>
      </c>
      <c r="C565" s="72" t="inlineStr">
        <is>
          <t>Credit</t>
        </is>
      </c>
      <c r="D565" s="72" t="inlineStr">
        <is>
          <t>Tot</t>
        </is>
      </c>
      <c r="E565" s="72" t="inlineStr">
        <is>
          <t>Bal</t>
        </is>
      </c>
      <c r="F565" s="12" t="n">
        <v>1</v>
      </c>
      <c r="G565" s="12" t="n">
        <v>1</v>
      </c>
      <c r="H565" s="72" t="n"/>
      <c r="I565" s="72" t="n"/>
      <c r="J565" s="72" t="n"/>
      <c r="K565" s="72" t="inlineStr">
        <is>
          <t>3890-0000</t>
        </is>
      </c>
      <c r="L565" s="72" t="n"/>
    </row>
    <row r="566">
      <c r="A566" s="72" t="inlineStr">
        <is>
          <t>3006-1004</t>
        </is>
      </c>
      <c r="B566" s="72" t="inlineStr">
        <is>
          <t>11200 Kiley Storage, LLC Capital</t>
        </is>
      </c>
      <c r="C566" s="72" t="inlineStr">
        <is>
          <t>Credit</t>
        </is>
      </c>
      <c r="D566" s="72" t="inlineStr">
        <is>
          <t>Head</t>
        </is>
      </c>
      <c r="E566" s="72" t="inlineStr">
        <is>
          <t>Bal</t>
        </is>
      </c>
      <c r="F566" s="12" t="n">
        <v>0</v>
      </c>
      <c r="G566" s="12" t="n">
        <v>2</v>
      </c>
      <c r="H566" s="72" t="n"/>
      <c r="I566" s="72" t="n"/>
      <c r="J566" s="72" t="n"/>
      <c r="K566" s="72" t="inlineStr">
        <is>
          <t>3006-1007</t>
        </is>
      </c>
      <c r="L566" s="72" t="n"/>
    </row>
    <row r="567">
      <c r="A567" s="72" t="inlineStr">
        <is>
          <t>3006-1005</t>
        </is>
      </c>
      <c r="B567" s="72" t="inlineStr">
        <is>
          <t>11200 Kiley Storage Contribution</t>
        </is>
      </c>
      <c r="C567" s="72" t="inlineStr">
        <is>
          <t>Credit</t>
        </is>
      </c>
      <c r="D567" s="72" t="inlineStr">
        <is>
          <t>Reg</t>
        </is>
      </c>
      <c r="E567" s="72" t="inlineStr">
        <is>
          <t>Bal</t>
        </is>
      </c>
      <c r="F567" s="12" t="n">
        <v>1</v>
      </c>
      <c r="G567" s="12" t="n">
        <v>1</v>
      </c>
      <c r="H567" s="72" t="n"/>
      <c r="I567" s="72" t="n"/>
      <c r="J567" s="72" t="n"/>
      <c r="K567" s="72" t="inlineStr">
        <is>
          <t>3006-1007</t>
        </is>
      </c>
      <c r="L567" s="72" t="inlineStr">
        <is>
          <t>Cash Flow</t>
        </is>
      </c>
    </row>
    <row r="568">
      <c r="A568" s="72" t="inlineStr">
        <is>
          <t>3006-1006</t>
        </is>
      </c>
      <c r="B568" s="72" t="inlineStr">
        <is>
          <t>11200 Kiley Storage Distribution</t>
        </is>
      </c>
      <c r="C568" s="72" t="inlineStr">
        <is>
          <t>Credit</t>
        </is>
      </c>
      <c r="D568" s="72" t="inlineStr">
        <is>
          <t>Reg</t>
        </is>
      </c>
      <c r="E568" s="72" t="inlineStr">
        <is>
          <t>Bal</t>
        </is>
      </c>
      <c r="F568" s="12" t="n">
        <v>1</v>
      </c>
      <c r="G568" s="12" t="n">
        <v>1</v>
      </c>
      <c r="H568" s="72" t="n"/>
      <c r="I568" s="72" t="n"/>
      <c r="J568" s="72" t="n"/>
      <c r="K568" s="72" t="inlineStr">
        <is>
          <t>3006-1007</t>
        </is>
      </c>
      <c r="L568" s="72" t="inlineStr">
        <is>
          <t>Cash Flow</t>
        </is>
      </c>
    </row>
    <row r="569">
      <c r="A569" s="72" t="inlineStr">
        <is>
          <t>3006-1007</t>
        </is>
      </c>
      <c r="B569" s="72" t="inlineStr">
        <is>
          <t>11200 Kiley Storage, LLC Total</t>
        </is>
      </c>
      <c r="C569" s="72" t="inlineStr">
        <is>
          <t>Credit</t>
        </is>
      </c>
      <c r="D569" s="72" t="inlineStr">
        <is>
          <t>Tot</t>
        </is>
      </c>
      <c r="E569" s="72" t="inlineStr">
        <is>
          <t>Bal</t>
        </is>
      </c>
      <c r="F569" s="12" t="n">
        <v>0</v>
      </c>
      <c r="G569" s="12" t="n">
        <v>1</v>
      </c>
      <c r="H569" s="72" t="n"/>
      <c r="I569" s="72" t="n"/>
      <c r="J569" s="72" t="n"/>
      <c r="K569" s="72" t="inlineStr">
        <is>
          <t>3890-0000</t>
        </is>
      </c>
      <c r="L569" s="72" t="n"/>
    </row>
    <row r="570">
      <c r="A570" s="72" t="inlineStr">
        <is>
          <t>3006-1008</t>
        </is>
      </c>
      <c r="B570" s="72" t="inlineStr">
        <is>
          <t>Sugar Mama Trust Capital</t>
        </is>
      </c>
      <c r="C570" s="72" t="inlineStr">
        <is>
          <t>Credit</t>
        </is>
      </c>
      <c r="D570" s="72" t="inlineStr">
        <is>
          <t>Head</t>
        </is>
      </c>
      <c r="E570" s="72" t="inlineStr">
        <is>
          <t>Bal</t>
        </is>
      </c>
      <c r="F570" s="12" t="n">
        <v>0</v>
      </c>
      <c r="G570" s="12" t="n">
        <v>2</v>
      </c>
      <c r="H570" s="72" t="n"/>
      <c r="I570" s="72" t="n"/>
      <c r="J570" s="72" t="n"/>
      <c r="K570" s="72" t="inlineStr">
        <is>
          <t>3006-1011</t>
        </is>
      </c>
      <c r="L570" s="72" t="n"/>
    </row>
    <row r="571">
      <c r="A571" s="72" t="inlineStr">
        <is>
          <t>3006-1009</t>
        </is>
      </c>
      <c r="B571" s="72" t="inlineStr">
        <is>
          <t>Sugar Mama Trust Contribution</t>
        </is>
      </c>
      <c r="C571" s="72" t="inlineStr">
        <is>
          <t>Credit</t>
        </is>
      </c>
      <c r="D571" s="72" t="inlineStr">
        <is>
          <t>Reg</t>
        </is>
      </c>
      <c r="E571" s="72" t="inlineStr">
        <is>
          <t>Bal</t>
        </is>
      </c>
      <c r="F571" s="12" t="n">
        <v>1</v>
      </c>
      <c r="G571" s="12" t="n">
        <v>1</v>
      </c>
      <c r="H571" s="72" t="n"/>
      <c r="I571" s="72" t="n"/>
      <c r="J571" s="72" t="n"/>
      <c r="K571" s="72" t="inlineStr">
        <is>
          <t>3006-1011</t>
        </is>
      </c>
      <c r="L571" s="72" t="inlineStr">
        <is>
          <t>Cash Flow</t>
        </is>
      </c>
    </row>
    <row r="572">
      <c r="A572" s="72" t="inlineStr">
        <is>
          <t>3006-1010</t>
        </is>
      </c>
      <c r="B572" s="72" t="inlineStr">
        <is>
          <t>Sugar Mama Trust Distribution</t>
        </is>
      </c>
      <c r="C572" s="72" t="inlineStr">
        <is>
          <t>Credit</t>
        </is>
      </c>
      <c r="D572" s="72" t="inlineStr">
        <is>
          <t>Reg</t>
        </is>
      </c>
      <c r="E572" s="72" t="inlineStr">
        <is>
          <t>Bal</t>
        </is>
      </c>
      <c r="F572" s="12" t="n">
        <v>1</v>
      </c>
      <c r="G572" s="12" t="n">
        <v>1</v>
      </c>
      <c r="H572" s="72" t="n"/>
      <c r="I572" s="72" t="n"/>
      <c r="J572" s="72" t="n"/>
      <c r="K572" s="72" t="inlineStr">
        <is>
          <t>3006-1011</t>
        </is>
      </c>
      <c r="L572" s="72" t="inlineStr">
        <is>
          <t>Cash Flow</t>
        </is>
      </c>
    </row>
    <row r="573">
      <c r="A573" s="72" t="inlineStr">
        <is>
          <t>3006-1011</t>
        </is>
      </c>
      <c r="B573" s="72" t="inlineStr">
        <is>
          <t>Sugar Mama Trust Total</t>
        </is>
      </c>
      <c r="C573" s="72" t="inlineStr">
        <is>
          <t>Credit</t>
        </is>
      </c>
      <c r="D573" s="72" t="inlineStr">
        <is>
          <t>Tot</t>
        </is>
      </c>
      <c r="E573" s="72" t="inlineStr">
        <is>
          <t>Bal</t>
        </is>
      </c>
      <c r="F573" s="12" t="n">
        <v>0</v>
      </c>
      <c r="G573" s="12" t="n">
        <v>1</v>
      </c>
      <c r="H573" s="72" t="n"/>
      <c r="I573" s="72" t="n"/>
      <c r="J573" s="72" t="n"/>
      <c r="K573" s="72" t="inlineStr">
        <is>
          <t>3890-0000</t>
        </is>
      </c>
      <c r="L573" s="72" t="n"/>
    </row>
    <row r="574">
      <c r="A574" s="72" t="inlineStr">
        <is>
          <t>3006-1012</t>
        </is>
      </c>
      <c r="B574" s="72" t="inlineStr">
        <is>
          <t>Maurice Tanner Capital</t>
        </is>
      </c>
      <c r="C574" s="72" t="inlineStr">
        <is>
          <t>Credit</t>
        </is>
      </c>
      <c r="D574" s="72" t="inlineStr">
        <is>
          <t>Head</t>
        </is>
      </c>
      <c r="E574" s="72" t="inlineStr">
        <is>
          <t>Bal</t>
        </is>
      </c>
      <c r="F574" s="12" t="n">
        <v>0</v>
      </c>
      <c r="G574" s="12" t="n">
        <v>2</v>
      </c>
      <c r="H574" s="72" t="n"/>
      <c r="I574" s="72" t="n"/>
      <c r="J574" s="72" t="n"/>
      <c r="K574" s="72" t="inlineStr">
        <is>
          <t>3006-1015</t>
        </is>
      </c>
      <c r="L574" s="72" t="n"/>
    </row>
    <row r="575">
      <c r="A575" s="72" t="inlineStr">
        <is>
          <t>3006-1013</t>
        </is>
      </c>
      <c r="B575" s="72" t="inlineStr">
        <is>
          <t>Maurice Tanner Contribution</t>
        </is>
      </c>
      <c r="C575" s="72" t="inlineStr">
        <is>
          <t>Credit</t>
        </is>
      </c>
      <c r="D575" s="72" t="inlineStr">
        <is>
          <t>Reg</t>
        </is>
      </c>
      <c r="E575" s="72" t="inlineStr">
        <is>
          <t>Bal</t>
        </is>
      </c>
      <c r="F575" s="12" t="n">
        <v>1</v>
      </c>
      <c r="G575" s="12" t="n">
        <v>1</v>
      </c>
      <c r="H575" s="72" t="n"/>
      <c r="I575" s="72" t="n"/>
      <c r="J575" s="72" t="n"/>
      <c r="K575" s="72" t="inlineStr">
        <is>
          <t>3006-1015</t>
        </is>
      </c>
      <c r="L575" s="72" t="inlineStr">
        <is>
          <t>Cash Flow</t>
        </is>
      </c>
    </row>
    <row r="576">
      <c r="A576" s="72" t="inlineStr">
        <is>
          <t>3006-1014</t>
        </is>
      </c>
      <c r="B576" s="72" t="inlineStr">
        <is>
          <t>Maurice Tanner Distribution</t>
        </is>
      </c>
      <c r="C576" s="72" t="inlineStr">
        <is>
          <t>Credit</t>
        </is>
      </c>
      <c r="D576" s="72" t="inlineStr">
        <is>
          <t>Reg</t>
        </is>
      </c>
      <c r="E576" s="72" t="inlineStr">
        <is>
          <t>Bal</t>
        </is>
      </c>
      <c r="F576" s="12" t="n">
        <v>1</v>
      </c>
      <c r="G576" s="12" t="n">
        <v>1</v>
      </c>
      <c r="H576" s="72" t="n"/>
      <c r="I576" s="72" t="n"/>
      <c r="J576" s="72" t="n"/>
      <c r="K576" s="72" t="inlineStr">
        <is>
          <t>3006-1015</t>
        </is>
      </c>
      <c r="L576" s="72" t="inlineStr">
        <is>
          <t>Cash Flow</t>
        </is>
      </c>
    </row>
    <row r="577">
      <c r="A577" s="72" t="inlineStr">
        <is>
          <t>3006-1015</t>
        </is>
      </c>
      <c r="B577" s="72" t="inlineStr">
        <is>
          <t>Maurice Tanner Total</t>
        </is>
      </c>
      <c r="C577" s="72" t="inlineStr">
        <is>
          <t>Credit</t>
        </is>
      </c>
      <c r="D577" s="72" t="inlineStr">
        <is>
          <t>Tot</t>
        </is>
      </c>
      <c r="E577" s="72" t="inlineStr">
        <is>
          <t>Bal</t>
        </is>
      </c>
      <c r="F577" s="12" t="n">
        <v>0</v>
      </c>
      <c r="G577" s="12" t="n">
        <v>1</v>
      </c>
      <c r="H577" s="72" t="n"/>
      <c r="I577" s="72" t="n"/>
      <c r="J577" s="72" t="n"/>
      <c r="K577" s="72" t="inlineStr">
        <is>
          <t>3890-0000</t>
        </is>
      </c>
      <c r="L577" s="72" t="n"/>
    </row>
    <row r="578">
      <c r="A578" s="72" t="inlineStr">
        <is>
          <t>3006-1016</t>
        </is>
      </c>
      <c r="B578" s="72" t="inlineStr">
        <is>
          <t>DGG Michal Capital</t>
        </is>
      </c>
      <c r="C578" s="72" t="inlineStr">
        <is>
          <t>Credit</t>
        </is>
      </c>
      <c r="D578" s="72" t="inlineStr">
        <is>
          <t>Head</t>
        </is>
      </c>
      <c r="E578" s="72" t="inlineStr">
        <is>
          <t>Bal</t>
        </is>
      </c>
      <c r="F578" s="12" t="n">
        <v>0</v>
      </c>
      <c r="G578" s="12" t="n">
        <v>2</v>
      </c>
      <c r="H578" s="72" t="n"/>
      <c r="I578" s="72" t="n"/>
      <c r="J578" s="72" t="n"/>
      <c r="K578" s="72" t="inlineStr">
        <is>
          <t>3006-1019</t>
        </is>
      </c>
      <c r="L578" s="72" t="n"/>
    </row>
    <row r="579">
      <c r="A579" s="72" t="inlineStr">
        <is>
          <t>3006-1017</t>
        </is>
      </c>
      <c r="B579" s="72" t="inlineStr">
        <is>
          <t>DGG Michal Contribution</t>
        </is>
      </c>
      <c r="C579" s="72" t="inlineStr">
        <is>
          <t>Credit</t>
        </is>
      </c>
      <c r="D579" s="72" t="inlineStr">
        <is>
          <t>Reg</t>
        </is>
      </c>
      <c r="E579" s="72" t="inlineStr">
        <is>
          <t>Bal</t>
        </is>
      </c>
      <c r="F579" s="12" t="n">
        <v>1</v>
      </c>
      <c r="G579" s="12" t="n">
        <v>1</v>
      </c>
      <c r="H579" s="72" t="n"/>
      <c r="I579" s="72" t="n"/>
      <c r="J579" s="72" t="n"/>
      <c r="K579" s="72" t="inlineStr">
        <is>
          <t>3006-1019</t>
        </is>
      </c>
      <c r="L579" s="72" t="inlineStr">
        <is>
          <t>Cash Flow</t>
        </is>
      </c>
    </row>
    <row r="580">
      <c r="A580" s="72" t="inlineStr">
        <is>
          <t>3006-1018</t>
        </is>
      </c>
      <c r="B580" s="72" t="inlineStr">
        <is>
          <t>DGG Michal Distribution</t>
        </is>
      </c>
      <c r="C580" s="72" t="inlineStr">
        <is>
          <t>Credit</t>
        </is>
      </c>
      <c r="D580" s="72" t="inlineStr">
        <is>
          <t>Reg</t>
        </is>
      </c>
      <c r="E580" s="72" t="inlineStr">
        <is>
          <t>Bal</t>
        </is>
      </c>
      <c r="F580" s="12" t="n">
        <v>1</v>
      </c>
      <c r="G580" s="12" t="n">
        <v>1</v>
      </c>
      <c r="H580" s="72" t="n"/>
      <c r="I580" s="72" t="n"/>
      <c r="J580" s="72" t="n"/>
      <c r="K580" s="72" t="inlineStr">
        <is>
          <t>3006-1019</t>
        </is>
      </c>
      <c r="L580" s="72" t="inlineStr">
        <is>
          <t>Cash Flow</t>
        </is>
      </c>
    </row>
    <row r="581">
      <c r="A581" s="72" t="inlineStr">
        <is>
          <t>3006-1019</t>
        </is>
      </c>
      <c r="B581" s="72" t="inlineStr">
        <is>
          <t>DGG Michal Total</t>
        </is>
      </c>
      <c r="C581" s="72" t="inlineStr">
        <is>
          <t>Credit</t>
        </is>
      </c>
      <c r="D581" s="72" t="inlineStr">
        <is>
          <t>Tot</t>
        </is>
      </c>
      <c r="E581" s="72" t="inlineStr">
        <is>
          <t>Bal</t>
        </is>
      </c>
      <c r="F581" s="12" t="n">
        <v>0</v>
      </c>
      <c r="G581" s="12" t="n">
        <v>1</v>
      </c>
      <c r="H581" s="72" t="n"/>
      <c r="I581" s="72" t="n"/>
      <c r="J581" s="72" t="n"/>
      <c r="K581" s="72" t="inlineStr">
        <is>
          <t>3890-0000</t>
        </is>
      </c>
      <c r="L581" s="72" t="n"/>
    </row>
    <row r="582">
      <c r="A582" s="72" t="inlineStr">
        <is>
          <t>3006-1020</t>
        </is>
      </c>
      <c r="B582" s="72" t="inlineStr">
        <is>
          <t>Fulop and McCallum Capital</t>
        </is>
      </c>
      <c r="C582" s="72" t="inlineStr">
        <is>
          <t>Credit</t>
        </is>
      </c>
      <c r="D582" s="72" t="inlineStr">
        <is>
          <t>Head</t>
        </is>
      </c>
      <c r="E582" s="72" t="inlineStr">
        <is>
          <t>Bal</t>
        </is>
      </c>
      <c r="F582" s="12" t="n">
        <v>0</v>
      </c>
      <c r="G582" s="12" t="n">
        <v>2</v>
      </c>
      <c r="H582" s="72" t="n"/>
      <c r="I582" s="72" t="n"/>
      <c r="J582" s="72" t="n"/>
      <c r="K582" s="72" t="inlineStr">
        <is>
          <t>3006-1023</t>
        </is>
      </c>
      <c r="L582" s="72" t="n"/>
    </row>
    <row r="583">
      <c r="A583" s="72" t="inlineStr">
        <is>
          <t>3006-1021</t>
        </is>
      </c>
      <c r="B583" s="72" t="inlineStr">
        <is>
          <t>Fulop and McCallum Contribution</t>
        </is>
      </c>
      <c r="C583" s="72" t="inlineStr">
        <is>
          <t>Credit</t>
        </is>
      </c>
      <c r="D583" s="72" t="inlineStr">
        <is>
          <t>Reg</t>
        </is>
      </c>
      <c r="E583" s="72" t="inlineStr">
        <is>
          <t>Bal</t>
        </is>
      </c>
      <c r="F583" s="12" t="n">
        <v>1</v>
      </c>
      <c r="G583" s="12" t="n">
        <v>1</v>
      </c>
      <c r="H583" s="72" t="n"/>
      <c r="I583" s="72" t="n"/>
      <c r="J583" s="72" t="n"/>
      <c r="K583" s="72" t="inlineStr">
        <is>
          <t>3006-1023</t>
        </is>
      </c>
      <c r="L583" s="72" t="inlineStr">
        <is>
          <t>Cash Flow</t>
        </is>
      </c>
    </row>
    <row r="584">
      <c r="A584" s="72" t="inlineStr">
        <is>
          <t>3006-1022</t>
        </is>
      </c>
      <c r="B584" s="72" t="inlineStr">
        <is>
          <t>Fulop and McCallum Distribution</t>
        </is>
      </c>
      <c r="C584" s="72" t="inlineStr">
        <is>
          <t>Credit</t>
        </is>
      </c>
      <c r="D584" s="72" t="inlineStr">
        <is>
          <t>Reg</t>
        </is>
      </c>
      <c r="E584" s="72" t="inlineStr">
        <is>
          <t>Bal</t>
        </is>
      </c>
      <c r="F584" s="12" t="n">
        <v>1</v>
      </c>
      <c r="G584" s="12" t="n">
        <v>1</v>
      </c>
      <c r="H584" s="72" t="n"/>
      <c r="I584" s="72" t="n"/>
      <c r="J584" s="72" t="n"/>
      <c r="K584" s="72" t="inlineStr">
        <is>
          <t>3006-1023</t>
        </is>
      </c>
      <c r="L584" s="72" t="inlineStr">
        <is>
          <t>Cash Flow</t>
        </is>
      </c>
    </row>
    <row r="585">
      <c r="A585" s="72" t="inlineStr">
        <is>
          <t>3006-1023</t>
        </is>
      </c>
      <c r="B585" s="72" t="inlineStr">
        <is>
          <t>Fulop and McCallum Total</t>
        </is>
      </c>
      <c r="C585" s="72" t="inlineStr">
        <is>
          <t>Credit</t>
        </is>
      </c>
      <c r="D585" s="72" t="inlineStr">
        <is>
          <t>Tot</t>
        </is>
      </c>
      <c r="E585" s="72" t="inlineStr">
        <is>
          <t>Bal</t>
        </is>
      </c>
      <c r="F585" s="12" t="n">
        <v>0</v>
      </c>
      <c r="G585" s="12" t="n">
        <v>1</v>
      </c>
      <c r="H585" s="72" t="n"/>
      <c r="I585" s="72" t="n"/>
      <c r="J585" s="72" t="n"/>
      <c r="K585" s="72" t="inlineStr">
        <is>
          <t>3890-0000</t>
        </is>
      </c>
      <c r="L585" s="72" t="n"/>
    </row>
    <row r="586">
      <c r="A586" s="72" t="inlineStr">
        <is>
          <t>3006-1024</t>
        </is>
      </c>
      <c r="B586" s="72" t="inlineStr">
        <is>
          <t>Aladdin Woods Capital</t>
        </is>
      </c>
      <c r="C586" s="72" t="inlineStr">
        <is>
          <t>Credit</t>
        </is>
      </c>
      <c r="D586" s="72" t="inlineStr">
        <is>
          <t>Head</t>
        </is>
      </c>
      <c r="E586" s="72" t="inlineStr">
        <is>
          <t>Bal</t>
        </is>
      </c>
      <c r="F586" s="12" t="n">
        <v>0</v>
      </c>
      <c r="G586" s="12" t="n">
        <v>2</v>
      </c>
      <c r="H586" s="72" t="n"/>
      <c r="I586" s="72" t="n"/>
      <c r="J586" s="72" t="n"/>
      <c r="K586" s="72" t="inlineStr">
        <is>
          <t>3006-1027</t>
        </is>
      </c>
      <c r="L586" s="72" t="n"/>
    </row>
    <row r="587">
      <c r="A587" s="72" t="inlineStr">
        <is>
          <t>3006-1025</t>
        </is>
      </c>
      <c r="B587" s="72" t="inlineStr">
        <is>
          <t>Aladdin Woods Contribution</t>
        </is>
      </c>
      <c r="C587" s="72" t="inlineStr">
        <is>
          <t>Credit</t>
        </is>
      </c>
      <c r="D587" s="72" t="inlineStr">
        <is>
          <t>Reg</t>
        </is>
      </c>
      <c r="E587" s="72" t="inlineStr">
        <is>
          <t>Bal</t>
        </is>
      </c>
      <c r="F587" s="12" t="n">
        <v>1</v>
      </c>
      <c r="G587" s="12" t="n">
        <v>1</v>
      </c>
      <c r="H587" s="72" t="n"/>
      <c r="I587" s="72" t="n"/>
      <c r="J587" s="72" t="n"/>
      <c r="K587" s="72" t="inlineStr">
        <is>
          <t>3006-1027</t>
        </is>
      </c>
      <c r="L587" s="72" t="inlineStr">
        <is>
          <t>Cash Flow</t>
        </is>
      </c>
    </row>
    <row r="588">
      <c r="A588" s="72" t="inlineStr">
        <is>
          <t>3006-1026</t>
        </is>
      </c>
      <c r="B588" s="72" t="inlineStr">
        <is>
          <t>Aladdin Woods Distribution</t>
        </is>
      </c>
      <c r="C588" s="72" t="inlineStr">
        <is>
          <t>Credit</t>
        </is>
      </c>
      <c r="D588" s="72" t="inlineStr">
        <is>
          <t>Reg</t>
        </is>
      </c>
      <c r="E588" s="72" t="inlineStr">
        <is>
          <t>Bal</t>
        </is>
      </c>
      <c r="F588" s="12" t="n">
        <v>1</v>
      </c>
      <c r="G588" s="12" t="n">
        <v>1</v>
      </c>
      <c r="H588" s="72" t="n"/>
      <c r="I588" s="72" t="n"/>
      <c r="J588" s="72" t="n"/>
      <c r="K588" s="72" t="inlineStr">
        <is>
          <t>3006-1027</t>
        </is>
      </c>
      <c r="L588" s="72" t="inlineStr">
        <is>
          <t>Cash Flow</t>
        </is>
      </c>
    </row>
    <row r="589">
      <c r="A589" s="72" t="inlineStr">
        <is>
          <t>3006-1027</t>
        </is>
      </c>
      <c r="B589" s="72" t="inlineStr">
        <is>
          <t>Aladdin Woods Total</t>
        </is>
      </c>
      <c r="C589" s="72" t="inlineStr">
        <is>
          <t>Credit</t>
        </is>
      </c>
      <c r="D589" s="72" t="inlineStr">
        <is>
          <t>Tot</t>
        </is>
      </c>
      <c r="E589" s="72" t="inlineStr">
        <is>
          <t>Bal</t>
        </is>
      </c>
      <c r="F589" s="12" t="n">
        <v>0</v>
      </c>
      <c r="G589" s="12" t="n">
        <v>1</v>
      </c>
      <c r="H589" s="72" t="n"/>
      <c r="I589" s="72" t="n"/>
      <c r="J589" s="72" t="n"/>
      <c r="K589" s="72" t="inlineStr">
        <is>
          <t>3890-0000</t>
        </is>
      </c>
      <c r="L589" s="72" t="n"/>
    </row>
    <row r="590">
      <c r="A590" s="72" t="inlineStr">
        <is>
          <t>3006-1028</t>
        </is>
      </c>
      <c r="B590" s="72" t="inlineStr">
        <is>
          <t>Nathan Brown Capital</t>
        </is>
      </c>
      <c r="C590" s="72" t="inlineStr">
        <is>
          <t>Credit</t>
        </is>
      </c>
      <c r="D590" s="72" t="inlineStr">
        <is>
          <t>Head</t>
        </is>
      </c>
      <c r="E590" s="72" t="inlineStr">
        <is>
          <t>Bal</t>
        </is>
      </c>
      <c r="F590" s="12" t="n">
        <v>0</v>
      </c>
      <c r="G590" s="12" t="n">
        <v>2</v>
      </c>
      <c r="H590" s="72" t="n"/>
      <c r="I590" s="72" t="n"/>
      <c r="J590" s="72" t="n"/>
      <c r="K590" s="72" t="inlineStr">
        <is>
          <t>3006-1031</t>
        </is>
      </c>
      <c r="L590" s="72" t="n"/>
    </row>
    <row r="591">
      <c r="A591" s="72" t="inlineStr">
        <is>
          <t>3006-1029</t>
        </is>
      </c>
      <c r="B591" s="72" t="inlineStr">
        <is>
          <t>Nathan Brown Contribution</t>
        </is>
      </c>
      <c r="C591" s="72" t="inlineStr">
        <is>
          <t>Credit</t>
        </is>
      </c>
      <c r="D591" s="72" t="inlineStr">
        <is>
          <t>Reg</t>
        </is>
      </c>
      <c r="E591" s="72" t="inlineStr">
        <is>
          <t>Bal</t>
        </is>
      </c>
      <c r="F591" s="12" t="n">
        <v>1</v>
      </c>
      <c r="G591" s="12" t="n">
        <v>1</v>
      </c>
      <c r="H591" s="72" t="n"/>
      <c r="I591" s="72" t="n"/>
      <c r="J591" s="72" t="n"/>
      <c r="K591" s="72" t="inlineStr">
        <is>
          <t>3006-1031</t>
        </is>
      </c>
      <c r="L591" s="72" t="inlineStr">
        <is>
          <t>Cash Flow</t>
        </is>
      </c>
    </row>
    <row r="592">
      <c r="A592" s="72" t="inlineStr">
        <is>
          <t>3006-1030</t>
        </is>
      </c>
      <c r="B592" s="72" t="inlineStr">
        <is>
          <t>Nathan Brown Distribution</t>
        </is>
      </c>
      <c r="C592" s="72" t="inlineStr">
        <is>
          <t>Credit</t>
        </is>
      </c>
      <c r="D592" s="72" t="inlineStr">
        <is>
          <t>Reg</t>
        </is>
      </c>
      <c r="E592" s="72" t="inlineStr">
        <is>
          <t>Bal</t>
        </is>
      </c>
      <c r="F592" s="12" t="n">
        <v>1</v>
      </c>
      <c r="G592" s="12" t="n">
        <v>1</v>
      </c>
      <c r="H592" s="72" t="n"/>
      <c r="I592" s="72" t="n"/>
      <c r="J592" s="72" t="n"/>
      <c r="K592" s="72" t="inlineStr">
        <is>
          <t>3006-1031</t>
        </is>
      </c>
      <c r="L592" s="72" t="inlineStr">
        <is>
          <t>Cash Flow</t>
        </is>
      </c>
    </row>
    <row r="593">
      <c r="A593" s="72" t="inlineStr">
        <is>
          <t>3006-1031</t>
        </is>
      </c>
      <c r="B593" s="72" t="inlineStr">
        <is>
          <t>Nathan Brown Total</t>
        </is>
      </c>
      <c r="C593" s="72" t="inlineStr">
        <is>
          <t>Credit</t>
        </is>
      </c>
      <c r="D593" s="72" t="inlineStr">
        <is>
          <t>Tot</t>
        </is>
      </c>
      <c r="E593" s="72" t="inlineStr">
        <is>
          <t>Bal</t>
        </is>
      </c>
      <c r="F593" s="12" t="n">
        <v>0</v>
      </c>
      <c r="G593" s="12" t="n">
        <v>1</v>
      </c>
      <c r="H593" s="72" t="n"/>
      <c r="I593" s="72" t="n"/>
      <c r="J593" s="72" t="n"/>
      <c r="K593" s="72" t="inlineStr">
        <is>
          <t>3890-0000</t>
        </is>
      </c>
      <c r="L593" s="72" t="n"/>
    </row>
    <row r="594">
      <c r="A594" s="72" t="inlineStr">
        <is>
          <t>3006-1032</t>
        </is>
      </c>
      <c r="B594" s="72" t="inlineStr">
        <is>
          <t>Pladot Paldom Capital</t>
        </is>
      </c>
      <c r="C594" s="72" t="inlineStr">
        <is>
          <t>Credit</t>
        </is>
      </c>
      <c r="D594" s="72" t="inlineStr">
        <is>
          <t>Head</t>
        </is>
      </c>
      <c r="E594" s="72" t="inlineStr">
        <is>
          <t>Bal</t>
        </is>
      </c>
      <c r="F594" s="12" t="n">
        <v>0</v>
      </c>
      <c r="G594" s="12" t="n">
        <v>2</v>
      </c>
      <c r="H594" s="72" t="n"/>
      <c r="I594" s="72" t="n"/>
      <c r="J594" s="72" t="n"/>
      <c r="K594" s="72" t="inlineStr">
        <is>
          <t>3006-1035</t>
        </is>
      </c>
      <c r="L594" s="72" t="n"/>
    </row>
    <row r="595">
      <c r="A595" s="72" t="inlineStr">
        <is>
          <t>3006-1033</t>
        </is>
      </c>
      <c r="B595" s="72" t="inlineStr">
        <is>
          <t>Pladot Paldom Contribution</t>
        </is>
      </c>
      <c r="C595" s="72" t="inlineStr">
        <is>
          <t>Credit</t>
        </is>
      </c>
      <c r="D595" s="72" t="inlineStr">
        <is>
          <t>Reg</t>
        </is>
      </c>
      <c r="E595" s="72" t="inlineStr">
        <is>
          <t>Bal</t>
        </is>
      </c>
      <c r="F595" s="12" t="n">
        <v>1</v>
      </c>
      <c r="G595" s="12" t="n">
        <v>1</v>
      </c>
      <c r="H595" s="72" t="n"/>
      <c r="I595" s="72" t="n"/>
      <c r="J595" s="72" t="n"/>
      <c r="K595" s="72" t="inlineStr">
        <is>
          <t>3006-1035</t>
        </is>
      </c>
      <c r="L595" s="72" t="inlineStr">
        <is>
          <t>Cash Flow</t>
        </is>
      </c>
    </row>
    <row r="596">
      <c r="A596" s="72" t="inlineStr">
        <is>
          <t>3006-1034</t>
        </is>
      </c>
      <c r="B596" s="72" t="inlineStr">
        <is>
          <t>Pladot Paldom Distribution</t>
        </is>
      </c>
      <c r="C596" s="72" t="inlineStr">
        <is>
          <t>Credit</t>
        </is>
      </c>
      <c r="D596" s="72" t="inlineStr">
        <is>
          <t>Reg</t>
        </is>
      </c>
      <c r="E596" s="72" t="inlineStr">
        <is>
          <t>Bal</t>
        </is>
      </c>
      <c r="F596" s="12" t="n">
        <v>1</v>
      </c>
      <c r="G596" s="12" t="n">
        <v>1</v>
      </c>
      <c r="H596" s="72" t="n"/>
      <c r="I596" s="72" t="n"/>
      <c r="J596" s="72" t="n"/>
      <c r="K596" s="72" t="inlineStr">
        <is>
          <t>3006-1035</t>
        </is>
      </c>
      <c r="L596" s="72" t="inlineStr">
        <is>
          <t>Cash Flow</t>
        </is>
      </c>
    </row>
    <row r="597">
      <c r="A597" s="72" t="inlineStr">
        <is>
          <t>3006-1035</t>
        </is>
      </c>
      <c r="B597" s="72" t="inlineStr">
        <is>
          <t>Pladot Paldom Total</t>
        </is>
      </c>
      <c r="C597" s="72" t="inlineStr">
        <is>
          <t>Credit</t>
        </is>
      </c>
      <c r="D597" s="72" t="inlineStr">
        <is>
          <t>Tot</t>
        </is>
      </c>
      <c r="E597" s="72" t="inlineStr">
        <is>
          <t>Bal</t>
        </is>
      </c>
      <c r="F597" s="12" t="n">
        <v>0</v>
      </c>
      <c r="G597" s="12" t="n">
        <v>1</v>
      </c>
      <c r="H597" s="72" t="n"/>
      <c r="I597" s="72" t="n"/>
      <c r="J597" s="72" t="n"/>
      <c r="K597" s="72" t="inlineStr">
        <is>
          <t>3890-0000</t>
        </is>
      </c>
      <c r="L597" s="72" t="n"/>
    </row>
    <row r="598">
      <c r="A598" s="72" t="inlineStr">
        <is>
          <t>3006-1036</t>
        </is>
      </c>
      <c r="B598" s="72" t="inlineStr">
        <is>
          <t>Adam Denenberg Capital</t>
        </is>
      </c>
      <c r="C598" s="72" t="inlineStr">
        <is>
          <t>Credit</t>
        </is>
      </c>
      <c r="D598" s="72" t="inlineStr">
        <is>
          <t>Head</t>
        </is>
      </c>
      <c r="E598" s="72" t="inlineStr">
        <is>
          <t>Bal</t>
        </is>
      </c>
      <c r="F598" s="12" t="n">
        <v>0</v>
      </c>
      <c r="G598" s="12" t="n">
        <v>2</v>
      </c>
      <c r="H598" s="72" t="n"/>
      <c r="I598" s="72" t="n"/>
      <c r="J598" s="72" t="n"/>
      <c r="K598" s="72" t="inlineStr">
        <is>
          <t>3006-1039</t>
        </is>
      </c>
      <c r="L598" s="72" t="n"/>
    </row>
    <row r="599">
      <c r="A599" s="72" t="inlineStr">
        <is>
          <t>3006-1037</t>
        </is>
      </c>
      <c r="B599" s="72" t="inlineStr">
        <is>
          <t>Adam Denenberg Contribution</t>
        </is>
      </c>
      <c r="C599" s="72" t="inlineStr">
        <is>
          <t>Credit</t>
        </is>
      </c>
      <c r="D599" s="72" t="inlineStr">
        <is>
          <t>Reg</t>
        </is>
      </c>
      <c r="E599" s="72" t="inlineStr">
        <is>
          <t>Bal</t>
        </is>
      </c>
      <c r="F599" s="12" t="n">
        <v>1</v>
      </c>
      <c r="G599" s="12" t="n">
        <v>1</v>
      </c>
      <c r="H599" s="72" t="n"/>
      <c r="I599" s="72" t="n"/>
      <c r="J599" s="72" t="n"/>
      <c r="K599" s="72" t="inlineStr">
        <is>
          <t>3006-1039</t>
        </is>
      </c>
      <c r="L599" s="72" t="inlineStr">
        <is>
          <t>Cash Flow</t>
        </is>
      </c>
    </row>
    <row r="600">
      <c r="A600" s="72" t="inlineStr">
        <is>
          <t>3006-1038</t>
        </is>
      </c>
      <c r="B600" s="72" t="inlineStr">
        <is>
          <t>Adam Denenberg Distribution</t>
        </is>
      </c>
      <c r="C600" s="72" t="inlineStr">
        <is>
          <t>Credit</t>
        </is>
      </c>
      <c r="D600" s="72" t="inlineStr">
        <is>
          <t>Reg</t>
        </is>
      </c>
      <c r="E600" s="72" t="inlineStr">
        <is>
          <t>Bal</t>
        </is>
      </c>
      <c r="F600" s="12" t="n">
        <v>1</v>
      </c>
      <c r="G600" s="12" t="n">
        <v>1</v>
      </c>
      <c r="H600" s="72" t="n"/>
      <c r="I600" s="72" t="n"/>
      <c r="J600" s="72" t="n"/>
      <c r="K600" s="72" t="inlineStr">
        <is>
          <t>3006-1039</t>
        </is>
      </c>
      <c r="L600" s="72" t="inlineStr">
        <is>
          <t>Cash Flow</t>
        </is>
      </c>
    </row>
    <row r="601">
      <c r="A601" s="72" t="inlineStr">
        <is>
          <t>3006-1039</t>
        </is>
      </c>
      <c r="B601" s="72" t="inlineStr">
        <is>
          <t>Adam Denenberg Total</t>
        </is>
      </c>
      <c r="C601" s="72" t="inlineStr">
        <is>
          <t>Credit</t>
        </is>
      </c>
      <c r="D601" s="72" t="inlineStr">
        <is>
          <t>Tot</t>
        </is>
      </c>
      <c r="E601" s="72" t="inlineStr">
        <is>
          <t>Bal</t>
        </is>
      </c>
      <c r="F601" s="12" t="n">
        <v>0</v>
      </c>
      <c r="G601" s="12" t="n">
        <v>1</v>
      </c>
      <c r="H601" s="72" t="n"/>
      <c r="I601" s="72" t="n"/>
      <c r="J601" s="72" t="n"/>
      <c r="K601" s="72" t="inlineStr">
        <is>
          <t>3890-0000</t>
        </is>
      </c>
      <c r="L601" s="72" t="n"/>
    </row>
    <row r="602">
      <c r="A602" s="72" t="inlineStr">
        <is>
          <t>3006-1040</t>
        </is>
      </c>
      <c r="B602" s="72" t="inlineStr">
        <is>
          <t>Warren Gary Capital</t>
        </is>
      </c>
      <c r="C602" s="72" t="inlineStr">
        <is>
          <t>Credit</t>
        </is>
      </c>
      <c r="D602" s="72" t="inlineStr">
        <is>
          <t>Head</t>
        </is>
      </c>
      <c r="E602" s="72" t="inlineStr">
        <is>
          <t>Bal</t>
        </is>
      </c>
      <c r="F602" s="12" t="n">
        <v>0</v>
      </c>
      <c r="G602" s="12" t="n">
        <v>2</v>
      </c>
      <c r="H602" s="72" t="n"/>
      <c r="I602" s="72" t="n"/>
      <c r="J602" s="72" t="n"/>
      <c r="K602" s="72" t="inlineStr">
        <is>
          <t>3006-1043</t>
        </is>
      </c>
      <c r="L602" s="72" t="n"/>
    </row>
    <row r="603">
      <c r="A603" s="72" t="inlineStr">
        <is>
          <t>3006-1041</t>
        </is>
      </c>
      <c r="B603" s="72" t="inlineStr">
        <is>
          <t>Warren Gary Contribution</t>
        </is>
      </c>
      <c r="C603" s="72" t="inlineStr">
        <is>
          <t>Credit</t>
        </is>
      </c>
      <c r="D603" s="72" t="inlineStr">
        <is>
          <t>Reg</t>
        </is>
      </c>
      <c r="E603" s="72" t="inlineStr">
        <is>
          <t>Bal</t>
        </is>
      </c>
      <c r="F603" s="12" t="n">
        <v>1</v>
      </c>
      <c r="G603" s="12" t="n">
        <v>1</v>
      </c>
      <c r="H603" s="72" t="n"/>
      <c r="I603" s="72" t="n"/>
      <c r="J603" s="72" t="n"/>
      <c r="K603" s="72" t="inlineStr">
        <is>
          <t>3006-1043</t>
        </is>
      </c>
      <c r="L603" s="72" t="inlineStr">
        <is>
          <t>Cash Flow</t>
        </is>
      </c>
    </row>
    <row r="604">
      <c r="A604" s="72" t="inlineStr">
        <is>
          <t>3006-1042</t>
        </is>
      </c>
      <c r="B604" s="72" t="inlineStr">
        <is>
          <t>Warren Gary Distribution</t>
        </is>
      </c>
      <c r="C604" s="72" t="inlineStr">
        <is>
          <t>Credit</t>
        </is>
      </c>
      <c r="D604" s="72" t="inlineStr">
        <is>
          <t>Reg</t>
        </is>
      </c>
      <c r="E604" s="72" t="inlineStr">
        <is>
          <t>Bal</t>
        </is>
      </c>
      <c r="F604" s="12" t="n">
        <v>1</v>
      </c>
      <c r="G604" s="12" t="n">
        <v>1</v>
      </c>
      <c r="H604" s="72" t="n"/>
      <c r="I604" s="72" t="n"/>
      <c r="J604" s="72" t="n"/>
      <c r="K604" s="72" t="inlineStr">
        <is>
          <t>3006-1043</t>
        </is>
      </c>
      <c r="L604" s="72" t="inlineStr">
        <is>
          <t>Cash Flow</t>
        </is>
      </c>
    </row>
    <row r="605">
      <c r="A605" s="72" t="inlineStr">
        <is>
          <t>3006-1043</t>
        </is>
      </c>
      <c r="B605" s="72" t="inlineStr">
        <is>
          <t>Warren Gary Total</t>
        </is>
      </c>
      <c r="C605" s="72" t="inlineStr">
        <is>
          <t>Credit</t>
        </is>
      </c>
      <c r="D605" s="72" t="inlineStr">
        <is>
          <t>Tot</t>
        </is>
      </c>
      <c r="E605" s="72" t="inlineStr">
        <is>
          <t>Bal</t>
        </is>
      </c>
      <c r="F605" s="12" t="n">
        <v>0</v>
      </c>
      <c r="G605" s="12" t="n">
        <v>1</v>
      </c>
      <c r="H605" s="72" t="n"/>
      <c r="I605" s="72" t="n"/>
      <c r="J605" s="72" t="n"/>
      <c r="K605" s="72" t="inlineStr">
        <is>
          <t>3890-0000</t>
        </is>
      </c>
      <c r="L605" s="72" t="n"/>
    </row>
    <row r="606">
      <c r="A606" s="72" t="inlineStr">
        <is>
          <t>3006-1044</t>
        </is>
      </c>
      <c r="B606" s="72" t="inlineStr">
        <is>
          <t>Matt Clark Capital</t>
        </is>
      </c>
      <c r="C606" s="72" t="inlineStr">
        <is>
          <t>Credit</t>
        </is>
      </c>
      <c r="D606" s="72" t="inlineStr">
        <is>
          <t>Head</t>
        </is>
      </c>
      <c r="E606" s="72" t="inlineStr">
        <is>
          <t>Bal</t>
        </is>
      </c>
      <c r="F606" s="12" t="n">
        <v>0</v>
      </c>
      <c r="G606" s="12" t="n">
        <v>2</v>
      </c>
      <c r="H606" s="72" t="n"/>
      <c r="I606" s="72" t="n"/>
      <c r="J606" s="72" t="n"/>
      <c r="K606" s="72" t="inlineStr">
        <is>
          <t>3006-1047</t>
        </is>
      </c>
      <c r="L606" s="72" t="n"/>
    </row>
    <row r="607">
      <c r="A607" s="72" t="inlineStr">
        <is>
          <t>3006-1045</t>
        </is>
      </c>
      <c r="B607" s="72" t="inlineStr">
        <is>
          <t>Matt Clark Contribution</t>
        </is>
      </c>
      <c r="C607" s="72" t="inlineStr">
        <is>
          <t>Credit</t>
        </is>
      </c>
      <c r="D607" s="72" t="inlineStr">
        <is>
          <t>Reg</t>
        </is>
      </c>
      <c r="E607" s="72" t="inlineStr">
        <is>
          <t>Bal</t>
        </is>
      </c>
      <c r="F607" s="12" t="n">
        <v>1</v>
      </c>
      <c r="G607" s="12" t="n">
        <v>1</v>
      </c>
      <c r="H607" s="72" t="n"/>
      <c r="I607" s="72" t="n"/>
      <c r="J607" s="72" t="n"/>
      <c r="K607" s="72" t="inlineStr">
        <is>
          <t>3006-1047</t>
        </is>
      </c>
      <c r="L607" s="72" t="inlineStr">
        <is>
          <t>Cash Flow</t>
        </is>
      </c>
    </row>
    <row r="608">
      <c r="A608" s="72" t="inlineStr">
        <is>
          <t>3006-1046</t>
        </is>
      </c>
      <c r="B608" s="72" t="inlineStr">
        <is>
          <t>Matt Clark Distribution</t>
        </is>
      </c>
      <c r="C608" s="72" t="inlineStr">
        <is>
          <t>Credit</t>
        </is>
      </c>
      <c r="D608" s="72" t="inlineStr">
        <is>
          <t>Reg</t>
        </is>
      </c>
      <c r="E608" s="72" t="inlineStr">
        <is>
          <t>Bal</t>
        </is>
      </c>
      <c r="F608" s="12" t="n">
        <v>1</v>
      </c>
      <c r="G608" s="12" t="n">
        <v>1</v>
      </c>
      <c r="H608" s="72" t="n"/>
      <c r="I608" s="72" t="n"/>
      <c r="J608" s="72" t="n"/>
      <c r="K608" s="72" t="inlineStr">
        <is>
          <t>3006-1047</t>
        </is>
      </c>
      <c r="L608" s="72" t="inlineStr">
        <is>
          <t>Cash Flow</t>
        </is>
      </c>
    </row>
    <row r="609">
      <c r="A609" s="72" t="inlineStr">
        <is>
          <t>3006-1047</t>
        </is>
      </c>
      <c r="B609" s="72" t="inlineStr">
        <is>
          <t>Matt Clark Total</t>
        </is>
      </c>
      <c r="C609" s="72" t="inlineStr">
        <is>
          <t>Credit</t>
        </is>
      </c>
      <c r="D609" s="72" t="inlineStr">
        <is>
          <t>Tot</t>
        </is>
      </c>
      <c r="E609" s="72" t="inlineStr">
        <is>
          <t>Bal</t>
        </is>
      </c>
      <c r="F609" s="12" t="n">
        <v>0</v>
      </c>
      <c r="G609" s="12" t="n">
        <v>1</v>
      </c>
      <c r="H609" s="72" t="n"/>
      <c r="I609" s="72" t="n"/>
      <c r="J609" s="72" t="n"/>
      <c r="K609" s="72" t="inlineStr">
        <is>
          <t>3890-0000</t>
        </is>
      </c>
      <c r="L609" s="72" t="n"/>
    </row>
    <row r="610">
      <c r="A610" s="72" t="inlineStr">
        <is>
          <t>3006-1048</t>
        </is>
      </c>
      <c r="B610" s="72" t="inlineStr">
        <is>
          <t>Cheryl Levine Capital</t>
        </is>
      </c>
      <c r="C610" s="72" t="inlineStr">
        <is>
          <t>Credit</t>
        </is>
      </c>
      <c r="D610" s="72" t="inlineStr">
        <is>
          <t>Head</t>
        </is>
      </c>
      <c r="E610" s="72" t="inlineStr">
        <is>
          <t>Bal</t>
        </is>
      </c>
      <c r="F610" s="12" t="n">
        <v>0</v>
      </c>
      <c r="G610" s="12" t="n">
        <v>2</v>
      </c>
      <c r="H610" s="72" t="n"/>
      <c r="I610" s="72" t="n"/>
      <c r="J610" s="72" t="n"/>
      <c r="K610" s="72" t="inlineStr">
        <is>
          <t>3006-1051</t>
        </is>
      </c>
      <c r="L610" s="72" t="n"/>
    </row>
    <row r="611">
      <c r="A611" s="72" t="inlineStr">
        <is>
          <t>3006-1049</t>
        </is>
      </c>
      <c r="B611" s="72" t="inlineStr">
        <is>
          <t>Cheryl Levine Contribution</t>
        </is>
      </c>
      <c r="C611" s="72" t="inlineStr">
        <is>
          <t>Credit</t>
        </is>
      </c>
      <c r="D611" s="72" t="inlineStr">
        <is>
          <t>Reg</t>
        </is>
      </c>
      <c r="E611" s="72" t="inlineStr">
        <is>
          <t>Bal</t>
        </is>
      </c>
      <c r="F611" s="12" t="n">
        <v>1</v>
      </c>
      <c r="G611" s="12" t="n">
        <v>1</v>
      </c>
      <c r="H611" s="72" t="n"/>
      <c r="I611" s="72" t="n"/>
      <c r="J611" s="72" t="n"/>
      <c r="K611" s="72" t="inlineStr">
        <is>
          <t>3006-1051</t>
        </is>
      </c>
      <c r="L611" s="72" t="inlineStr">
        <is>
          <t>Cash Flow</t>
        </is>
      </c>
    </row>
    <row r="612">
      <c r="A612" s="72" t="inlineStr">
        <is>
          <t>3006-1050</t>
        </is>
      </c>
      <c r="B612" s="72" t="inlineStr">
        <is>
          <t>Cheryl Levine Distribution</t>
        </is>
      </c>
      <c r="C612" s="72" t="inlineStr">
        <is>
          <t>Credit</t>
        </is>
      </c>
      <c r="D612" s="72" t="inlineStr">
        <is>
          <t>Reg</t>
        </is>
      </c>
      <c r="E612" s="72" t="inlineStr">
        <is>
          <t>Bal</t>
        </is>
      </c>
      <c r="F612" s="12" t="n">
        <v>1</v>
      </c>
      <c r="G612" s="12" t="n">
        <v>1</v>
      </c>
      <c r="H612" s="72" t="n"/>
      <c r="I612" s="72" t="n"/>
      <c r="J612" s="72" t="n"/>
      <c r="K612" s="72" t="inlineStr">
        <is>
          <t>3006-1051</t>
        </is>
      </c>
      <c r="L612" s="72" t="inlineStr">
        <is>
          <t>Cash Flow</t>
        </is>
      </c>
    </row>
    <row r="613">
      <c r="A613" s="72" t="inlineStr">
        <is>
          <t>3006-1051</t>
        </is>
      </c>
      <c r="B613" s="72" t="inlineStr">
        <is>
          <t>Cheryl Levine Total</t>
        </is>
      </c>
      <c r="C613" s="72" t="inlineStr">
        <is>
          <t>Credit</t>
        </is>
      </c>
      <c r="D613" s="72" t="inlineStr">
        <is>
          <t>Tot</t>
        </is>
      </c>
      <c r="E613" s="72" t="inlineStr">
        <is>
          <t>Bal</t>
        </is>
      </c>
      <c r="F613" s="12" t="n">
        <v>0</v>
      </c>
      <c r="G613" s="12" t="n">
        <v>1</v>
      </c>
      <c r="H613" s="72" t="n"/>
      <c r="I613" s="72" t="n"/>
      <c r="J613" s="72" t="n"/>
      <c r="K613" s="72" t="inlineStr">
        <is>
          <t>3890-0000</t>
        </is>
      </c>
      <c r="L613" s="72" t="n"/>
    </row>
    <row r="614">
      <c r="A614" s="72" t="inlineStr">
        <is>
          <t>3006-1052</t>
        </is>
      </c>
      <c r="B614" s="72" t="inlineStr">
        <is>
          <t>Richard Levine Capital</t>
        </is>
      </c>
      <c r="C614" s="72" t="inlineStr">
        <is>
          <t>Credit</t>
        </is>
      </c>
      <c r="D614" s="72" t="inlineStr">
        <is>
          <t>Head</t>
        </is>
      </c>
      <c r="E614" s="72" t="inlineStr">
        <is>
          <t>Bal</t>
        </is>
      </c>
      <c r="F614" s="12" t="n">
        <v>0</v>
      </c>
      <c r="G614" s="12" t="n">
        <v>2</v>
      </c>
      <c r="H614" s="72" t="n"/>
      <c r="I614" s="72" t="n"/>
      <c r="J614" s="72" t="n"/>
      <c r="K614" s="72" t="inlineStr">
        <is>
          <t>3006-1055</t>
        </is>
      </c>
      <c r="L614" s="72" t="n"/>
    </row>
    <row r="615">
      <c r="A615" s="72" t="inlineStr">
        <is>
          <t>3006-1053</t>
        </is>
      </c>
      <c r="B615" s="72" t="inlineStr">
        <is>
          <t>Richard Levine Contribution</t>
        </is>
      </c>
      <c r="C615" s="72" t="inlineStr">
        <is>
          <t>Credit</t>
        </is>
      </c>
      <c r="D615" s="72" t="inlineStr">
        <is>
          <t>Reg</t>
        </is>
      </c>
      <c r="E615" s="72" t="inlineStr">
        <is>
          <t>Bal</t>
        </is>
      </c>
      <c r="F615" s="12" t="n">
        <v>1</v>
      </c>
      <c r="G615" s="12" t="n">
        <v>1</v>
      </c>
      <c r="H615" s="72" t="n"/>
      <c r="I615" s="72" t="n"/>
      <c r="J615" s="72" t="n"/>
      <c r="K615" s="72" t="inlineStr">
        <is>
          <t>3006-1055</t>
        </is>
      </c>
      <c r="L615" s="72" t="inlineStr">
        <is>
          <t>Cash Flow</t>
        </is>
      </c>
    </row>
    <row r="616">
      <c r="A616" s="72" t="inlineStr">
        <is>
          <t>3006-1054</t>
        </is>
      </c>
      <c r="B616" s="72" t="inlineStr">
        <is>
          <t>Richard Levine Distribution</t>
        </is>
      </c>
      <c r="C616" s="72" t="inlineStr">
        <is>
          <t>Credit</t>
        </is>
      </c>
      <c r="D616" s="72" t="inlineStr">
        <is>
          <t>Reg</t>
        </is>
      </c>
      <c r="E616" s="72" t="inlineStr">
        <is>
          <t>Bal</t>
        </is>
      </c>
      <c r="F616" s="12" t="n">
        <v>1</v>
      </c>
      <c r="G616" s="12" t="n">
        <v>1</v>
      </c>
      <c r="H616" s="72" t="n"/>
      <c r="I616" s="72" t="n"/>
      <c r="J616" s="72" t="n"/>
      <c r="K616" s="72" t="inlineStr">
        <is>
          <t>3006-1055</t>
        </is>
      </c>
      <c r="L616" s="72" t="inlineStr">
        <is>
          <t>Cash Flow</t>
        </is>
      </c>
    </row>
    <row r="617">
      <c r="A617" s="72" t="inlineStr">
        <is>
          <t>3006-1055</t>
        </is>
      </c>
      <c r="B617" s="72" t="inlineStr">
        <is>
          <t>Richard Levine Total</t>
        </is>
      </c>
      <c r="C617" s="72" t="inlineStr">
        <is>
          <t>Credit</t>
        </is>
      </c>
      <c r="D617" s="72" t="inlineStr">
        <is>
          <t>Tot</t>
        </is>
      </c>
      <c r="E617" s="72" t="inlineStr">
        <is>
          <t>Bal</t>
        </is>
      </c>
      <c r="F617" s="12" t="n">
        <v>0</v>
      </c>
      <c r="G617" s="12" t="n">
        <v>1</v>
      </c>
      <c r="H617" s="72" t="n"/>
      <c r="I617" s="72" t="n"/>
      <c r="J617" s="72" t="n"/>
      <c r="K617" s="72" t="inlineStr">
        <is>
          <t>3890-0000</t>
        </is>
      </c>
      <c r="L617" s="72" t="n"/>
    </row>
    <row r="618">
      <c r="A618" s="72" t="inlineStr">
        <is>
          <t>3006-1056</t>
        </is>
      </c>
      <c r="B618" s="72" t="inlineStr">
        <is>
          <t>Brett Marcus Capital</t>
        </is>
      </c>
      <c r="C618" s="72" t="inlineStr">
        <is>
          <t>Credit</t>
        </is>
      </c>
      <c r="D618" s="72" t="inlineStr">
        <is>
          <t>Head</t>
        </is>
      </c>
      <c r="E618" s="72" t="inlineStr">
        <is>
          <t>Bal</t>
        </is>
      </c>
      <c r="F618" s="12" t="n">
        <v>0</v>
      </c>
      <c r="G618" s="12" t="n">
        <v>2</v>
      </c>
      <c r="H618" s="72" t="n"/>
      <c r="I618" s="72" t="n"/>
      <c r="J618" s="72" t="n"/>
      <c r="K618" s="72" t="inlineStr">
        <is>
          <t>3006-1059</t>
        </is>
      </c>
      <c r="L618" s="72" t="n"/>
    </row>
    <row r="619">
      <c r="A619" s="72" t="inlineStr">
        <is>
          <t>3006-1057</t>
        </is>
      </c>
      <c r="B619" s="72" t="inlineStr">
        <is>
          <t>Brett Marcus Contribution</t>
        </is>
      </c>
      <c r="C619" s="72" t="inlineStr">
        <is>
          <t>Credit</t>
        </is>
      </c>
      <c r="D619" s="72" t="inlineStr">
        <is>
          <t>Reg</t>
        </is>
      </c>
      <c r="E619" s="72" t="inlineStr">
        <is>
          <t>Bal</t>
        </is>
      </c>
      <c r="F619" s="12" t="n">
        <v>1</v>
      </c>
      <c r="G619" s="12" t="n">
        <v>1</v>
      </c>
      <c r="H619" s="72" t="n"/>
      <c r="I619" s="72" t="n"/>
      <c r="J619" s="72" t="n"/>
      <c r="K619" s="72" t="inlineStr">
        <is>
          <t>3006-1059</t>
        </is>
      </c>
      <c r="L619" s="72" t="inlineStr">
        <is>
          <t>Cash Flow</t>
        </is>
      </c>
    </row>
    <row r="620">
      <c r="A620" s="72" t="inlineStr">
        <is>
          <t>3006-1058</t>
        </is>
      </c>
      <c r="B620" s="72" t="inlineStr">
        <is>
          <t>Brett Marcus Distribution</t>
        </is>
      </c>
      <c r="C620" s="72" t="inlineStr">
        <is>
          <t>Credit</t>
        </is>
      </c>
      <c r="D620" s="72" t="inlineStr">
        <is>
          <t>Reg</t>
        </is>
      </c>
      <c r="E620" s="72" t="inlineStr">
        <is>
          <t>Bal</t>
        </is>
      </c>
      <c r="F620" s="12" t="n">
        <v>1</v>
      </c>
      <c r="G620" s="12" t="n">
        <v>1</v>
      </c>
      <c r="H620" s="72" t="n"/>
      <c r="I620" s="72" t="n"/>
      <c r="J620" s="72" t="n"/>
      <c r="K620" s="72" t="inlineStr">
        <is>
          <t>3006-1059</t>
        </is>
      </c>
      <c r="L620" s="72" t="inlineStr">
        <is>
          <t>Cash Flow</t>
        </is>
      </c>
    </row>
    <row r="621">
      <c r="A621" s="72" t="inlineStr">
        <is>
          <t>3006-1059</t>
        </is>
      </c>
      <c r="B621" s="72" t="inlineStr">
        <is>
          <t>Brett Marcus Total</t>
        </is>
      </c>
      <c r="C621" s="72" t="inlineStr">
        <is>
          <t>Credit</t>
        </is>
      </c>
      <c r="D621" s="72" t="inlineStr">
        <is>
          <t>Tot</t>
        </is>
      </c>
      <c r="E621" s="72" t="inlineStr">
        <is>
          <t>Bal</t>
        </is>
      </c>
      <c r="F621" s="12" t="n">
        <v>0</v>
      </c>
      <c r="G621" s="12" t="n">
        <v>1</v>
      </c>
      <c r="H621" s="72" t="n"/>
      <c r="I621" s="72" t="n"/>
      <c r="J621" s="72" t="n"/>
      <c r="K621" s="72" t="inlineStr">
        <is>
          <t>3890-0000</t>
        </is>
      </c>
      <c r="L621" s="72" t="n"/>
    </row>
    <row r="622">
      <c r="A622" s="72" t="inlineStr">
        <is>
          <t>3006-1060</t>
        </is>
      </c>
      <c r="B622" s="72" t="inlineStr">
        <is>
          <t>Laura White Capital</t>
        </is>
      </c>
      <c r="C622" s="72" t="inlineStr">
        <is>
          <t>Credit</t>
        </is>
      </c>
      <c r="D622" s="72" t="inlineStr">
        <is>
          <t>Head</t>
        </is>
      </c>
      <c r="E622" s="72" t="inlineStr">
        <is>
          <t>Bal</t>
        </is>
      </c>
      <c r="F622" s="12" t="n">
        <v>0</v>
      </c>
      <c r="G622" s="12" t="n">
        <v>2</v>
      </c>
      <c r="H622" s="72" t="n"/>
      <c r="I622" s="72" t="n"/>
      <c r="J622" s="72" t="n"/>
      <c r="K622" s="72" t="inlineStr">
        <is>
          <t>3006-1063</t>
        </is>
      </c>
      <c r="L622" s="72" t="n"/>
    </row>
    <row r="623">
      <c r="A623" s="72" t="inlineStr">
        <is>
          <t>3006-1061</t>
        </is>
      </c>
      <c r="B623" s="72" t="inlineStr">
        <is>
          <t>Laura White Contribution</t>
        </is>
      </c>
      <c r="C623" s="72" t="inlineStr">
        <is>
          <t>Credit</t>
        </is>
      </c>
      <c r="D623" s="72" t="inlineStr">
        <is>
          <t>Reg</t>
        </is>
      </c>
      <c r="E623" s="72" t="inlineStr">
        <is>
          <t>Bal</t>
        </is>
      </c>
      <c r="F623" s="12" t="n">
        <v>1</v>
      </c>
      <c r="G623" s="12" t="n">
        <v>1</v>
      </c>
      <c r="H623" s="72" t="n"/>
      <c r="I623" s="72" t="n"/>
      <c r="J623" s="72" t="n"/>
      <c r="K623" s="72" t="inlineStr">
        <is>
          <t>3006-1063</t>
        </is>
      </c>
      <c r="L623" s="72" t="inlineStr">
        <is>
          <t>Cash Flow</t>
        </is>
      </c>
    </row>
    <row r="624">
      <c r="A624" s="72" t="inlineStr">
        <is>
          <t>3006-1062</t>
        </is>
      </c>
      <c r="B624" s="72" t="inlineStr">
        <is>
          <t>Laura White Distribution</t>
        </is>
      </c>
      <c r="C624" s="72" t="inlineStr">
        <is>
          <t>Credit</t>
        </is>
      </c>
      <c r="D624" s="72" t="inlineStr">
        <is>
          <t>Reg</t>
        </is>
      </c>
      <c r="E624" s="72" t="inlineStr">
        <is>
          <t>Bal</t>
        </is>
      </c>
      <c r="F624" s="12" t="n">
        <v>1</v>
      </c>
      <c r="G624" s="12" t="n">
        <v>1</v>
      </c>
      <c r="H624" s="72" t="n"/>
      <c r="I624" s="72" t="n"/>
      <c r="J624" s="72" t="n"/>
      <c r="K624" s="72" t="inlineStr">
        <is>
          <t>3006-1063</t>
        </is>
      </c>
      <c r="L624" s="72" t="inlineStr">
        <is>
          <t>Cash Flow</t>
        </is>
      </c>
    </row>
    <row r="625">
      <c r="A625" s="72" t="inlineStr">
        <is>
          <t>3006-1063</t>
        </is>
      </c>
      <c r="B625" s="72" t="inlineStr">
        <is>
          <t>Laura White Total</t>
        </is>
      </c>
      <c r="C625" s="72" t="inlineStr">
        <is>
          <t>Credit</t>
        </is>
      </c>
      <c r="D625" s="72" t="inlineStr">
        <is>
          <t>Tot</t>
        </is>
      </c>
      <c r="E625" s="72" t="inlineStr">
        <is>
          <t>Bal</t>
        </is>
      </c>
      <c r="F625" s="12" t="n">
        <v>0</v>
      </c>
      <c r="G625" s="12" t="n">
        <v>1</v>
      </c>
      <c r="H625" s="72" t="n"/>
      <c r="I625" s="72" t="n"/>
      <c r="J625" s="72" t="n"/>
      <c r="K625" s="72" t="inlineStr">
        <is>
          <t>3890-0000</t>
        </is>
      </c>
      <c r="L625" s="72" t="n"/>
    </row>
    <row r="626">
      <c r="A626" s="72" t="inlineStr">
        <is>
          <t>3006-1064</t>
        </is>
      </c>
      <c r="B626" s="72" t="inlineStr">
        <is>
          <t>Leonard Levine Capital</t>
        </is>
      </c>
      <c r="C626" s="72" t="inlineStr">
        <is>
          <t>Credit</t>
        </is>
      </c>
      <c r="D626" s="72" t="inlineStr">
        <is>
          <t>Head</t>
        </is>
      </c>
      <c r="E626" s="72" t="inlineStr">
        <is>
          <t>Bal</t>
        </is>
      </c>
      <c r="F626" s="12" t="n">
        <v>0</v>
      </c>
      <c r="G626" s="12" t="n">
        <v>2</v>
      </c>
      <c r="H626" s="72" t="n"/>
      <c r="I626" s="72" t="n"/>
      <c r="J626" s="72" t="n"/>
      <c r="K626" s="72" t="inlineStr">
        <is>
          <t>3006-1067</t>
        </is>
      </c>
      <c r="L626" s="72" t="n"/>
    </row>
    <row r="627">
      <c r="A627" s="72" t="inlineStr">
        <is>
          <t>3006-1065</t>
        </is>
      </c>
      <c r="B627" s="72" t="inlineStr">
        <is>
          <t>Leonard Levine Contribution</t>
        </is>
      </c>
      <c r="C627" s="72" t="inlineStr">
        <is>
          <t>Credit</t>
        </is>
      </c>
      <c r="D627" s="72" t="inlineStr">
        <is>
          <t>Reg</t>
        </is>
      </c>
      <c r="E627" s="72" t="inlineStr">
        <is>
          <t>Bal</t>
        </is>
      </c>
      <c r="F627" s="12" t="n">
        <v>1</v>
      </c>
      <c r="G627" s="12" t="n">
        <v>1</v>
      </c>
      <c r="H627" s="72" t="n"/>
      <c r="I627" s="72" t="n"/>
      <c r="J627" s="72" t="n"/>
      <c r="K627" s="72" t="inlineStr">
        <is>
          <t>3006-1067</t>
        </is>
      </c>
      <c r="L627" s="72" t="inlineStr">
        <is>
          <t>Cash Flow</t>
        </is>
      </c>
    </row>
    <row r="628">
      <c r="A628" s="72" t="inlineStr">
        <is>
          <t>3006-1066</t>
        </is>
      </c>
      <c r="B628" s="72" t="inlineStr">
        <is>
          <t>Leonard Levine Distribution</t>
        </is>
      </c>
      <c r="C628" s="72" t="inlineStr">
        <is>
          <t>Credit</t>
        </is>
      </c>
      <c r="D628" s="72" t="inlineStr">
        <is>
          <t>Reg</t>
        </is>
      </c>
      <c r="E628" s="72" t="inlineStr">
        <is>
          <t>Bal</t>
        </is>
      </c>
      <c r="F628" s="12" t="n">
        <v>1</v>
      </c>
      <c r="G628" s="12" t="n">
        <v>1</v>
      </c>
      <c r="H628" s="72" t="n"/>
      <c r="I628" s="72" t="n"/>
      <c r="J628" s="72" t="n"/>
      <c r="K628" s="72" t="inlineStr">
        <is>
          <t>3006-1067</t>
        </is>
      </c>
      <c r="L628" s="72" t="inlineStr">
        <is>
          <t>Cash Flow</t>
        </is>
      </c>
    </row>
    <row r="629">
      <c r="A629" s="72" t="inlineStr">
        <is>
          <t>3006-1067</t>
        </is>
      </c>
      <c r="B629" s="72" t="inlineStr">
        <is>
          <t>Leonard Levine Total</t>
        </is>
      </c>
      <c r="C629" s="72" t="inlineStr">
        <is>
          <t>Credit</t>
        </is>
      </c>
      <c r="D629" s="72" t="inlineStr">
        <is>
          <t>Tot</t>
        </is>
      </c>
      <c r="E629" s="72" t="inlineStr">
        <is>
          <t>Bal</t>
        </is>
      </c>
      <c r="F629" s="12" t="n">
        <v>0</v>
      </c>
      <c r="G629" s="12" t="n">
        <v>1</v>
      </c>
      <c r="H629" s="72" t="n"/>
      <c r="I629" s="72" t="n"/>
      <c r="J629" s="72" t="n"/>
      <c r="K629" s="72" t="inlineStr">
        <is>
          <t>3890-0000</t>
        </is>
      </c>
      <c r="L629" s="72" t="n"/>
    </row>
    <row r="630">
      <c r="A630" s="72" t="inlineStr">
        <is>
          <t>3006-1068</t>
        </is>
      </c>
      <c r="B630" s="72" t="inlineStr">
        <is>
          <t>11200 Kiley Storage LLC Capital</t>
        </is>
      </c>
      <c r="C630" s="72" t="inlineStr">
        <is>
          <t>Credit</t>
        </is>
      </c>
      <c r="D630" s="72" t="inlineStr">
        <is>
          <t>Head</t>
        </is>
      </c>
      <c r="E630" s="72" t="inlineStr">
        <is>
          <t>Bal</t>
        </is>
      </c>
      <c r="F630" s="12" t="n">
        <v>0</v>
      </c>
      <c r="G630" s="12" t="n">
        <v>2</v>
      </c>
      <c r="H630" s="72" t="n"/>
      <c r="I630" s="72" t="n"/>
      <c r="J630" s="72" t="n"/>
      <c r="K630" s="72" t="inlineStr">
        <is>
          <t>3006-1071</t>
        </is>
      </c>
      <c r="L630" s="72" t="n"/>
    </row>
    <row r="631">
      <c r="A631" s="72" t="inlineStr">
        <is>
          <t>3006-1069</t>
        </is>
      </c>
      <c r="B631" s="72" t="inlineStr">
        <is>
          <t>11200 Kiley Storage LLC Contribution</t>
        </is>
      </c>
      <c r="C631" s="72" t="inlineStr">
        <is>
          <t>Credit</t>
        </is>
      </c>
      <c r="D631" s="72" t="inlineStr">
        <is>
          <t>Reg</t>
        </is>
      </c>
      <c r="E631" s="72" t="inlineStr">
        <is>
          <t>Bal</t>
        </is>
      </c>
      <c r="F631" s="12" t="n">
        <v>1</v>
      </c>
      <c r="G631" s="12" t="n">
        <v>1</v>
      </c>
      <c r="H631" s="72" t="n"/>
      <c r="I631" s="72" t="n"/>
      <c r="J631" s="72" t="n"/>
      <c r="K631" s="72" t="inlineStr">
        <is>
          <t>3006-1071</t>
        </is>
      </c>
      <c r="L631" s="72" t="inlineStr">
        <is>
          <t>Cash Flow</t>
        </is>
      </c>
    </row>
    <row r="632">
      <c r="A632" s="72" t="inlineStr">
        <is>
          <t>3006-1070</t>
        </is>
      </c>
      <c r="B632" s="72" t="inlineStr">
        <is>
          <t>11200 Kiley Storage LLC Distribution</t>
        </is>
      </c>
      <c r="C632" s="72" t="inlineStr">
        <is>
          <t>Credit</t>
        </is>
      </c>
      <c r="D632" s="72" t="inlineStr">
        <is>
          <t>Reg</t>
        </is>
      </c>
      <c r="E632" s="72" t="inlineStr">
        <is>
          <t>Bal</t>
        </is>
      </c>
      <c r="F632" s="12" t="n">
        <v>1</v>
      </c>
      <c r="G632" s="12" t="n">
        <v>1</v>
      </c>
      <c r="H632" s="72" t="n"/>
      <c r="I632" s="72" t="n"/>
      <c r="J632" s="72" t="n"/>
      <c r="K632" s="72" t="inlineStr">
        <is>
          <t>3006-1071</t>
        </is>
      </c>
      <c r="L632" s="72" t="inlineStr">
        <is>
          <t>Cash Flow</t>
        </is>
      </c>
    </row>
    <row r="633">
      <c r="A633" s="72" t="inlineStr">
        <is>
          <t>3006-1071</t>
        </is>
      </c>
      <c r="B633" s="72" t="inlineStr">
        <is>
          <t>11200 Kiley Storage LLC Total</t>
        </is>
      </c>
      <c r="C633" s="72" t="inlineStr">
        <is>
          <t>Credit</t>
        </is>
      </c>
      <c r="D633" s="72" t="inlineStr">
        <is>
          <t>Tot</t>
        </is>
      </c>
      <c r="E633" s="72" t="inlineStr">
        <is>
          <t>Bal</t>
        </is>
      </c>
      <c r="F633" s="12" t="n">
        <v>0</v>
      </c>
      <c r="G633" s="12" t="n">
        <v>1</v>
      </c>
      <c r="H633" s="72" t="n"/>
      <c r="I633" s="72" t="n"/>
      <c r="J633" s="72" t="n"/>
      <c r="K633" s="72" t="inlineStr">
        <is>
          <t>3890-0000</t>
        </is>
      </c>
      <c r="L633" s="72" t="n"/>
    </row>
    <row r="634">
      <c r="A634" s="72" t="inlineStr">
        <is>
          <t>3006-1072</t>
        </is>
      </c>
      <c r="B634" s="72" t="inlineStr">
        <is>
          <t>The Lin Irrevocable Trust Capital</t>
        </is>
      </c>
      <c r="C634" s="72" t="inlineStr">
        <is>
          <t>Credit</t>
        </is>
      </c>
      <c r="D634" s="72" t="inlineStr">
        <is>
          <t>Head</t>
        </is>
      </c>
      <c r="E634" s="72" t="inlineStr">
        <is>
          <t>Bal</t>
        </is>
      </c>
      <c r="F634" s="12" t="n">
        <v>0</v>
      </c>
      <c r="G634" s="12" t="n">
        <v>2</v>
      </c>
      <c r="H634" s="72" t="n"/>
      <c r="I634" s="72" t="n"/>
      <c r="J634" s="72" t="n"/>
      <c r="K634" s="72" t="inlineStr">
        <is>
          <t>3006-1075</t>
        </is>
      </c>
      <c r="L634" s="72" t="n"/>
    </row>
    <row r="635">
      <c r="A635" s="72" t="inlineStr">
        <is>
          <t>3006-1073</t>
        </is>
      </c>
      <c r="B635" s="72" t="inlineStr">
        <is>
          <t>The Lin Irrevocable Trust Contribution</t>
        </is>
      </c>
      <c r="C635" s="72" t="inlineStr">
        <is>
          <t>Credit</t>
        </is>
      </c>
      <c r="D635" s="72" t="inlineStr">
        <is>
          <t>Reg</t>
        </is>
      </c>
      <c r="E635" s="72" t="inlineStr">
        <is>
          <t>Bal</t>
        </is>
      </c>
      <c r="F635" s="12" t="n">
        <v>1</v>
      </c>
      <c r="G635" s="12" t="n">
        <v>1</v>
      </c>
      <c r="H635" s="72" t="n"/>
      <c r="I635" s="72" t="n"/>
      <c r="J635" s="72" t="n"/>
      <c r="K635" s="72" t="inlineStr">
        <is>
          <t>3006-1075</t>
        </is>
      </c>
      <c r="L635" s="72" t="inlineStr">
        <is>
          <t>Cash Flow</t>
        </is>
      </c>
    </row>
    <row r="636">
      <c r="A636" s="72" t="inlineStr">
        <is>
          <t>3006-1074</t>
        </is>
      </c>
      <c r="B636" s="72" t="inlineStr">
        <is>
          <t>The Lin Irrevocable Trust Distribution</t>
        </is>
      </c>
      <c r="C636" s="72" t="inlineStr">
        <is>
          <t>Credit</t>
        </is>
      </c>
      <c r="D636" s="72" t="inlineStr">
        <is>
          <t>Reg</t>
        </is>
      </c>
      <c r="E636" s="72" t="inlineStr">
        <is>
          <t>Bal</t>
        </is>
      </c>
      <c r="F636" s="12" t="n">
        <v>1</v>
      </c>
      <c r="G636" s="12" t="n">
        <v>1</v>
      </c>
      <c r="H636" s="72" t="n"/>
      <c r="I636" s="72" t="n"/>
      <c r="J636" s="72" t="n"/>
      <c r="K636" s="72" t="inlineStr">
        <is>
          <t>3006-1075</t>
        </is>
      </c>
      <c r="L636" s="72" t="inlineStr">
        <is>
          <t>Cash Flow</t>
        </is>
      </c>
    </row>
    <row r="637">
      <c r="A637" s="72" t="inlineStr">
        <is>
          <t>3006-1075</t>
        </is>
      </c>
      <c r="B637" s="72" t="inlineStr">
        <is>
          <t>The Lin Irrevocable Trust Total</t>
        </is>
      </c>
      <c r="C637" s="72" t="inlineStr">
        <is>
          <t>Credit</t>
        </is>
      </c>
      <c r="D637" s="72" t="inlineStr">
        <is>
          <t>Tot</t>
        </is>
      </c>
      <c r="E637" s="72" t="inlineStr">
        <is>
          <t>Bal</t>
        </is>
      </c>
      <c r="F637" s="12" t="n">
        <v>0</v>
      </c>
      <c r="G637" s="12" t="n">
        <v>1</v>
      </c>
      <c r="H637" s="72" t="n"/>
      <c r="I637" s="72" t="n"/>
      <c r="J637" s="72" t="n"/>
      <c r="K637" s="72" t="inlineStr">
        <is>
          <t>3890-0000</t>
        </is>
      </c>
      <c r="L637" s="72" t="n"/>
    </row>
    <row r="638">
      <c r="A638" s="72" t="inlineStr">
        <is>
          <t>3006-1076</t>
        </is>
      </c>
      <c r="B638" s="72" t="inlineStr">
        <is>
          <t>Dave White Capital</t>
        </is>
      </c>
      <c r="C638" s="72" t="inlineStr">
        <is>
          <t>Credit</t>
        </is>
      </c>
      <c r="D638" s="72" t="inlineStr">
        <is>
          <t>Head</t>
        </is>
      </c>
      <c r="E638" s="72" t="inlineStr">
        <is>
          <t>Bal</t>
        </is>
      </c>
      <c r="F638" s="12" t="n">
        <v>0</v>
      </c>
      <c r="G638" s="12" t="n">
        <v>2</v>
      </c>
      <c r="H638" s="72" t="n"/>
      <c r="I638" s="72" t="n"/>
      <c r="J638" s="72" t="n"/>
      <c r="K638" s="72" t="inlineStr">
        <is>
          <t>3006-1079</t>
        </is>
      </c>
      <c r="L638" s="72" t="n"/>
    </row>
    <row r="639">
      <c r="A639" s="72" t="inlineStr">
        <is>
          <t>3006-1077</t>
        </is>
      </c>
      <c r="B639" s="72" t="inlineStr">
        <is>
          <t>Dave White Contributions</t>
        </is>
      </c>
      <c r="C639" s="72" t="inlineStr">
        <is>
          <t>Credit</t>
        </is>
      </c>
      <c r="D639" s="72" t="inlineStr">
        <is>
          <t>Reg</t>
        </is>
      </c>
      <c r="E639" s="72" t="inlineStr">
        <is>
          <t>Bal</t>
        </is>
      </c>
      <c r="F639" s="12" t="n">
        <v>1</v>
      </c>
      <c r="G639" s="12" t="n">
        <v>1</v>
      </c>
      <c r="H639" s="72" t="n"/>
      <c r="I639" s="72" t="n"/>
      <c r="J639" s="72" t="n"/>
      <c r="K639" s="72" t="inlineStr">
        <is>
          <t>3006-1079</t>
        </is>
      </c>
      <c r="L639" s="72" t="inlineStr">
        <is>
          <t>Cash Flow</t>
        </is>
      </c>
    </row>
    <row r="640">
      <c r="A640" s="72" t="inlineStr">
        <is>
          <t>3006-1078</t>
        </is>
      </c>
      <c r="B640" s="72" t="inlineStr">
        <is>
          <t>Dave White Distributions</t>
        </is>
      </c>
      <c r="C640" s="72" t="inlineStr">
        <is>
          <t>Credit</t>
        </is>
      </c>
      <c r="D640" s="72" t="inlineStr">
        <is>
          <t>Reg</t>
        </is>
      </c>
      <c r="E640" s="72" t="inlineStr">
        <is>
          <t>Bal</t>
        </is>
      </c>
      <c r="F640" s="12" t="n">
        <v>1</v>
      </c>
      <c r="G640" s="12" t="n">
        <v>1</v>
      </c>
      <c r="H640" s="72" t="n"/>
      <c r="I640" s="72" t="n"/>
      <c r="J640" s="72" t="n"/>
      <c r="K640" s="72" t="inlineStr">
        <is>
          <t>3006-1079</t>
        </is>
      </c>
      <c r="L640" s="72" t="inlineStr">
        <is>
          <t>Cash Flow</t>
        </is>
      </c>
    </row>
    <row r="641">
      <c r="A641" s="72" t="inlineStr">
        <is>
          <t>3006-1079</t>
        </is>
      </c>
      <c r="B641" s="72" t="inlineStr">
        <is>
          <t>Dave White Total</t>
        </is>
      </c>
      <c r="C641" s="72" t="inlineStr">
        <is>
          <t>Credit</t>
        </is>
      </c>
      <c r="D641" s="72" t="inlineStr">
        <is>
          <t>Tot</t>
        </is>
      </c>
      <c r="E641" s="72" t="inlineStr">
        <is>
          <t>Bal</t>
        </is>
      </c>
      <c r="F641" s="12" t="n">
        <v>0</v>
      </c>
      <c r="G641" s="12" t="n">
        <v>1</v>
      </c>
      <c r="H641" s="72" t="n"/>
      <c r="I641" s="72" t="n"/>
      <c r="J641" s="72" t="n"/>
      <c r="K641" s="72" t="inlineStr">
        <is>
          <t>3890-0000</t>
        </is>
      </c>
      <c r="L641" s="72" t="n"/>
    </row>
    <row r="642">
      <c r="A642" s="72" t="inlineStr">
        <is>
          <t>3010-1000</t>
        </is>
      </c>
      <c r="B642" s="72" t="inlineStr">
        <is>
          <t>EP SEF III</t>
        </is>
      </c>
      <c r="C642" s="72" t="inlineStr">
        <is>
          <t>Credit</t>
        </is>
      </c>
      <c r="D642" s="72" t="inlineStr">
        <is>
          <t>Head</t>
        </is>
      </c>
      <c r="E642" s="72" t="inlineStr">
        <is>
          <t>Bal</t>
        </is>
      </c>
      <c r="F642" s="12" t="n">
        <v>1</v>
      </c>
      <c r="G642" s="12" t="n">
        <v>2</v>
      </c>
      <c r="H642" s="72" t="n"/>
      <c r="I642" s="72" t="n"/>
      <c r="J642" s="72" t="n"/>
      <c r="K642" s="72" t="n"/>
      <c r="L642" s="72" t="n"/>
    </row>
    <row r="643">
      <c r="A643" s="72" t="inlineStr">
        <is>
          <t>3010-1001</t>
        </is>
      </c>
      <c r="B643" s="72" t="inlineStr">
        <is>
          <t>EP SEF III Contribution</t>
        </is>
      </c>
      <c r="C643" s="72" t="inlineStr">
        <is>
          <t>Credit</t>
        </is>
      </c>
      <c r="D643" s="72" t="inlineStr">
        <is>
          <t>Reg</t>
        </is>
      </c>
      <c r="E643" s="72" t="inlineStr">
        <is>
          <t>Bal</t>
        </is>
      </c>
      <c r="F643" s="12" t="n">
        <v>1</v>
      </c>
      <c r="G643" s="12" t="n">
        <v>1</v>
      </c>
      <c r="H643" s="72" t="n"/>
      <c r="I643" s="72" t="n"/>
      <c r="J643" s="72" t="n"/>
      <c r="K643" s="72" t="inlineStr">
        <is>
          <t>3012-0000</t>
        </is>
      </c>
      <c r="L643" s="72" t="inlineStr">
        <is>
          <t>Cash Flow</t>
        </is>
      </c>
    </row>
    <row r="644">
      <c r="A644" s="72" t="inlineStr">
        <is>
          <t>3011-0000</t>
        </is>
      </c>
      <c r="B644" s="72" t="inlineStr">
        <is>
          <t>EP SEF III Distribution</t>
        </is>
      </c>
      <c r="C644" s="72" t="inlineStr">
        <is>
          <t>Credit</t>
        </is>
      </c>
      <c r="D644" s="72" t="inlineStr">
        <is>
          <t>Reg</t>
        </is>
      </c>
      <c r="E644" s="72" t="inlineStr">
        <is>
          <t>Bal</t>
        </is>
      </c>
      <c r="F644" s="12" t="n">
        <v>1</v>
      </c>
      <c r="G644" s="12" t="n">
        <v>1</v>
      </c>
      <c r="H644" s="72" t="n"/>
      <c r="I644" s="72" t="n"/>
      <c r="J644" s="72" t="n"/>
      <c r="K644" s="72" t="inlineStr">
        <is>
          <t>3012-0000</t>
        </is>
      </c>
      <c r="L644" s="72" t="inlineStr">
        <is>
          <t>Cash Flow</t>
        </is>
      </c>
    </row>
    <row r="645">
      <c r="A645" s="72" t="inlineStr">
        <is>
          <t>3012-0000</t>
        </is>
      </c>
      <c r="B645" s="72" t="inlineStr">
        <is>
          <t>EP SEF III TOTAL</t>
        </is>
      </c>
      <c r="C645" s="72" t="inlineStr">
        <is>
          <t>Credit</t>
        </is>
      </c>
      <c r="D645" s="72" t="inlineStr">
        <is>
          <t>Tot</t>
        </is>
      </c>
      <c r="E645" s="72" t="inlineStr">
        <is>
          <t>Bal</t>
        </is>
      </c>
      <c r="F645" s="12" t="n">
        <v>1</v>
      </c>
      <c r="G645" s="12" t="n">
        <v>1</v>
      </c>
      <c r="H645" s="72" t="n"/>
      <c r="I645" s="72" t="n"/>
      <c r="J645" s="72" t="n"/>
      <c r="K645" s="72" t="inlineStr">
        <is>
          <t>3890-0000</t>
        </is>
      </c>
      <c r="L645" s="72" t="n"/>
    </row>
    <row r="646">
      <c r="A646" s="72" t="inlineStr">
        <is>
          <t>3013-1000</t>
        </is>
      </c>
      <c r="B646" s="72" t="inlineStr">
        <is>
          <t>EP SEF IV</t>
        </is>
      </c>
      <c r="C646" s="72" t="inlineStr">
        <is>
          <t>Credit</t>
        </is>
      </c>
      <c r="D646" s="72" t="inlineStr">
        <is>
          <t>Head</t>
        </is>
      </c>
      <c r="E646" s="72" t="inlineStr">
        <is>
          <t>Bal</t>
        </is>
      </c>
      <c r="F646" s="12" t="n">
        <v>1</v>
      </c>
      <c r="G646" s="12" t="n">
        <v>1</v>
      </c>
      <c r="H646" s="72" t="n"/>
      <c r="I646" s="72" t="n"/>
      <c r="J646" s="72" t="n"/>
      <c r="K646" s="72" t="inlineStr">
        <is>
          <t>3013-1003</t>
        </is>
      </c>
      <c r="L646" s="72" t="n"/>
    </row>
    <row r="647">
      <c r="A647" s="72" t="inlineStr">
        <is>
          <t>3013-1001</t>
        </is>
      </c>
      <c r="B647" s="72" t="inlineStr">
        <is>
          <t>EP SEF IV Contribution</t>
        </is>
      </c>
      <c r="C647" s="72" t="inlineStr">
        <is>
          <t>Credit</t>
        </is>
      </c>
      <c r="D647" s="72" t="inlineStr">
        <is>
          <t>Reg</t>
        </is>
      </c>
      <c r="E647" s="72" t="inlineStr">
        <is>
          <t>Bal</t>
        </is>
      </c>
      <c r="F647" s="12" t="n">
        <v>1</v>
      </c>
      <c r="G647" s="12" t="n">
        <v>1</v>
      </c>
      <c r="H647" s="72" t="n"/>
      <c r="I647" s="72" t="n"/>
      <c r="J647" s="72" t="n"/>
      <c r="K647" s="72" t="inlineStr">
        <is>
          <t>3013-1003</t>
        </is>
      </c>
      <c r="L647" s="72" t="inlineStr">
        <is>
          <t>Cash Flow</t>
        </is>
      </c>
    </row>
    <row r="648">
      <c r="A648" s="72" t="inlineStr">
        <is>
          <t>3013-1002</t>
        </is>
      </c>
      <c r="B648" s="72" t="inlineStr">
        <is>
          <t>EP SEF IV Distribution</t>
        </is>
      </c>
      <c r="C648" s="72" t="inlineStr">
        <is>
          <t>Credit</t>
        </is>
      </c>
      <c r="D648" s="72" t="inlineStr">
        <is>
          <t>Reg</t>
        </is>
      </c>
      <c r="E648" s="72" t="inlineStr">
        <is>
          <t>Bal</t>
        </is>
      </c>
      <c r="F648" s="12" t="n">
        <v>1</v>
      </c>
      <c r="G648" s="12" t="n">
        <v>1</v>
      </c>
      <c r="H648" s="72" t="n"/>
      <c r="I648" s="72" t="n"/>
      <c r="J648" s="72" t="n"/>
      <c r="K648" s="72" t="inlineStr">
        <is>
          <t>3013-1003</t>
        </is>
      </c>
      <c r="L648" s="72" t="inlineStr">
        <is>
          <t>Cash Flow</t>
        </is>
      </c>
    </row>
    <row r="649">
      <c r="A649" s="72" t="inlineStr">
        <is>
          <t>3013-1003</t>
        </is>
      </c>
      <c r="B649" s="72" t="inlineStr">
        <is>
          <t>EP SEF IV TOTAL</t>
        </is>
      </c>
      <c r="C649" s="72" t="inlineStr">
        <is>
          <t>Credit</t>
        </is>
      </c>
      <c r="D649" s="72" t="inlineStr">
        <is>
          <t>Tot</t>
        </is>
      </c>
      <c r="E649" s="72" t="inlineStr">
        <is>
          <t>Bal</t>
        </is>
      </c>
      <c r="F649" s="12" t="n">
        <v>0</v>
      </c>
      <c r="G649" s="12" t="n">
        <v>1</v>
      </c>
      <c r="H649" s="72" t="n"/>
      <c r="I649" s="72" t="n"/>
      <c r="J649" s="72" t="n"/>
      <c r="K649" s="72" t="inlineStr">
        <is>
          <t>3890-0000</t>
        </is>
      </c>
      <c r="L649" s="72" t="n"/>
    </row>
    <row r="650">
      <c r="A650" s="72" t="inlineStr">
        <is>
          <t>3013-1004</t>
        </is>
      </c>
      <c r="B650" s="72" t="inlineStr">
        <is>
          <t>EP North Milwaukee Holdco Capital</t>
        </is>
      </c>
      <c r="C650" s="72" t="inlineStr">
        <is>
          <t>Credit</t>
        </is>
      </c>
      <c r="D650" s="72" t="inlineStr">
        <is>
          <t>Head</t>
        </is>
      </c>
      <c r="E650" s="72" t="inlineStr">
        <is>
          <t>Bal</t>
        </is>
      </c>
      <c r="F650" s="12" t="n">
        <v>0</v>
      </c>
      <c r="G650" s="12" t="n">
        <v>2</v>
      </c>
      <c r="H650" s="72" t="n"/>
      <c r="I650" s="72" t="n"/>
      <c r="J650" s="72" t="n"/>
      <c r="K650" s="72" t="inlineStr">
        <is>
          <t>3013-1007</t>
        </is>
      </c>
      <c r="L650" s="72" t="n"/>
    </row>
    <row r="651">
      <c r="A651" s="72" t="inlineStr">
        <is>
          <t>3013-1005</t>
        </is>
      </c>
      <c r="B651" s="72" t="inlineStr">
        <is>
          <t>EP North Milwaukee Holdco Contribution</t>
        </is>
      </c>
      <c r="C651" s="72" t="inlineStr">
        <is>
          <t>Credit</t>
        </is>
      </c>
      <c r="D651" s="72" t="inlineStr">
        <is>
          <t>Reg</t>
        </is>
      </c>
      <c r="E651" s="72" t="inlineStr">
        <is>
          <t>Bal</t>
        </is>
      </c>
      <c r="F651" s="12" t="n">
        <v>1</v>
      </c>
      <c r="G651" s="12" t="n">
        <v>1</v>
      </c>
      <c r="H651" s="72" t="n"/>
      <c r="I651" s="72" t="n"/>
      <c r="J651" s="72" t="n"/>
      <c r="K651" s="72" t="inlineStr">
        <is>
          <t>3013-1007</t>
        </is>
      </c>
      <c r="L651" s="72" t="inlineStr">
        <is>
          <t>Cash Flow</t>
        </is>
      </c>
    </row>
    <row r="652">
      <c r="A652" s="72" t="inlineStr">
        <is>
          <t>3013-1006</t>
        </is>
      </c>
      <c r="B652" s="72" t="inlineStr">
        <is>
          <t>EP North Milwaukee Holdco Distribution</t>
        </is>
      </c>
      <c r="C652" s="72" t="inlineStr">
        <is>
          <t>Credit</t>
        </is>
      </c>
      <c r="D652" s="72" t="inlineStr">
        <is>
          <t>Reg</t>
        </is>
      </c>
      <c r="E652" s="72" t="inlineStr">
        <is>
          <t>Bal</t>
        </is>
      </c>
      <c r="F652" s="12" t="n">
        <v>1</v>
      </c>
      <c r="G652" s="12" t="n">
        <v>1</v>
      </c>
      <c r="H652" s="72" t="n"/>
      <c r="I652" s="72" t="n"/>
      <c r="J652" s="72" t="n"/>
      <c r="K652" s="72" t="inlineStr">
        <is>
          <t>3013-1007</t>
        </is>
      </c>
      <c r="L652" s="72" t="inlineStr">
        <is>
          <t>Cash Flow</t>
        </is>
      </c>
    </row>
    <row r="653">
      <c r="A653" s="72" t="inlineStr">
        <is>
          <t>3013-1007</t>
        </is>
      </c>
      <c r="B653" s="72" t="inlineStr">
        <is>
          <t>EP North Milwaukee Holdco Total</t>
        </is>
      </c>
      <c r="C653" s="72" t="inlineStr">
        <is>
          <t>Credit</t>
        </is>
      </c>
      <c r="D653" s="72" t="inlineStr">
        <is>
          <t>Tot</t>
        </is>
      </c>
      <c r="E653" s="72" t="inlineStr">
        <is>
          <t>Bal</t>
        </is>
      </c>
      <c r="F653" s="12" t="n">
        <v>0</v>
      </c>
      <c r="G653" s="12" t="n">
        <v>1</v>
      </c>
      <c r="H653" s="72" t="n"/>
      <c r="I653" s="72" t="n"/>
      <c r="J653" s="72" t="n"/>
      <c r="K653" s="72" t="inlineStr">
        <is>
          <t>3890-0000</t>
        </is>
      </c>
      <c r="L653" s="72" t="n"/>
    </row>
    <row r="654">
      <c r="A654" s="72" t="inlineStr">
        <is>
          <t>3019-0000</t>
        </is>
      </c>
      <c r="B654" s="72" t="inlineStr">
        <is>
          <t>JAMES SAYEGH</t>
        </is>
      </c>
      <c r="C654" s="72" t="inlineStr">
        <is>
          <t>Credit</t>
        </is>
      </c>
      <c r="D654" s="72" t="inlineStr">
        <is>
          <t>Head</t>
        </is>
      </c>
      <c r="E654" s="72" t="inlineStr">
        <is>
          <t>Bal</t>
        </is>
      </c>
      <c r="F654" s="12" t="n">
        <v>1</v>
      </c>
      <c r="G654" s="12" t="n">
        <v>1</v>
      </c>
      <c r="H654" s="72" t="n"/>
      <c r="I654" s="72" t="n"/>
      <c r="J654" s="72" t="n"/>
      <c r="K654" s="72" t="inlineStr">
        <is>
          <t>3022-0000</t>
        </is>
      </c>
      <c r="L654" s="72" t="inlineStr">
        <is>
          <t>Exclude</t>
        </is>
      </c>
    </row>
    <row r="655">
      <c r="A655" s="72" t="inlineStr">
        <is>
          <t>3020-0000</t>
        </is>
      </c>
      <c r="B655" s="72" t="inlineStr">
        <is>
          <t>James Sayegh Contribution</t>
        </is>
      </c>
      <c r="C655" s="72" t="inlineStr">
        <is>
          <t>Credit</t>
        </is>
      </c>
      <c r="D655" s="72" t="inlineStr">
        <is>
          <t>Reg</t>
        </is>
      </c>
      <c r="E655" s="72" t="inlineStr">
        <is>
          <t>Bal</t>
        </is>
      </c>
      <c r="F655" s="12" t="n">
        <v>1</v>
      </c>
      <c r="G655" s="12" t="n">
        <v>1</v>
      </c>
      <c r="H655" s="72" t="n"/>
      <c r="I655" s="72" t="n"/>
      <c r="J655" s="72" t="n"/>
      <c r="K655" s="72" t="inlineStr">
        <is>
          <t>3022-0000</t>
        </is>
      </c>
      <c r="L655" s="72" t="inlineStr">
        <is>
          <t>Cash Flow</t>
        </is>
      </c>
    </row>
    <row r="656">
      <c r="A656" s="72" t="inlineStr">
        <is>
          <t>3021-0000</t>
        </is>
      </c>
      <c r="B656" s="72" t="inlineStr">
        <is>
          <t>James Sayegh Distribution</t>
        </is>
      </c>
      <c r="C656" s="72" t="inlineStr">
        <is>
          <t>Credit</t>
        </is>
      </c>
      <c r="D656" s="72" t="inlineStr">
        <is>
          <t>Reg</t>
        </is>
      </c>
      <c r="E656" s="72" t="inlineStr">
        <is>
          <t>Bal</t>
        </is>
      </c>
      <c r="F656" s="12" t="n">
        <v>1</v>
      </c>
      <c r="G656" s="12" t="n">
        <v>1</v>
      </c>
      <c r="H656" s="72" t="n"/>
      <c r="I656" s="72" t="n"/>
      <c r="J656" s="72" t="n"/>
      <c r="K656" s="72" t="inlineStr">
        <is>
          <t>3022-0000</t>
        </is>
      </c>
      <c r="L656" s="72" t="inlineStr">
        <is>
          <t>Cash Flow</t>
        </is>
      </c>
    </row>
    <row r="657">
      <c r="A657" s="72" t="inlineStr">
        <is>
          <t>3022-0000</t>
        </is>
      </c>
      <c r="B657" s="72" t="inlineStr">
        <is>
          <t>JAMES SAYEGH TOTAL</t>
        </is>
      </c>
      <c r="C657" s="72" t="inlineStr">
        <is>
          <t>Credit</t>
        </is>
      </c>
      <c r="D657" s="72" t="inlineStr">
        <is>
          <t>Tot</t>
        </is>
      </c>
      <c r="E657" s="72" t="inlineStr">
        <is>
          <t>Bal</t>
        </is>
      </c>
      <c r="F657" s="12" t="n">
        <v>1</v>
      </c>
      <c r="G657" s="12" t="n">
        <v>1</v>
      </c>
      <c r="H657" s="72" t="n"/>
      <c r="I657" s="72" t="n"/>
      <c r="J657" s="72" t="n"/>
      <c r="K657" s="72" t="inlineStr">
        <is>
          <t>3890-0000</t>
        </is>
      </c>
      <c r="L657" s="72" t="n"/>
    </row>
    <row r="658">
      <c r="A658" s="72" t="inlineStr">
        <is>
          <t>3022-1000</t>
        </is>
      </c>
      <c r="B658" s="72" t="inlineStr">
        <is>
          <t>James Sayegh Capital Account</t>
        </is>
      </c>
      <c r="C658" s="72" t="inlineStr">
        <is>
          <t>Credit</t>
        </is>
      </c>
      <c r="D658" s="72" t="inlineStr">
        <is>
          <t>Reg</t>
        </is>
      </c>
      <c r="E658" s="72" t="inlineStr">
        <is>
          <t>Bal</t>
        </is>
      </c>
      <c r="F658" s="12" t="n">
        <v>1</v>
      </c>
      <c r="G658" s="12" t="n">
        <v>1</v>
      </c>
      <c r="H658" s="72" t="n"/>
      <c r="I658" s="72" t="n"/>
      <c r="J658" s="72" t="n"/>
      <c r="K658" s="72" t="inlineStr">
        <is>
          <t>3890-0000</t>
        </is>
      </c>
      <c r="L658" s="72" t="inlineStr">
        <is>
          <t>Cash Flow</t>
        </is>
      </c>
    </row>
    <row r="659">
      <c r="A659" s="72" t="inlineStr">
        <is>
          <t>3030-1000</t>
        </is>
      </c>
      <c r="B659" s="72" t="inlineStr">
        <is>
          <t>BOOST LLC</t>
        </is>
      </c>
      <c r="C659" s="72" t="inlineStr">
        <is>
          <t>Credit</t>
        </is>
      </c>
      <c r="D659" s="72" t="inlineStr">
        <is>
          <t>Head</t>
        </is>
      </c>
      <c r="E659" s="72" t="inlineStr">
        <is>
          <t>Bal</t>
        </is>
      </c>
      <c r="F659" s="12" t="n">
        <v>1</v>
      </c>
      <c r="G659" s="12" t="n">
        <v>2</v>
      </c>
      <c r="H659" s="72" t="n"/>
      <c r="I659" s="72" t="n"/>
      <c r="J659" s="72" t="n"/>
      <c r="K659" s="72" t="n"/>
      <c r="L659" s="72" t="n"/>
    </row>
    <row r="660">
      <c r="A660" s="72" t="inlineStr">
        <is>
          <t>3030-1001</t>
        </is>
      </c>
      <c r="B660" s="72" t="inlineStr">
        <is>
          <t>Boost LLC Contribution</t>
        </is>
      </c>
      <c r="C660" s="72" t="inlineStr">
        <is>
          <t>Credit</t>
        </is>
      </c>
      <c r="D660" s="72" t="inlineStr">
        <is>
          <t>Reg</t>
        </is>
      </c>
      <c r="E660" s="72" t="inlineStr">
        <is>
          <t>Bal</t>
        </is>
      </c>
      <c r="F660" s="12" t="n">
        <v>1</v>
      </c>
      <c r="G660" s="12" t="n">
        <v>1</v>
      </c>
      <c r="H660" s="72" t="n"/>
      <c r="I660" s="72" t="n"/>
      <c r="J660" s="72" t="n"/>
      <c r="K660" s="72" t="inlineStr">
        <is>
          <t>3032-0000</t>
        </is>
      </c>
      <c r="L660" s="72" t="inlineStr">
        <is>
          <t>Cash Flow</t>
        </is>
      </c>
    </row>
    <row r="661">
      <c r="A661" s="72" t="inlineStr">
        <is>
          <t>3031-0000</t>
        </is>
      </c>
      <c r="B661" s="72" t="inlineStr">
        <is>
          <t>Boost LLC Distribution</t>
        </is>
      </c>
      <c r="C661" s="72" t="inlineStr">
        <is>
          <t>Credit</t>
        </is>
      </c>
      <c r="D661" s="72" t="inlineStr">
        <is>
          <t>Reg</t>
        </is>
      </c>
      <c r="E661" s="72" t="inlineStr">
        <is>
          <t>Bal</t>
        </is>
      </c>
      <c r="F661" s="12" t="n">
        <v>1</v>
      </c>
      <c r="G661" s="12" t="n">
        <v>1</v>
      </c>
      <c r="H661" s="72" t="n"/>
      <c r="I661" s="72" t="n"/>
      <c r="J661" s="72" t="n"/>
      <c r="K661" s="72" t="inlineStr">
        <is>
          <t>3032-0000</t>
        </is>
      </c>
      <c r="L661" s="72" t="inlineStr">
        <is>
          <t>Cash Flow</t>
        </is>
      </c>
    </row>
    <row r="662">
      <c r="A662" s="72" t="inlineStr">
        <is>
          <t>3032-0000</t>
        </is>
      </c>
      <c r="B662" s="72" t="inlineStr">
        <is>
          <t>BOOST LLC TOTAL</t>
        </is>
      </c>
      <c r="C662" s="72" t="inlineStr">
        <is>
          <t>Credit</t>
        </is>
      </c>
      <c r="D662" s="72" t="inlineStr">
        <is>
          <t>Tot</t>
        </is>
      </c>
      <c r="E662" s="72" t="inlineStr">
        <is>
          <t>Bal</t>
        </is>
      </c>
      <c r="F662" s="12" t="n">
        <v>1</v>
      </c>
      <c r="G662" s="12" t="n">
        <v>1</v>
      </c>
      <c r="H662" s="72" t="n"/>
      <c r="I662" s="72" t="n"/>
      <c r="J662" s="72" t="n"/>
      <c r="K662" s="72" t="inlineStr">
        <is>
          <t>3890-0000</t>
        </is>
      </c>
      <c r="L662" s="72" t="n"/>
    </row>
    <row r="663">
      <c r="A663" s="72" t="inlineStr">
        <is>
          <t>3032-1000</t>
        </is>
      </c>
      <c r="B663" s="72" t="inlineStr">
        <is>
          <t>Boost LLC Capital Account</t>
        </is>
      </c>
      <c r="C663" s="72" t="inlineStr">
        <is>
          <t>Credit</t>
        </is>
      </c>
      <c r="D663" s="72" t="inlineStr">
        <is>
          <t>Reg</t>
        </is>
      </c>
      <c r="E663" s="72" t="inlineStr">
        <is>
          <t>Bal</t>
        </is>
      </c>
      <c r="F663" s="12" t="n">
        <v>1</v>
      </c>
      <c r="G663" s="12" t="n">
        <v>1</v>
      </c>
      <c r="H663" s="72" t="n"/>
      <c r="I663" s="72" t="n"/>
      <c r="J663" s="72" t="n"/>
      <c r="K663" s="72" t="inlineStr">
        <is>
          <t>3890-0000</t>
        </is>
      </c>
      <c r="L663" s="72" t="inlineStr">
        <is>
          <t>Cash Flow</t>
        </is>
      </c>
    </row>
    <row r="664">
      <c r="A664" s="72" t="inlineStr">
        <is>
          <t>3035-0000</t>
        </is>
      </c>
      <c r="B664" s="72" t="inlineStr">
        <is>
          <t>The GREAT BIG G, LLC</t>
        </is>
      </c>
      <c r="C664" s="72" t="inlineStr">
        <is>
          <t>Credit</t>
        </is>
      </c>
      <c r="D664" s="72" t="inlineStr">
        <is>
          <t>Head</t>
        </is>
      </c>
      <c r="E664" s="72" t="inlineStr">
        <is>
          <t>Bal</t>
        </is>
      </c>
      <c r="F664" s="12" t="n">
        <v>1</v>
      </c>
      <c r="G664" s="12" t="n">
        <v>1</v>
      </c>
      <c r="H664" s="72" t="n"/>
      <c r="I664" s="72" t="n"/>
      <c r="J664" s="72" t="n"/>
      <c r="K664" s="72" t="n"/>
      <c r="L664" s="72" t="inlineStr">
        <is>
          <t>Exclude</t>
        </is>
      </c>
    </row>
    <row r="665">
      <c r="A665" s="72" t="inlineStr">
        <is>
          <t>3036-0000</t>
        </is>
      </c>
      <c r="B665" s="72" t="inlineStr">
        <is>
          <t>The Great Big G Contribution</t>
        </is>
      </c>
      <c r="C665" s="72" t="inlineStr">
        <is>
          <t>Credit</t>
        </is>
      </c>
      <c r="D665" s="72" t="inlineStr">
        <is>
          <t>Reg</t>
        </is>
      </c>
      <c r="E665" s="72" t="inlineStr">
        <is>
          <t>Bal</t>
        </is>
      </c>
      <c r="F665" s="12" t="n">
        <v>1</v>
      </c>
      <c r="G665" s="12" t="n">
        <v>1</v>
      </c>
      <c r="H665" s="72" t="n"/>
      <c r="I665" s="72" t="n"/>
      <c r="J665" s="72" t="n"/>
      <c r="K665" s="72" t="inlineStr">
        <is>
          <t>3038-0000</t>
        </is>
      </c>
      <c r="L665" s="72" t="inlineStr">
        <is>
          <t>Cash Flow</t>
        </is>
      </c>
    </row>
    <row r="666">
      <c r="A666" s="72" t="inlineStr">
        <is>
          <t>3037-0000</t>
        </is>
      </c>
      <c r="B666" s="72" t="inlineStr">
        <is>
          <t>The Great Big G Distribution</t>
        </is>
      </c>
      <c r="C666" s="72" t="inlineStr">
        <is>
          <t>Credit</t>
        </is>
      </c>
      <c r="D666" s="72" t="inlineStr">
        <is>
          <t>Reg</t>
        </is>
      </c>
      <c r="E666" s="72" t="inlineStr">
        <is>
          <t>Bal</t>
        </is>
      </c>
      <c r="F666" s="12" t="n">
        <v>1</v>
      </c>
      <c r="G666" s="12" t="n">
        <v>1</v>
      </c>
      <c r="H666" s="72" t="n"/>
      <c r="I666" s="72" t="n"/>
      <c r="J666" s="72" t="n"/>
      <c r="K666" s="72" t="inlineStr">
        <is>
          <t>3038-0000</t>
        </is>
      </c>
      <c r="L666" s="72" t="inlineStr">
        <is>
          <t>Cash Flow</t>
        </is>
      </c>
    </row>
    <row r="667">
      <c r="A667" s="72" t="inlineStr">
        <is>
          <t>3038-0000</t>
        </is>
      </c>
      <c r="B667" s="72" t="inlineStr">
        <is>
          <t>The GREAT BIG G, LLC TOTAL</t>
        </is>
      </c>
      <c r="C667" s="72" t="inlineStr">
        <is>
          <t>Credit</t>
        </is>
      </c>
      <c r="D667" s="72" t="inlineStr">
        <is>
          <t>Tot</t>
        </is>
      </c>
      <c r="E667" s="72" t="inlineStr">
        <is>
          <t>Bal</t>
        </is>
      </c>
      <c r="F667" s="12" t="n">
        <v>1</v>
      </c>
      <c r="G667" s="12" t="n">
        <v>1</v>
      </c>
      <c r="H667" s="72" t="n"/>
      <c r="I667" s="72" t="n"/>
      <c r="J667" s="72" t="n"/>
      <c r="K667" s="72" t="inlineStr">
        <is>
          <t>3890-0000</t>
        </is>
      </c>
      <c r="L667" s="72" t="n"/>
    </row>
    <row r="668">
      <c r="A668" s="72" t="inlineStr">
        <is>
          <t>3039-0000</t>
        </is>
      </c>
      <c r="B668" s="72" t="inlineStr">
        <is>
          <t>JEKI VERDE LLC</t>
        </is>
      </c>
      <c r="C668" s="72" t="inlineStr">
        <is>
          <t>Credit</t>
        </is>
      </c>
      <c r="D668" s="72" t="inlineStr">
        <is>
          <t>Head</t>
        </is>
      </c>
      <c r="E668" s="72" t="inlineStr">
        <is>
          <t>Bal</t>
        </is>
      </c>
      <c r="F668" s="12" t="n">
        <v>1</v>
      </c>
      <c r="G668" s="12" t="n">
        <v>1</v>
      </c>
      <c r="H668" s="72" t="n"/>
      <c r="I668" s="72" t="n"/>
      <c r="J668" s="72" t="n"/>
      <c r="K668" s="72" t="n"/>
      <c r="L668" s="72" t="n"/>
    </row>
    <row r="669">
      <c r="A669" s="72" t="inlineStr">
        <is>
          <t>3040-0000</t>
        </is>
      </c>
      <c r="B669" s="72" t="inlineStr">
        <is>
          <t>Jeki Verde LLC Contribution</t>
        </is>
      </c>
      <c r="C669" s="72" t="inlineStr">
        <is>
          <t>Credit</t>
        </is>
      </c>
      <c r="D669" s="72" t="inlineStr">
        <is>
          <t>Reg</t>
        </is>
      </c>
      <c r="E669" s="72" t="inlineStr">
        <is>
          <t>Bal</t>
        </is>
      </c>
      <c r="F669" s="12" t="n">
        <v>1</v>
      </c>
      <c r="G669" s="12" t="n">
        <v>1</v>
      </c>
      <c r="H669" s="72" t="n"/>
      <c r="I669" s="72" t="n"/>
      <c r="J669" s="72" t="n"/>
      <c r="K669" s="72" t="inlineStr">
        <is>
          <t>3042-0000</t>
        </is>
      </c>
      <c r="L669" s="72" t="inlineStr">
        <is>
          <t>Cash Flow</t>
        </is>
      </c>
    </row>
    <row r="670">
      <c r="A670" s="72" t="inlineStr">
        <is>
          <t>3041-0000</t>
        </is>
      </c>
      <c r="B670" s="72" t="inlineStr">
        <is>
          <t>Jeki Verde LLC Distribution</t>
        </is>
      </c>
      <c r="C670" s="72" t="inlineStr">
        <is>
          <t>Credit</t>
        </is>
      </c>
      <c r="D670" s="72" t="inlineStr">
        <is>
          <t>Reg</t>
        </is>
      </c>
      <c r="E670" s="72" t="inlineStr">
        <is>
          <t>Bal</t>
        </is>
      </c>
      <c r="F670" s="12" t="n">
        <v>1</v>
      </c>
      <c r="G670" s="12" t="n">
        <v>1</v>
      </c>
      <c r="H670" s="72" t="n"/>
      <c r="I670" s="72" t="n"/>
      <c r="J670" s="72" t="n"/>
      <c r="K670" s="72" t="inlineStr">
        <is>
          <t>3042-0000</t>
        </is>
      </c>
      <c r="L670" s="72" t="inlineStr">
        <is>
          <t>Cash Flow</t>
        </is>
      </c>
    </row>
    <row r="671">
      <c r="A671" s="72" t="inlineStr">
        <is>
          <t>3042-0000</t>
        </is>
      </c>
      <c r="B671" s="72" t="inlineStr">
        <is>
          <t>JEKI VERDE LLC TOTAL</t>
        </is>
      </c>
      <c r="C671" s="72" t="inlineStr">
        <is>
          <t>Credit</t>
        </is>
      </c>
      <c r="D671" s="72" t="inlineStr">
        <is>
          <t>Tot</t>
        </is>
      </c>
      <c r="E671" s="72" t="inlineStr">
        <is>
          <t>Bal</t>
        </is>
      </c>
      <c r="F671" s="12" t="n">
        <v>1</v>
      </c>
      <c r="G671" s="12" t="n">
        <v>1</v>
      </c>
      <c r="H671" s="72" t="n"/>
      <c r="I671" s="72" t="n"/>
      <c r="J671" s="72" t="n"/>
      <c r="K671" s="72" t="inlineStr">
        <is>
          <t>3890-0000</t>
        </is>
      </c>
      <c r="L671" s="72" t="n"/>
    </row>
    <row r="672">
      <c r="A672" s="72" t="inlineStr">
        <is>
          <t>3046-0000</t>
        </is>
      </c>
      <c r="B672" s="72" t="inlineStr">
        <is>
          <t>RONNIE STILLMAN</t>
        </is>
      </c>
      <c r="C672" s="72" t="inlineStr">
        <is>
          <t>Credit</t>
        </is>
      </c>
      <c r="D672" s="72" t="inlineStr">
        <is>
          <t>Head</t>
        </is>
      </c>
      <c r="E672" s="72" t="inlineStr">
        <is>
          <t>Bal</t>
        </is>
      </c>
      <c r="F672" s="12" t="n">
        <v>1</v>
      </c>
      <c r="G672" s="12" t="n">
        <v>1</v>
      </c>
      <c r="H672" s="72" t="n"/>
      <c r="I672" s="72" t="n"/>
      <c r="J672" s="72" t="n"/>
      <c r="K672" s="72" t="n"/>
      <c r="L672" s="72" t="n"/>
    </row>
    <row r="673">
      <c r="A673" s="72" t="inlineStr">
        <is>
          <t>3047-0000</t>
        </is>
      </c>
      <c r="B673" s="72" t="inlineStr">
        <is>
          <t>Ronnie Stillman Contribution</t>
        </is>
      </c>
      <c r="C673" s="72" t="inlineStr">
        <is>
          <t>Credit</t>
        </is>
      </c>
      <c r="D673" s="72" t="inlineStr">
        <is>
          <t>Reg</t>
        </is>
      </c>
      <c r="E673" s="72" t="inlineStr">
        <is>
          <t>Bal</t>
        </is>
      </c>
      <c r="F673" s="12" t="n">
        <v>1</v>
      </c>
      <c r="G673" s="12" t="n">
        <v>1</v>
      </c>
      <c r="H673" s="72" t="n"/>
      <c r="I673" s="72" t="n"/>
      <c r="J673" s="72" t="n"/>
      <c r="K673" s="72" t="inlineStr">
        <is>
          <t>3049-0000</t>
        </is>
      </c>
      <c r="L673" s="72" t="inlineStr">
        <is>
          <t>Cash Flow</t>
        </is>
      </c>
    </row>
    <row r="674">
      <c r="A674" s="72" t="inlineStr">
        <is>
          <t>3048-0000</t>
        </is>
      </c>
      <c r="B674" s="72" t="inlineStr">
        <is>
          <t>Ronnie Stillman Distribution</t>
        </is>
      </c>
      <c r="C674" s="72" t="inlineStr">
        <is>
          <t>Credit</t>
        </is>
      </c>
      <c r="D674" s="72" t="inlineStr">
        <is>
          <t>Reg</t>
        </is>
      </c>
      <c r="E674" s="72" t="inlineStr">
        <is>
          <t>Bal</t>
        </is>
      </c>
      <c r="F674" s="12" t="n">
        <v>1</v>
      </c>
      <c r="G674" s="12" t="n">
        <v>1</v>
      </c>
      <c r="H674" s="72" t="n"/>
      <c r="I674" s="72" t="n"/>
      <c r="J674" s="72" t="n"/>
      <c r="K674" s="72" t="inlineStr">
        <is>
          <t>3049-0000</t>
        </is>
      </c>
      <c r="L674" s="72" t="inlineStr">
        <is>
          <t>Cash Flow</t>
        </is>
      </c>
    </row>
    <row r="675">
      <c r="A675" s="72" t="inlineStr">
        <is>
          <t>3049-0000</t>
        </is>
      </c>
      <c r="B675" s="72" t="inlineStr">
        <is>
          <t>RONNIE STILLMAN TOTAL</t>
        </is>
      </c>
      <c r="C675" s="72" t="inlineStr">
        <is>
          <t>Credit</t>
        </is>
      </c>
      <c r="D675" s="72" t="inlineStr">
        <is>
          <t>Tot</t>
        </is>
      </c>
      <c r="E675" s="72" t="inlineStr">
        <is>
          <t>Bal</t>
        </is>
      </c>
      <c r="F675" s="12" t="n">
        <v>1</v>
      </c>
      <c r="G675" s="12" t="n">
        <v>1</v>
      </c>
      <c r="H675" s="72" t="n"/>
      <c r="I675" s="72" t="n"/>
      <c r="J675" s="72" t="n"/>
      <c r="K675" s="72" t="inlineStr">
        <is>
          <t>3890-0000</t>
        </is>
      </c>
      <c r="L675" s="72" t="n"/>
    </row>
    <row r="676">
      <c r="A676" s="72" t="inlineStr">
        <is>
          <t>3050-0000</t>
        </is>
      </c>
      <c r="B676" s="72" t="inlineStr">
        <is>
          <t>HOWARD STILLMAN</t>
        </is>
      </c>
      <c r="C676" s="72" t="inlineStr">
        <is>
          <t>Credit</t>
        </is>
      </c>
      <c r="D676" s="72" t="inlineStr">
        <is>
          <t>Head</t>
        </is>
      </c>
      <c r="E676" s="72" t="inlineStr">
        <is>
          <t>Bal</t>
        </is>
      </c>
      <c r="F676" s="12" t="n">
        <v>1</v>
      </c>
      <c r="G676" s="12" t="n">
        <v>1</v>
      </c>
      <c r="H676" s="72" t="n"/>
      <c r="I676" s="72" t="n"/>
      <c r="J676" s="72" t="n"/>
      <c r="K676" s="72" t="n"/>
      <c r="L676" s="72" t="n"/>
    </row>
    <row r="677">
      <c r="A677" s="72" t="inlineStr">
        <is>
          <t>3051-0000</t>
        </is>
      </c>
      <c r="B677" s="72" t="inlineStr">
        <is>
          <t>Howard Stillman Contribution</t>
        </is>
      </c>
      <c r="C677" s="72" t="inlineStr">
        <is>
          <t>Credit</t>
        </is>
      </c>
      <c r="D677" s="72" t="inlineStr">
        <is>
          <t>Reg</t>
        </is>
      </c>
      <c r="E677" s="72" t="inlineStr">
        <is>
          <t>Bal</t>
        </is>
      </c>
      <c r="F677" s="12" t="n">
        <v>1</v>
      </c>
      <c r="G677" s="12" t="n">
        <v>1</v>
      </c>
      <c r="H677" s="72" t="n"/>
      <c r="I677" s="72" t="n"/>
      <c r="J677" s="72" t="n"/>
      <c r="K677" s="72" t="inlineStr">
        <is>
          <t>3053-0000</t>
        </is>
      </c>
      <c r="L677" s="72" t="inlineStr">
        <is>
          <t>Cash Flow</t>
        </is>
      </c>
    </row>
    <row r="678">
      <c r="A678" s="72" t="inlineStr">
        <is>
          <t>3052-0000</t>
        </is>
      </c>
      <c r="B678" s="72" t="inlineStr">
        <is>
          <t>Howard Stillman Distribution</t>
        </is>
      </c>
      <c r="C678" s="72" t="inlineStr">
        <is>
          <t>Credit</t>
        </is>
      </c>
      <c r="D678" s="72" t="inlineStr">
        <is>
          <t>Reg</t>
        </is>
      </c>
      <c r="E678" s="72" t="inlineStr">
        <is>
          <t>Bal</t>
        </is>
      </c>
      <c r="F678" s="12" t="n">
        <v>1</v>
      </c>
      <c r="G678" s="12" t="n">
        <v>1</v>
      </c>
      <c r="H678" s="72" t="n"/>
      <c r="I678" s="72" t="n"/>
      <c r="J678" s="72" t="n"/>
      <c r="K678" s="72" t="inlineStr">
        <is>
          <t>3053-0000</t>
        </is>
      </c>
      <c r="L678" s="72" t="inlineStr">
        <is>
          <t>Cash Flow</t>
        </is>
      </c>
    </row>
    <row r="679">
      <c r="A679" s="72" t="inlineStr">
        <is>
          <t>3053-0000</t>
        </is>
      </c>
      <c r="B679" s="72" t="inlineStr">
        <is>
          <t>HOWARD STILLMAN TOTAL</t>
        </is>
      </c>
      <c r="C679" s="72" t="inlineStr">
        <is>
          <t>Credit</t>
        </is>
      </c>
      <c r="D679" s="72" t="inlineStr">
        <is>
          <t>Tot</t>
        </is>
      </c>
      <c r="E679" s="72" t="inlineStr">
        <is>
          <t>Bal</t>
        </is>
      </c>
      <c r="F679" s="12" t="n">
        <v>1</v>
      </c>
      <c r="G679" s="12" t="n">
        <v>1</v>
      </c>
      <c r="H679" s="72" t="n"/>
      <c r="I679" s="72" t="n"/>
      <c r="J679" s="72" t="n"/>
      <c r="K679" s="72" t="inlineStr">
        <is>
          <t>3890-0000</t>
        </is>
      </c>
      <c r="L679" s="72" t="n"/>
    </row>
    <row r="680">
      <c r="A680" s="72" t="inlineStr">
        <is>
          <t>3055-0000</t>
        </is>
      </c>
      <c r="B680" s="72" t="inlineStr">
        <is>
          <t>EP ACQUISITIONS</t>
        </is>
      </c>
      <c r="C680" s="72" t="inlineStr">
        <is>
          <t>Credit</t>
        </is>
      </c>
      <c r="D680" s="72" t="inlineStr">
        <is>
          <t>Head</t>
        </is>
      </c>
      <c r="E680" s="72" t="inlineStr">
        <is>
          <t>Bal</t>
        </is>
      </c>
      <c r="F680" s="12" t="n">
        <v>1</v>
      </c>
      <c r="G680" s="12" t="n">
        <v>1</v>
      </c>
      <c r="H680" s="72" t="n"/>
      <c r="I680" s="72" t="n"/>
      <c r="J680" s="72" t="n"/>
      <c r="K680" s="72" t="n"/>
      <c r="L680" s="72" t="n"/>
    </row>
    <row r="681">
      <c r="A681" s="72" t="inlineStr">
        <is>
          <t>3056-0000</t>
        </is>
      </c>
      <c r="B681" s="72" t="inlineStr">
        <is>
          <t>EP Acquisitions Equity Contribution</t>
        </is>
      </c>
      <c r="C681" s="72" t="inlineStr">
        <is>
          <t>Credit</t>
        </is>
      </c>
      <c r="D681" s="72" t="inlineStr">
        <is>
          <t>Reg</t>
        </is>
      </c>
      <c r="E681" s="72" t="inlineStr">
        <is>
          <t>Bal</t>
        </is>
      </c>
      <c r="F681" s="12" t="n">
        <v>1</v>
      </c>
      <c r="G681" s="12" t="n">
        <v>1</v>
      </c>
      <c r="H681" s="72" t="n"/>
      <c r="I681" s="72" t="n"/>
      <c r="J681" s="72" t="n"/>
      <c r="K681" s="72" t="inlineStr">
        <is>
          <t>3060-0000</t>
        </is>
      </c>
      <c r="L681" s="72" t="inlineStr">
        <is>
          <t>Cash Flow</t>
        </is>
      </c>
    </row>
    <row r="682">
      <c r="A682" s="72" t="inlineStr">
        <is>
          <t>3057-0000</t>
        </is>
      </c>
      <c r="B682" s="72" t="inlineStr">
        <is>
          <t>EP Partner Distribution</t>
        </is>
      </c>
      <c r="C682" s="72" t="inlineStr">
        <is>
          <t>Credit</t>
        </is>
      </c>
      <c r="D682" s="72" t="inlineStr">
        <is>
          <t>Reg</t>
        </is>
      </c>
      <c r="E682" s="72" t="inlineStr">
        <is>
          <t>Bal</t>
        </is>
      </c>
      <c r="F682" s="12" t="n">
        <v>1</v>
      </c>
      <c r="G682" s="12" t="n">
        <v>1</v>
      </c>
      <c r="H682" s="72" t="n"/>
      <c r="I682" s="72" t="n"/>
      <c r="J682" s="72" t="n"/>
      <c r="K682" s="72" t="inlineStr">
        <is>
          <t>3060-0000</t>
        </is>
      </c>
      <c r="L682" s="72" t="inlineStr">
        <is>
          <t>Cash Flow</t>
        </is>
      </c>
    </row>
    <row r="683">
      <c r="A683" s="72" t="inlineStr">
        <is>
          <t>3060-0000</t>
        </is>
      </c>
      <c r="B683" s="72" t="inlineStr">
        <is>
          <t>EP ACQUISTIONS TOTAL</t>
        </is>
      </c>
      <c r="C683" s="72" t="inlineStr">
        <is>
          <t>Credit</t>
        </is>
      </c>
      <c r="D683" s="72" t="inlineStr">
        <is>
          <t>Tot</t>
        </is>
      </c>
      <c r="E683" s="72" t="inlineStr">
        <is>
          <t>Bal</t>
        </is>
      </c>
      <c r="F683" s="12" t="n">
        <v>1</v>
      </c>
      <c r="G683" s="12" t="n">
        <v>1</v>
      </c>
      <c r="H683" s="72" t="n"/>
      <c r="I683" s="72" t="n"/>
      <c r="J683" s="72" t="n"/>
      <c r="K683" s="72" t="inlineStr">
        <is>
          <t>3890-0000</t>
        </is>
      </c>
      <c r="L683" s="72" t="n"/>
    </row>
    <row r="684">
      <c r="A684" s="72" t="inlineStr">
        <is>
          <t>3064-0000</t>
        </is>
      </c>
      <c r="B684" s="72" t="inlineStr">
        <is>
          <t>EP ACQUISITIONS II</t>
        </is>
      </c>
      <c r="C684" s="72" t="inlineStr">
        <is>
          <t>Credit</t>
        </is>
      </c>
      <c r="D684" s="72" t="inlineStr">
        <is>
          <t>Head</t>
        </is>
      </c>
      <c r="E684" s="72" t="inlineStr">
        <is>
          <t>Bal</t>
        </is>
      </c>
      <c r="F684" s="12" t="n">
        <v>1</v>
      </c>
      <c r="G684" s="12" t="n">
        <v>1</v>
      </c>
      <c r="H684" s="72" t="n"/>
      <c r="I684" s="72" t="n"/>
      <c r="J684" s="72" t="n"/>
      <c r="K684" s="72" t="n"/>
      <c r="L684" s="72" t="n"/>
    </row>
    <row r="685">
      <c r="A685" s="72" t="inlineStr">
        <is>
          <t>3065-0000</t>
        </is>
      </c>
      <c r="B685" s="72" t="inlineStr">
        <is>
          <t>EP Acquisitions II Equity Contribution</t>
        </is>
      </c>
      <c r="C685" s="72" t="inlineStr">
        <is>
          <t>Credit</t>
        </is>
      </c>
      <c r="D685" s="72" t="inlineStr">
        <is>
          <t>Reg</t>
        </is>
      </c>
      <c r="E685" s="72" t="inlineStr">
        <is>
          <t>Bal</t>
        </is>
      </c>
      <c r="F685" s="12" t="n">
        <v>1</v>
      </c>
      <c r="G685" s="12" t="n">
        <v>1</v>
      </c>
      <c r="H685" s="72" t="n"/>
      <c r="I685" s="72" t="n"/>
      <c r="J685" s="72" t="n"/>
      <c r="K685" s="72" t="inlineStr">
        <is>
          <t>3067-0000</t>
        </is>
      </c>
      <c r="L685" s="72" t="inlineStr">
        <is>
          <t>Cash Flow</t>
        </is>
      </c>
    </row>
    <row r="686">
      <c r="A686" s="72" t="inlineStr">
        <is>
          <t>3066-0000</t>
        </is>
      </c>
      <c r="B686" s="72" t="inlineStr">
        <is>
          <t>EP Acquisitions II Equity Distribution</t>
        </is>
      </c>
      <c r="C686" s="72" t="inlineStr">
        <is>
          <t>Credit</t>
        </is>
      </c>
      <c r="D686" s="72" t="inlineStr">
        <is>
          <t>Reg</t>
        </is>
      </c>
      <c r="E686" s="72" t="inlineStr">
        <is>
          <t>Bal</t>
        </is>
      </c>
      <c r="F686" s="12" t="n">
        <v>1</v>
      </c>
      <c r="G686" s="12" t="n">
        <v>1</v>
      </c>
      <c r="H686" s="72" t="n"/>
      <c r="I686" s="72" t="n"/>
      <c r="J686" s="72" t="n"/>
      <c r="K686" s="72" t="inlineStr">
        <is>
          <t>3067-0000</t>
        </is>
      </c>
      <c r="L686" s="72" t="inlineStr">
        <is>
          <t>Cash Flow</t>
        </is>
      </c>
    </row>
    <row r="687">
      <c r="A687" s="72" t="inlineStr">
        <is>
          <t>3067-0000</t>
        </is>
      </c>
      <c r="B687" s="72" t="inlineStr">
        <is>
          <t>EP ACQUISITIONS II TOTAL</t>
        </is>
      </c>
      <c r="C687" s="72" t="inlineStr">
        <is>
          <t>Credit</t>
        </is>
      </c>
      <c r="D687" s="72" t="inlineStr">
        <is>
          <t>Tot</t>
        </is>
      </c>
      <c r="E687" s="72" t="inlineStr">
        <is>
          <t>Bal</t>
        </is>
      </c>
      <c r="F687" s="12" t="n">
        <v>1</v>
      </c>
      <c r="G687" s="12" t="n">
        <v>1</v>
      </c>
      <c r="H687" s="72" t="n"/>
      <c r="I687" s="72" t="n"/>
      <c r="J687" s="72" t="n"/>
      <c r="K687" s="72" t="inlineStr">
        <is>
          <t>3890-0000</t>
        </is>
      </c>
      <c r="L687" s="72" t="n"/>
    </row>
    <row r="688">
      <c r="A688" s="72" t="inlineStr">
        <is>
          <t>3068-0000</t>
        </is>
      </c>
      <c r="B688" s="72" t="inlineStr">
        <is>
          <t>GAMANZ, LLC</t>
        </is>
      </c>
      <c r="C688" s="72" t="inlineStr">
        <is>
          <t>Credit</t>
        </is>
      </c>
      <c r="D688" s="72" t="inlineStr">
        <is>
          <t>Head</t>
        </is>
      </c>
      <c r="E688" s="72" t="inlineStr">
        <is>
          <t>Bal</t>
        </is>
      </c>
      <c r="F688" s="12" t="n">
        <v>1</v>
      </c>
      <c r="G688" s="12" t="n">
        <v>1</v>
      </c>
      <c r="H688" s="72" t="n"/>
      <c r="I688" s="72" t="n"/>
      <c r="J688" s="72" t="n"/>
      <c r="K688" s="72" t="inlineStr">
        <is>
          <t>3071-0000</t>
        </is>
      </c>
      <c r="L688" s="72" t="n"/>
    </row>
    <row r="689">
      <c r="A689" s="72" t="inlineStr">
        <is>
          <t>3069-0000</t>
        </is>
      </c>
      <c r="B689" s="72" t="inlineStr">
        <is>
          <t>Gamanz, LLC Contribution</t>
        </is>
      </c>
      <c r="C689" s="72" t="inlineStr">
        <is>
          <t>Credit</t>
        </is>
      </c>
      <c r="D689" s="72" t="inlineStr">
        <is>
          <t>Reg</t>
        </is>
      </c>
      <c r="E689" s="72" t="inlineStr">
        <is>
          <t>Bal</t>
        </is>
      </c>
      <c r="F689" s="12" t="n">
        <v>1</v>
      </c>
      <c r="G689" s="12" t="n">
        <v>1</v>
      </c>
      <c r="H689" s="72" t="n"/>
      <c r="I689" s="72" t="n"/>
      <c r="J689" s="72" t="n"/>
      <c r="K689" s="72" t="inlineStr">
        <is>
          <t>3071-0000</t>
        </is>
      </c>
      <c r="L689" s="72" t="inlineStr">
        <is>
          <t>Cash Flow</t>
        </is>
      </c>
    </row>
    <row r="690">
      <c r="A690" s="72" t="inlineStr">
        <is>
          <t>3070-0000</t>
        </is>
      </c>
      <c r="B690" s="72" t="inlineStr">
        <is>
          <t>Gamanz, LLC Distribution</t>
        </is>
      </c>
      <c r="C690" s="72" t="inlineStr">
        <is>
          <t>Credit</t>
        </is>
      </c>
      <c r="D690" s="72" t="inlineStr">
        <is>
          <t>Reg</t>
        </is>
      </c>
      <c r="E690" s="72" t="inlineStr">
        <is>
          <t>Bal</t>
        </is>
      </c>
      <c r="F690" s="12" t="n">
        <v>1</v>
      </c>
      <c r="G690" s="12" t="n">
        <v>1</v>
      </c>
      <c r="H690" s="72" t="n"/>
      <c r="I690" s="72" t="n"/>
      <c r="J690" s="72" t="n"/>
      <c r="K690" s="72" t="inlineStr">
        <is>
          <t>3071-0000</t>
        </is>
      </c>
      <c r="L690" s="72" t="inlineStr">
        <is>
          <t>Cash Flow</t>
        </is>
      </c>
    </row>
    <row r="691">
      <c r="A691" s="72" t="inlineStr">
        <is>
          <t>3071-0000</t>
        </is>
      </c>
      <c r="B691" s="72" t="inlineStr">
        <is>
          <t>GAMANZ, LLC TOTAL</t>
        </is>
      </c>
      <c r="C691" s="72" t="inlineStr">
        <is>
          <t>Credit</t>
        </is>
      </c>
      <c r="D691" s="72" t="inlineStr">
        <is>
          <t>Tot</t>
        </is>
      </c>
      <c r="E691" s="72" t="inlineStr">
        <is>
          <t>Bal</t>
        </is>
      </c>
      <c r="F691" s="12" t="n">
        <v>1</v>
      </c>
      <c r="G691" s="12" t="n">
        <v>1</v>
      </c>
      <c r="H691" s="72" t="n"/>
      <c r="I691" s="72" t="n"/>
      <c r="J691" s="72" t="n"/>
      <c r="K691" s="72" t="inlineStr">
        <is>
          <t>3890-0000</t>
        </is>
      </c>
      <c r="L691" s="72" t="n"/>
    </row>
    <row r="692">
      <c r="A692" s="72" t="inlineStr">
        <is>
          <t>3076-0000</t>
        </is>
      </c>
      <c r="B692" s="72" t="inlineStr">
        <is>
          <t>David Duckler Contribution</t>
        </is>
      </c>
      <c r="C692" s="72" t="inlineStr">
        <is>
          <t>Credit</t>
        </is>
      </c>
      <c r="D692" s="72" t="inlineStr">
        <is>
          <t>Reg</t>
        </is>
      </c>
      <c r="E692" s="72" t="inlineStr">
        <is>
          <t>Bal</t>
        </is>
      </c>
      <c r="F692" s="12" t="n">
        <v>1</v>
      </c>
      <c r="G692" s="12" t="n">
        <v>1</v>
      </c>
      <c r="H692" s="72" t="n"/>
      <c r="I692" s="72" t="n"/>
      <c r="J692" s="72" t="n"/>
      <c r="K692" s="72" t="inlineStr">
        <is>
          <t>3080-0000</t>
        </is>
      </c>
      <c r="L692" s="72" t="inlineStr">
        <is>
          <t>Cash Flow</t>
        </is>
      </c>
    </row>
    <row r="693">
      <c r="A693" s="72" t="inlineStr">
        <is>
          <t>3077-0000</t>
        </is>
      </c>
      <c r="B693" s="72" t="inlineStr">
        <is>
          <t>David Duckler Distribution Account</t>
        </is>
      </c>
      <c r="C693" s="72" t="inlineStr">
        <is>
          <t>Credit</t>
        </is>
      </c>
      <c r="D693" s="72" t="inlineStr">
        <is>
          <t>Reg</t>
        </is>
      </c>
      <c r="E693" s="72" t="inlineStr">
        <is>
          <t>Bal</t>
        </is>
      </c>
      <c r="F693" s="12" t="n">
        <v>1</v>
      </c>
      <c r="G693" s="12" t="n">
        <v>1</v>
      </c>
      <c r="H693" s="72" t="n"/>
      <c r="I693" s="72" t="n"/>
      <c r="J693" s="72" t="n"/>
      <c r="K693" s="72" t="inlineStr">
        <is>
          <t>3080-0000</t>
        </is>
      </c>
      <c r="L693" s="72" t="inlineStr">
        <is>
          <t>Cash Flow</t>
        </is>
      </c>
    </row>
    <row r="694">
      <c r="A694" s="72" t="inlineStr">
        <is>
          <t>3080-0000</t>
        </is>
      </c>
      <c r="B694" s="72" t="inlineStr">
        <is>
          <t>TOTAL DAVID DUCKLER</t>
        </is>
      </c>
      <c r="C694" s="72" t="inlineStr">
        <is>
          <t>Credit</t>
        </is>
      </c>
      <c r="D694" s="72" t="inlineStr">
        <is>
          <t>Tot</t>
        </is>
      </c>
      <c r="E694" s="72" t="inlineStr">
        <is>
          <t>Bal</t>
        </is>
      </c>
      <c r="F694" s="12" t="n">
        <v>1</v>
      </c>
      <c r="G694" s="12" t="n">
        <v>1</v>
      </c>
      <c r="H694" s="72" t="n"/>
      <c r="I694" s="72" t="n"/>
      <c r="J694" s="72" t="n"/>
      <c r="K694" s="72" t="inlineStr">
        <is>
          <t>3890-0000</t>
        </is>
      </c>
      <c r="L694" s="72" t="n"/>
    </row>
    <row r="695">
      <c r="A695" s="72" t="inlineStr">
        <is>
          <t>3085-0000</t>
        </is>
      </c>
      <c r="B695" s="72" t="inlineStr">
        <is>
          <t>EP Dempster Contribution</t>
        </is>
      </c>
      <c r="C695" s="72" t="inlineStr">
        <is>
          <t>Credit</t>
        </is>
      </c>
      <c r="D695" s="72" t="inlineStr">
        <is>
          <t>Reg</t>
        </is>
      </c>
      <c r="E695" s="72" t="inlineStr">
        <is>
          <t>Bal</t>
        </is>
      </c>
      <c r="F695" s="12" t="n">
        <v>1</v>
      </c>
      <c r="G695" s="12" t="n">
        <v>1</v>
      </c>
      <c r="H695" s="72" t="n"/>
      <c r="I695" s="72" t="n"/>
      <c r="J695" s="72" t="n"/>
      <c r="K695" s="72" t="inlineStr">
        <is>
          <t>3090-0000</t>
        </is>
      </c>
      <c r="L695" s="72" t="inlineStr">
        <is>
          <t>Cash Flow</t>
        </is>
      </c>
    </row>
    <row r="696">
      <c r="A696" s="72" t="inlineStr">
        <is>
          <t>3086-0000</t>
        </is>
      </c>
      <c r="B696" s="72" t="inlineStr">
        <is>
          <t>EP Dempster Distribution</t>
        </is>
      </c>
      <c r="C696" s="72" t="inlineStr">
        <is>
          <t>Credit</t>
        </is>
      </c>
      <c r="D696" s="72" t="inlineStr">
        <is>
          <t>Reg</t>
        </is>
      </c>
      <c r="E696" s="72" t="inlineStr">
        <is>
          <t>Bal</t>
        </is>
      </c>
      <c r="F696" s="12" t="n">
        <v>1</v>
      </c>
      <c r="G696" s="12" t="n">
        <v>1</v>
      </c>
      <c r="H696" s="72" t="n"/>
      <c r="I696" s="72" t="n"/>
      <c r="J696" s="72" t="n"/>
      <c r="K696" s="72" t="inlineStr">
        <is>
          <t>3090-0000</t>
        </is>
      </c>
      <c r="L696" s="72" t="inlineStr">
        <is>
          <t>Cash Flow</t>
        </is>
      </c>
    </row>
    <row r="697">
      <c r="A697" s="72" t="inlineStr">
        <is>
          <t>3090-0000</t>
        </is>
      </c>
      <c r="B697" s="72" t="inlineStr">
        <is>
          <t>TOTAL EP DEMPSTER</t>
        </is>
      </c>
      <c r="C697" s="72" t="inlineStr">
        <is>
          <t>Credit</t>
        </is>
      </c>
      <c r="D697" s="72" t="inlineStr">
        <is>
          <t>Tot</t>
        </is>
      </c>
      <c r="E697" s="72" t="inlineStr">
        <is>
          <t>Bal</t>
        </is>
      </c>
      <c r="F697" s="12" t="n">
        <v>1</v>
      </c>
      <c r="G697" s="12" t="n">
        <v>1</v>
      </c>
      <c r="H697" s="72" t="n"/>
      <c r="I697" s="72" t="n"/>
      <c r="J697" s="72" t="n"/>
      <c r="K697" s="72" t="inlineStr">
        <is>
          <t>3890-0000</t>
        </is>
      </c>
      <c r="L697" s="72" t="n"/>
    </row>
    <row r="698">
      <c r="A698" s="72" t="inlineStr">
        <is>
          <t>3090-1000</t>
        </is>
      </c>
      <c r="B698" s="72" t="inlineStr">
        <is>
          <t>EP Dempster Capital</t>
        </is>
      </c>
      <c r="C698" s="72" t="inlineStr">
        <is>
          <t>Credit</t>
        </is>
      </c>
      <c r="D698" s="72" t="inlineStr">
        <is>
          <t>Reg</t>
        </is>
      </c>
      <c r="E698" s="72" t="inlineStr">
        <is>
          <t>Bal</t>
        </is>
      </c>
      <c r="F698" s="12" t="n">
        <v>0</v>
      </c>
      <c r="G698" s="12" t="n">
        <v>1</v>
      </c>
      <c r="H698" s="72" t="n"/>
      <c r="I698" s="72" t="n"/>
      <c r="J698" s="72" t="n"/>
      <c r="K698" s="72" t="inlineStr">
        <is>
          <t>3890-0000</t>
        </is>
      </c>
      <c r="L698" s="72" t="inlineStr">
        <is>
          <t>Cash Flow</t>
        </is>
      </c>
    </row>
    <row r="699">
      <c r="A699" s="72" t="inlineStr">
        <is>
          <t>3091-1000</t>
        </is>
      </c>
      <c r="B699" s="72" t="inlineStr">
        <is>
          <t>Owner Contribution</t>
        </is>
      </c>
      <c r="C699" s="72" t="inlineStr">
        <is>
          <t>Credit</t>
        </is>
      </c>
      <c r="D699" s="72" t="inlineStr">
        <is>
          <t>Reg</t>
        </is>
      </c>
      <c r="E699" s="72" t="inlineStr">
        <is>
          <t>Bal</t>
        </is>
      </c>
      <c r="F699" s="12" t="n">
        <v>1</v>
      </c>
      <c r="G699" s="12" t="n">
        <v>1</v>
      </c>
      <c r="H699" s="72" t="n"/>
      <c r="I699" s="72" t="n"/>
      <c r="J699" s="72" t="n"/>
      <c r="K699" s="72" t="inlineStr">
        <is>
          <t>3890-0000</t>
        </is>
      </c>
      <c r="L699" s="72" t="inlineStr">
        <is>
          <t>Cash Flow</t>
        </is>
      </c>
    </row>
    <row r="700">
      <c r="A700" s="72" t="inlineStr">
        <is>
          <t>3100-0000</t>
        </is>
      </c>
      <c r="B700" s="72" t="inlineStr">
        <is>
          <t>Initial Capital</t>
        </is>
      </c>
      <c r="C700" s="72" t="inlineStr">
        <is>
          <t>Credit</t>
        </is>
      </c>
      <c r="D700" s="72" t="inlineStr">
        <is>
          <t>Reg</t>
        </is>
      </c>
      <c r="E700" s="72" t="inlineStr">
        <is>
          <t>Bal</t>
        </is>
      </c>
      <c r="F700" s="12" t="n">
        <v>1</v>
      </c>
      <c r="G700" s="12" t="n">
        <v>1</v>
      </c>
      <c r="H700" s="72" t="n"/>
      <c r="I700" s="72" t="n"/>
      <c r="J700" s="72" t="n"/>
      <c r="K700" s="72" t="inlineStr">
        <is>
          <t>3890-0000</t>
        </is>
      </c>
      <c r="L700" s="72" t="inlineStr">
        <is>
          <t>Cash Flow</t>
        </is>
      </c>
    </row>
    <row r="701">
      <c r="A701" s="72" t="inlineStr">
        <is>
          <t>3206-0000</t>
        </is>
      </c>
      <c r="B701" s="72" t="inlineStr">
        <is>
          <t>Lender Advance</t>
        </is>
      </c>
      <c r="C701" s="72" t="inlineStr">
        <is>
          <t>Credit</t>
        </is>
      </c>
      <c r="D701" s="72" t="inlineStr">
        <is>
          <t>Reg</t>
        </is>
      </c>
      <c r="E701" s="72" t="inlineStr">
        <is>
          <t>Bal</t>
        </is>
      </c>
      <c r="F701" s="12" t="n">
        <v>1</v>
      </c>
      <c r="G701" s="12" t="n">
        <v>1</v>
      </c>
      <c r="H701" s="72" t="n"/>
      <c r="I701" s="72" t="n"/>
      <c r="J701" s="72" t="n"/>
      <c r="K701" s="72" t="inlineStr">
        <is>
          <t>3890-0000</t>
        </is>
      </c>
      <c r="L701" s="72" t="inlineStr">
        <is>
          <t>Cash Flow</t>
        </is>
      </c>
    </row>
    <row r="702">
      <c r="A702" s="72" t="inlineStr">
        <is>
          <t>3206-0500</t>
        </is>
      </c>
      <c r="B702" s="72" t="inlineStr">
        <is>
          <t>Lender Distribution</t>
        </is>
      </c>
      <c r="C702" s="72" t="inlineStr">
        <is>
          <t>Debit</t>
        </is>
      </c>
      <c r="D702" s="72" t="inlineStr">
        <is>
          <t>Reg</t>
        </is>
      </c>
      <c r="E702" s="72" t="inlineStr">
        <is>
          <t>Bal</t>
        </is>
      </c>
      <c r="F702" s="12" t="n">
        <v>1</v>
      </c>
      <c r="G702" s="12" t="n">
        <v>1</v>
      </c>
      <c r="H702" s="72" t="n"/>
      <c r="I702" s="72" t="n"/>
      <c r="J702" s="72" t="n"/>
      <c r="K702" s="72" t="inlineStr">
        <is>
          <t>3890-0000</t>
        </is>
      </c>
      <c r="L702" s="72" t="inlineStr">
        <is>
          <t>Cash Flow</t>
        </is>
      </c>
    </row>
    <row r="703">
      <c r="A703" s="72" t="inlineStr">
        <is>
          <t>3206-1000</t>
        </is>
      </c>
      <c r="B703" s="72" t="inlineStr">
        <is>
          <t>Funds From Borrower</t>
        </is>
      </c>
      <c r="C703" s="72" t="inlineStr">
        <is>
          <t>Credit</t>
        </is>
      </c>
      <c r="D703" s="72" t="inlineStr">
        <is>
          <t>Reg</t>
        </is>
      </c>
      <c r="E703" s="72" t="inlineStr">
        <is>
          <t>Bal</t>
        </is>
      </c>
      <c r="F703" s="12" t="n">
        <v>1</v>
      </c>
      <c r="G703" s="12" t="n">
        <v>1</v>
      </c>
      <c r="H703" s="72" t="n"/>
      <c r="I703" s="72" t="n"/>
      <c r="J703" s="72" t="n"/>
      <c r="K703" s="72" t="inlineStr">
        <is>
          <t>3890-0000</t>
        </is>
      </c>
      <c r="L703" s="72" t="inlineStr">
        <is>
          <t>Cash Flow</t>
        </is>
      </c>
    </row>
    <row r="704">
      <c r="A704" s="72" t="inlineStr">
        <is>
          <t>3207-0000</t>
        </is>
      </c>
      <c r="B704" s="72" t="inlineStr">
        <is>
          <t>Net Income</t>
        </is>
      </c>
      <c r="C704" s="72" t="inlineStr">
        <is>
          <t>Debit</t>
        </is>
      </c>
      <c r="D704" s="72" t="inlineStr">
        <is>
          <t>Reg</t>
        </is>
      </c>
      <c r="E704" s="72" t="inlineStr">
        <is>
          <t>Inc</t>
        </is>
      </c>
      <c r="F704" s="12" t="n">
        <v>1</v>
      </c>
      <c r="G704" s="12" t="n">
        <v>1</v>
      </c>
      <c r="H704" s="72" t="n"/>
      <c r="I704" s="72" t="n"/>
      <c r="J704" s="72" t="n"/>
      <c r="K704" s="72" t="inlineStr">
        <is>
          <t>3890-0000</t>
        </is>
      </c>
      <c r="L704" s="72" t="n"/>
    </row>
    <row r="705">
      <c r="A705" s="72" t="inlineStr">
        <is>
          <t>3207-1000</t>
        </is>
      </c>
      <c r="B705" s="72" t="inlineStr">
        <is>
          <t>Owner Equity</t>
        </is>
      </c>
      <c r="C705" s="72" t="inlineStr">
        <is>
          <t>Credit</t>
        </is>
      </c>
      <c r="D705" s="72" t="inlineStr">
        <is>
          <t>Reg</t>
        </is>
      </c>
      <c r="E705" s="72" t="inlineStr">
        <is>
          <t>Bal</t>
        </is>
      </c>
      <c r="F705" s="12" t="n">
        <v>1</v>
      </c>
      <c r="G705" s="12" t="n">
        <v>1</v>
      </c>
      <c r="H705" s="72" t="n"/>
      <c r="I705" s="72" t="n"/>
      <c r="J705" s="72" t="n"/>
      <c r="K705" s="72" t="inlineStr">
        <is>
          <t>3890-0000</t>
        </is>
      </c>
      <c r="L705" s="72" t="inlineStr">
        <is>
          <t>Cash Flow</t>
        </is>
      </c>
    </row>
    <row r="706">
      <c r="A706" s="72" t="inlineStr">
        <is>
          <t>3207-2000</t>
        </is>
      </c>
      <c r="B706" s="72" t="inlineStr">
        <is>
          <t>Members Equity</t>
        </is>
      </c>
      <c r="C706" s="72" t="inlineStr">
        <is>
          <t>Credit</t>
        </is>
      </c>
      <c r="D706" s="72" t="inlineStr">
        <is>
          <t>Reg</t>
        </is>
      </c>
      <c r="E706" s="72" t="inlineStr">
        <is>
          <t>Bal</t>
        </is>
      </c>
      <c r="F706" s="12" t="n">
        <v>1</v>
      </c>
      <c r="G706" s="12" t="n">
        <v>1</v>
      </c>
      <c r="H706" s="72" t="n"/>
      <c r="I706" s="72" t="n"/>
      <c r="J706" s="72" t="n"/>
      <c r="K706" s="72" t="inlineStr">
        <is>
          <t>3890-0000</t>
        </is>
      </c>
      <c r="L706" s="72" t="inlineStr">
        <is>
          <t>Cash Flow</t>
        </is>
      </c>
    </row>
    <row r="707">
      <c r="A707" s="72" t="inlineStr">
        <is>
          <t>3210-0000</t>
        </is>
      </c>
      <c r="B707" s="72" t="inlineStr">
        <is>
          <t>Prior Years Contribution</t>
        </is>
      </c>
      <c r="C707" s="72" t="inlineStr">
        <is>
          <t>Credit</t>
        </is>
      </c>
      <c r="D707" s="72" t="inlineStr">
        <is>
          <t>Reg</t>
        </is>
      </c>
      <c r="E707" s="72" t="inlineStr">
        <is>
          <t>Bal</t>
        </is>
      </c>
      <c r="F707" s="12" t="n">
        <v>1</v>
      </c>
      <c r="G707" s="12" t="n">
        <v>1</v>
      </c>
      <c r="H707" s="72" t="n"/>
      <c r="I707" s="72" t="n"/>
      <c r="J707" s="72" t="n"/>
      <c r="K707" s="72" t="inlineStr">
        <is>
          <t>3890-0000</t>
        </is>
      </c>
      <c r="L707" s="72" t="inlineStr">
        <is>
          <t>Cash Flow</t>
        </is>
      </c>
    </row>
    <row r="708">
      <c r="A708" s="72" t="inlineStr">
        <is>
          <t>3300-0000</t>
        </is>
      </c>
      <c r="B708" s="72" t="inlineStr">
        <is>
          <t>Owner Distributions</t>
        </is>
      </c>
      <c r="C708" s="72" t="inlineStr">
        <is>
          <t>Credit</t>
        </is>
      </c>
      <c r="D708" s="72" t="inlineStr">
        <is>
          <t>Reg</t>
        </is>
      </c>
      <c r="E708" s="72" t="inlineStr">
        <is>
          <t>Bal</t>
        </is>
      </c>
      <c r="F708" s="12" t="n">
        <v>1</v>
      </c>
      <c r="G708" s="12" t="n">
        <v>1</v>
      </c>
      <c r="H708" s="72" t="n"/>
      <c r="I708" s="72" t="n"/>
      <c r="J708" s="72" t="n"/>
      <c r="K708" s="72" t="inlineStr">
        <is>
          <t>3890-0000</t>
        </is>
      </c>
      <c r="L708" s="72" t="inlineStr">
        <is>
          <t>Cash Flow</t>
        </is>
      </c>
    </row>
    <row r="709">
      <c r="A709" s="72" t="inlineStr">
        <is>
          <t>3303-1410</t>
        </is>
      </c>
      <c r="B709" s="72" t="inlineStr">
        <is>
          <t>Cross Family Trust</t>
        </is>
      </c>
      <c r="C709" s="72" t="inlineStr">
        <is>
          <t>Credit</t>
        </is>
      </c>
      <c r="D709" s="72" t="inlineStr">
        <is>
          <t>Head</t>
        </is>
      </c>
      <c r="E709" s="72" t="inlineStr">
        <is>
          <t>Bal</t>
        </is>
      </c>
      <c r="F709" s="12" t="n">
        <v>0</v>
      </c>
      <c r="G709" s="12" t="n">
        <v>1</v>
      </c>
      <c r="H709" s="72" t="n"/>
      <c r="I709" s="72" t="n"/>
      <c r="J709" s="72" t="n"/>
      <c r="K709" s="72" t="inlineStr">
        <is>
          <t>3303-1413</t>
        </is>
      </c>
      <c r="L709" s="72" t="n"/>
    </row>
    <row r="710">
      <c r="A710" s="72" t="inlineStr">
        <is>
          <t>3303-1411</t>
        </is>
      </c>
      <c r="B710" s="72" t="inlineStr">
        <is>
          <t>Cross Family Trust Contribution</t>
        </is>
      </c>
      <c r="C710" s="72" t="inlineStr">
        <is>
          <t>Credit</t>
        </is>
      </c>
      <c r="D710" s="72" t="inlineStr">
        <is>
          <t>Reg</t>
        </is>
      </c>
      <c r="E710" s="72" t="inlineStr">
        <is>
          <t>Bal</t>
        </is>
      </c>
      <c r="F710" s="12" t="n">
        <v>0</v>
      </c>
      <c r="G710" s="12" t="n">
        <v>1</v>
      </c>
      <c r="H710" s="72" t="n"/>
      <c r="I710" s="72" t="n"/>
      <c r="J710" s="72" t="n"/>
      <c r="K710" s="72" t="inlineStr">
        <is>
          <t>3303-1413</t>
        </is>
      </c>
      <c r="L710" s="72" t="inlineStr">
        <is>
          <t>Cash Flow</t>
        </is>
      </c>
    </row>
    <row r="711">
      <c r="A711" s="72" t="inlineStr">
        <is>
          <t>3303-1412</t>
        </is>
      </c>
      <c r="B711" s="72" t="inlineStr">
        <is>
          <t>Cross Family Trust Distribution</t>
        </is>
      </c>
      <c r="C711" s="72" t="inlineStr">
        <is>
          <t>Credit</t>
        </is>
      </c>
      <c r="D711" s="72" t="inlineStr">
        <is>
          <t>Reg</t>
        </is>
      </c>
      <c r="E711" s="72" t="inlineStr">
        <is>
          <t>Bal</t>
        </is>
      </c>
      <c r="F711" s="12" t="n">
        <v>0</v>
      </c>
      <c r="G711" s="12" t="n">
        <v>1</v>
      </c>
      <c r="H711" s="72" t="n"/>
      <c r="I711" s="72" t="n"/>
      <c r="J711" s="72" t="n"/>
      <c r="K711" s="72" t="inlineStr">
        <is>
          <t>3303-1413</t>
        </is>
      </c>
      <c r="L711" s="72" t="inlineStr">
        <is>
          <t>Cash Flow</t>
        </is>
      </c>
    </row>
    <row r="712">
      <c r="A712" s="72" t="inlineStr">
        <is>
          <t>3303-1413</t>
        </is>
      </c>
      <c r="B712" s="72" t="inlineStr">
        <is>
          <t>Cross Family Trust Total</t>
        </is>
      </c>
      <c r="C712" s="72" t="inlineStr">
        <is>
          <t>Credit</t>
        </is>
      </c>
      <c r="D712" s="72" t="inlineStr">
        <is>
          <t>Tot</t>
        </is>
      </c>
      <c r="E712" s="72" t="inlineStr">
        <is>
          <t>Bal</t>
        </is>
      </c>
      <c r="F712" s="12" t="n">
        <v>0</v>
      </c>
      <c r="G712" s="12" t="n">
        <v>1</v>
      </c>
      <c r="H712" s="72" t="n"/>
      <c r="I712" s="72" t="n"/>
      <c r="J712" s="72" t="n"/>
      <c r="K712" s="72" t="inlineStr">
        <is>
          <t>3890-0000</t>
        </is>
      </c>
      <c r="L712" s="72" t="n"/>
    </row>
    <row r="713">
      <c r="A713" s="72" t="inlineStr">
        <is>
          <t>3303-1420</t>
        </is>
      </c>
      <c r="B713" s="72" t="inlineStr">
        <is>
          <t>RDL Investments LLC</t>
        </is>
      </c>
      <c r="C713" s="72" t="inlineStr">
        <is>
          <t>Credit</t>
        </is>
      </c>
      <c r="D713" s="72" t="inlineStr">
        <is>
          <t>Head</t>
        </is>
      </c>
      <c r="E713" s="72" t="inlineStr">
        <is>
          <t>Bal</t>
        </is>
      </c>
      <c r="F713" s="12" t="n">
        <v>1</v>
      </c>
      <c r="G713" s="12" t="n">
        <v>1</v>
      </c>
      <c r="H713" s="72" t="n"/>
      <c r="I713" s="72" t="n"/>
      <c r="J713" s="72" t="n"/>
      <c r="K713" s="72" t="inlineStr">
        <is>
          <t>3303-1423</t>
        </is>
      </c>
      <c r="L713" s="72" t="n"/>
    </row>
    <row r="714">
      <c r="A714" s="72" t="inlineStr">
        <is>
          <t>3303-1421</t>
        </is>
      </c>
      <c r="B714" s="72" t="inlineStr">
        <is>
          <t>RDL Investments LLC Contribution</t>
        </is>
      </c>
      <c r="C714" s="72" t="inlineStr">
        <is>
          <t>Credit</t>
        </is>
      </c>
      <c r="D714" s="72" t="inlineStr">
        <is>
          <t>Reg</t>
        </is>
      </c>
      <c r="E714" s="72" t="inlineStr">
        <is>
          <t>Bal</t>
        </is>
      </c>
      <c r="F714" s="12" t="n">
        <v>0</v>
      </c>
      <c r="G714" s="12" t="n">
        <v>1</v>
      </c>
      <c r="H714" s="72" t="n"/>
      <c r="I714" s="72" t="n"/>
      <c r="J714" s="72" t="n"/>
      <c r="K714" s="72" t="inlineStr">
        <is>
          <t>3303-1423</t>
        </is>
      </c>
      <c r="L714" s="72" t="inlineStr">
        <is>
          <t>Cash Flow</t>
        </is>
      </c>
    </row>
    <row r="715">
      <c r="A715" s="72" t="inlineStr">
        <is>
          <t>3303-1422</t>
        </is>
      </c>
      <c r="B715" s="72" t="inlineStr">
        <is>
          <t>RDL Investments LLC Distribution</t>
        </is>
      </c>
      <c r="C715" s="72" t="inlineStr">
        <is>
          <t>Credit</t>
        </is>
      </c>
      <c r="D715" s="72" t="inlineStr">
        <is>
          <t>Reg</t>
        </is>
      </c>
      <c r="E715" s="72" t="inlineStr">
        <is>
          <t>Bal</t>
        </is>
      </c>
      <c r="F715" s="12" t="n">
        <v>1</v>
      </c>
      <c r="G715" s="12" t="n">
        <v>1</v>
      </c>
      <c r="H715" s="72" t="n"/>
      <c r="I715" s="72" t="n"/>
      <c r="J715" s="72" t="n"/>
      <c r="K715" s="72" t="inlineStr">
        <is>
          <t>3303-1423</t>
        </is>
      </c>
      <c r="L715" s="72" t="inlineStr">
        <is>
          <t>Cash Flow</t>
        </is>
      </c>
    </row>
    <row r="716">
      <c r="A716" s="72" t="inlineStr">
        <is>
          <t>3303-1423</t>
        </is>
      </c>
      <c r="B716" s="72" t="inlineStr">
        <is>
          <t>RDL Investments LLC Total</t>
        </is>
      </c>
      <c r="C716" s="72" t="inlineStr">
        <is>
          <t>Credit</t>
        </is>
      </c>
      <c r="D716" s="72" t="inlineStr">
        <is>
          <t>Tot</t>
        </is>
      </c>
      <c r="E716" s="72" t="inlineStr">
        <is>
          <t>Bal</t>
        </is>
      </c>
      <c r="F716" s="12" t="n">
        <v>1</v>
      </c>
      <c r="G716" s="12" t="n">
        <v>1</v>
      </c>
      <c r="H716" s="72" t="n"/>
      <c r="I716" s="72" t="n"/>
      <c r="J716" s="72" t="n"/>
      <c r="K716" s="72" t="inlineStr">
        <is>
          <t>3890-0000</t>
        </is>
      </c>
      <c r="L716" s="72" t="n"/>
    </row>
    <row r="717">
      <c r="A717" s="72" t="inlineStr">
        <is>
          <t>3303-1430</t>
        </is>
      </c>
      <c r="B717" s="72" t="inlineStr">
        <is>
          <t>Feng Bei</t>
        </is>
      </c>
      <c r="C717" s="72" t="inlineStr">
        <is>
          <t>Credit</t>
        </is>
      </c>
      <c r="D717" s="72" t="inlineStr">
        <is>
          <t>Head</t>
        </is>
      </c>
      <c r="E717" s="72" t="inlineStr">
        <is>
          <t>Bal</t>
        </is>
      </c>
      <c r="F717" s="12" t="n">
        <v>0</v>
      </c>
      <c r="G717" s="12" t="n">
        <v>1</v>
      </c>
      <c r="H717" s="72" t="n"/>
      <c r="I717" s="72" t="n"/>
      <c r="J717" s="72" t="n"/>
      <c r="K717" s="72" t="inlineStr">
        <is>
          <t>3303-1433</t>
        </is>
      </c>
      <c r="L717" s="72" t="n"/>
    </row>
    <row r="718">
      <c r="A718" s="72" t="inlineStr">
        <is>
          <t>3303-1431</t>
        </is>
      </c>
      <c r="B718" s="72" t="inlineStr">
        <is>
          <t>Feng Bei Contribution</t>
        </is>
      </c>
      <c r="C718" s="72" t="inlineStr">
        <is>
          <t>Credit</t>
        </is>
      </c>
      <c r="D718" s="72" t="inlineStr">
        <is>
          <t>Reg</t>
        </is>
      </c>
      <c r="E718" s="72" t="inlineStr">
        <is>
          <t>Bal</t>
        </is>
      </c>
      <c r="F718" s="12" t="n">
        <v>0</v>
      </c>
      <c r="G718" s="12" t="n">
        <v>1</v>
      </c>
      <c r="H718" s="72" t="n"/>
      <c r="I718" s="72" t="n"/>
      <c r="J718" s="72" t="n"/>
      <c r="K718" s="72" t="inlineStr">
        <is>
          <t>3303-1433</t>
        </is>
      </c>
      <c r="L718" s="72" t="inlineStr">
        <is>
          <t>Cash Flow</t>
        </is>
      </c>
    </row>
    <row r="719">
      <c r="A719" s="72" t="inlineStr">
        <is>
          <t>3303-1432</t>
        </is>
      </c>
      <c r="B719" s="72" t="inlineStr">
        <is>
          <t>Feng Bei Distribution</t>
        </is>
      </c>
      <c r="C719" s="72" t="inlineStr">
        <is>
          <t>Credit</t>
        </is>
      </c>
      <c r="D719" s="72" t="inlineStr">
        <is>
          <t>Reg</t>
        </is>
      </c>
      <c r="E719" s="72" t="inlineStr">
        <is>
          <t>Bal</t>
        </is>
      </c>
      <c r="F719" s="12" t="n">
        <v>0</v>
      </c>
      <c r="G719" s="12" t="n">
        <v>1</v>
      </c>
      <c r="H719" s="72" t="n"/>
      <c r="I719" s="72" t="n"/>
      <c r="J719" s="72" t="n"/>
      <c r="K719" s="72" t="inlineStr">
        <is>
          <t>3303-1433</t>
        </is>
      </c>
      <c r="L719" s="72" t="inlineStr">
        <is>
          <t>Cash Flow</t>
        </is>
      </c>
    </row>
    <row r="720">
      <c r="A720" s="72" t="inlineStr">
        <is>
          <t>3303-1433</t>
        </is>
      </c>
      <c r="B720" s="72" t="inlineStr">
        <is>
          <t>Feng Bei Total</t>
        </is>
      </c>
      <c r="C720" s="72" t="inlineStr">
        <is>
          <t>Credit</t>
        </is>
      </c>
      <c r="D720" s="72" t="inlineStr">
        <is>
          <t>Tot</t>
        </is>
      </c>
      <c r="E720" s="72" t="inlineStr">
        <is>
          <t>Bal</t>
        </is>
      </c>
      <c r="F720" s="12" t="n">
        <v>0</v>
      </c>
      <c r="G720" s="12" t="n">
        <v>1</v>
      </c>
      <c r="H720" s="72" t="n"/>
      <c r="I720" s="72" t="n"/>
      <c r="J720" s="72" t="n"/>
      <c r="K720" s="72" t="inlineStr">
        <is>
          <t>3890-0000</t>
        </is>
      </c>
      <c r="L720" s="72" t="n"/>
    </row>
    <row r="721">
      <c r="A721" s="72" t="inlineStr">
        <is>
          <t>3303-1440</t>
        </is>
      </c>
      <c r="B721" s="72" t="inlineStr">
        <is>
          <t>Brad Sarnoff Declaration of Trust</t>
        </is>
      </c>
      <c r="C721" s="72" t="inlineStr">
        <is>
          <t>Credit</t>
        </is>
      </c>
      <c r="D721" s="72" t="inlineStr">
        <is>
          <t>Head</t>
        </is>
      </c>
      <c r="E721" s="72" t="inlineStr">
        <is>
          <t>Bal</t>
        </is>
      </c>
      <c r="F721" s="12" t="n">
        <v>0</v>
      </c>
      <c r="G721" s="12" t="n">
        <v>1</v>
      </c>
      <c r="H721" s="72" t="n"/>
      <c r="I721" s="72" t="n"/>
      <c r="J721" s="72" t="n"/>
      <c r="K721" s="72" t="inlineStr">
        <is>
          <t>3303-1443</t>
        </is>
      </c>
      <c r="L721" s="72" t="n"/>
    </row>
    <row r="722">
      <c r="A722" s="72" t="inlineStr">
        <is>
          <t>3303-1441</t>
        </is>
      </c>
      <c r="B722" s="72" t="inlineStr">
        <is>
          <t>Brad Sarnoff Declaration of Trust Contribution</t>
        </is>
      </c>
      <c r="C722" s="72" t="inlineStr">
        <is>
          <t>Credit</t>
        </is>
      </c>
      <c r="D722" s="72" t="inlineStr">
        <is>
          <t>Reg</t>
        </is>
      </c>
      <c r="E722" s="72" t="inlineStr">
        <is>
          <t>Bal</t>
        </is>
      </c>
      <c r="F722" s="12" t="n">
        <v>0</v>
      </c>
      <c r="G722" s="12" t="n">
        <v>1</v>
      </c>
      <c r="H722" s="72" t="n"/>
      <c r="I722" s="72" t="n"/>
      <c r="J722" s="72" t="n"/>
      <c r="K722" s="72" t="inlineStr">
        <is>
          <t>3303-1443</t>
        </is>
      </c>
      <c r="L722" s="72" t="inlineStr">
        <is>
          <t>Cash Flow</t>
        </is>
      </c>
    </row>
    <row r="723">
      <c r="A723" s="72" t="inlineStr">
        <is>
          <t>3303-1442</t>
        </is>
      </c>
      <c r="B723" s="72" t="inlineStr">
        <is>
          <t>Brad Sarnoff Declaration of Trust Distribution</t>
        </is>
      </c>
      <c r="C723" s="72" t="inlineStr">
        <is>
          <t>Credit</t>
        </is>
      </c>
      <c r="D723" s="72" t="inlineStr">
        <is>
          <t>Reg</t>
        </is>
      </c>
      <c r="E723" s="72" t="inlineStr">
        <is>
          <t>Bal</t>
        </is>
      </c>
      <c r="F723" s="12" t="n">
        <v>0</v>
      </c>
      <c r="G723" s="12" t="n">
        <v>1</v>
      </c>
      <c r="H723" s="72" t="n"/>
      <c r="I723" s="72" t="n"/>
      <c r="J723" s="72" t="n"/>
      <c r="K723" s="72" t="inlineStr">
        <is>
          <t>3303-1443</t>
        </is>
      </c>
      <c r="L723" s="72" t="inlineStr">
        <is>
          <t>Cash Flow</t>
        </is>
      </c>
    </row>
    <row r="724">
      <c r="A724" s="72" t="inlineStr">
        <is>
          <t>3303-1443</t>
        </is>
      </c>
      <c r="B724" s="72" t="inlineStr">
        <is>
          <t>Brad Sarnoff Declaration of Trust Total</t>
        </is>
      </c>
      <c r="C724" s="72" t="inlineStr">
        <is>
          <t>Credit</t>
        </is>
      </c>
      <c r="D724" s="72" t="inlineStr">
        <is>
          <t>Tot</t>
        </is>
      </c>
      <c r="E724" s="72" t="inlineStr">
        <is>
          <t>Bal</t>
        </is>
      </c>
      <c r="F724" s="12" t="n">
        <v>0</v>
      </c>
      <c r="G724" s="12" t="n">
        <v>1</v>
      </c>
      <c r="H724" s="72" t="n"/>
      <c r="I724" s="72" t="n"/>
      <c r="J724" s="72" t="n"/>
      <c r="K724" s="72" t="inlineStr">
        <is>
          <t>3890-0000</t>
        </is>
      </c>
      <c r="L724" s="72" t="n"/>
    </row>
    <row r="725">
      <c r="A725" s="72" t="inlineStr">
        <is>
          <t>3303-1450</t>
        </is>
      </c>
      <c r="B725" s="72" t="inlineStr">
        <is>
          <t>R&amp;C Partners</t>
        </is>
      </c>
      <c r="C725" s="72" t="inlineStr">
        <is>
          <t>Credit</t>
        </is>
      </c>
      <c r="D725" s="72" t="inlineStr">
        <is>
          <t>Head</t>
        </is>
      </c>
      <c r="E725" s="72" t="inlineStr">
        <is>
          <t>Bal</t>
        </is>
      </c>
      <c r="F725" s="12" t="n">
        <v>0</v>
      </c>
      <c r="G725" s="12" t="n">
        <v>1</v>
      </c>
      <c r="H725" s="72" t="n"/>
      <c r="I725" s="72" t="n"/>
      <c r="J725" s="72" t="n"/>
      <c r="K725" s="72" t="inlineStr">
        <is>
          <t>3303-1453</t>
        </is>
      </c>
      <c r="L725" s="72" t="n"/>
    </row>
    <row r="726">
      <c r="A726" s="72" t="inlineStr">
        <is>
          <t>3303-1451</t>
        </is>
      </c>
      <c r="B726" s="72" t="inlineStr">
        <is>
          <t>R&amp;C Partners Contribution</t>
        </is>
      </c>
      <c r="C726" s="72" t="inlineStr">
        <is>
          <t>Credit</t>
        </is>
      </c>
      <c r="D726" s="72" t="inlineStr">
        <is>
          <t>Reg</t>
        </is>
      </c>
      <c r="E726" s="72" t="inlineStr">
        <is>
          <t>Bal</t>
        </is>
      </c>
      <c r="F726" s="12" t="n">
        <v>0</v>
      </c>
      <c r="G726" s="12" t="n">
        <v>1</v>
      </c>
      <c r="H726" s="72" t="n"/>
      <c r="I726" s="72" t="n"/>
      <c r="J726" s="72" t="n"/>
      <c r="K726" s="72" t="inlineStr">
        <is>
          <t>3303-1453</t>
        </is>
      </c>
      <c r="L726" s="72" t="inlineStr">
        <is>
          <t>Cash Flow</t>
        </is>
      </c>
    </row>
    <row r="727">
      <c r="A727" s="72" t="inlineStr">
        <is>
          <t>3303-1452</t>
        </is>
      </c>
      <c r="B727" s="72" t="inlineStr">
        <is>
          <t>R&amp;C Partners Distribution</t>
        </is>
      </c>
      <c r="C727" s="72" t="inlineStr">
        <is>
          <t>Credit</t>
        </is>
      </c>
      <c r="D727" s="72" t="inlineStr">
        <is>
          <t>Reg</t>
        </is>
      </c>
      <c r="E727" s="72" t="inlineStr">
        <is>
          <t>Bal</t>
        </is>
      </c>
      <c r="F727" s="12" t="n">
        <v>0</v>
      </c>
      <c r="G727" s="12" t="n">
        <v>1</v>
      </c>
      <c r="H727" s="72" t="n"/>
      <c r="I727" s="72" t="n"/>
      <c r="J727" s="72" t="n"/>
      <c r="K727" s="72" t="inlineStr">
        <is>
          <t>3303-1453</t>
        </is>
      </c>
      <c r="L727" s="72" t="inlineStr">
        <is>
          <t>Cash Flow</t>
        </is>
      </c>
    </row>
    <row r="728">
      <c r="A728" s="72" t="inlineStr">
        <is>
          <t>3303-1453</t>
        </is>
      </c>
      <c r="B728" s="72" t="inlineStr">
        <is>
          <t>R&amp;C Partners Total</t>
        </is>
      </c>
      <c r="C728" s="72" t="inlineStr">
        <is>
          <t>Credit</t>
        </is>
      </c>
      <c r="D728" s="72" t="inlineStr">
        <is>
          <t>Tot</t>
        </is>
      </c>
      <c r="E728" s="72" t="inlineStr">
        <is>
          <t>Bal</t>
        </is>
      </c>
      <c r="F728" s="12" t="n">
        <v>0</v>
      </c>
      <c r="G728" s="12" t="n">
        <v>1</v>
      </c>
      <c r="H728" s="72" t="n"/>
      <c r="I728" s="72" t="n"/>
      <c r="J728" s="72" t="n"/>
      <c r="K728" s="72" t="inlineStr">
        <is>
          <t>3890-0000</t>
        </is>
      </c>
      <c r="L728" s="72" t="n"/>
    </row>
    <row r="729">
      <c r="A729" s="72" t="inlineStr">
        <is>
          <t>3303-1460</t>
        </is>
      </c>
      <c r="B729" s="72" t="inlineStr">
        <is>
          <t>Tony Mirchandani</t>
        </is>
      </c>
      <c r="C729" s="72" t="inlineStr">
        <is>
          <t>Credit</t>
        </is>
      </c>
      <c r="D729" s="72" t="inlineStr">
        <is>
          <t>Head</t>
        </is>
      </c>
      <c r="E729" s="72" t="inlineStr">
        <is>
          <t>Bal</t>
        </is>
      </c>
      <c r="F729" s="12" t="n">
        <v>0</v>
      </c>
      <c r="G729" s="12" t="n">
        <v>1</v>
      </c>
      <c r="H729" s="72" t="n"/>
      <c r="I729" s="72" t="n"/>
      <c r="J729" s="72" t="n"/>
      <c r="K729" s="72" t="inlineStr">
        <is>
          <t>3303-1463</t>
        </is>
      </c>
      <c r="L729" s="72" t="n"/>
    </row>
    <row r="730">
      <c r="A730" s="72" t="inlineStr">
        <is>
          <t>3303-1461</t>
        </is>
      </c>
      <c r="B730" s="72" t="inlineStr">
        <is>
          <t>Tony Mirchandani Contribution</t>
        </is>
      </c>
      <c r="C730" s="72" t="inlineStr">
        <is>
          <t>Credit</t>
        </is>
      </c>
      <c r="D730" s="72" t="inlineStr">
        <is>
          <t>Reg</t>
        </is>
      </c>
      <c r="E730" s="72" t="inlineStr">
        <is>
          <t>Bal</t>
        </is>
      </c>
      <c r="F730" s="12" t="n">
        <v>0</v>
      </c>
      <c r="G730" s="12" t="n">
        <v>1</v>
      </c>
      <c r="H730" s="72" t="n"/>
      <c r="I730" s="72" t="n"/>
      <c r="J730" s="72" t="n"/>
      <c r="K730" s="72" t="inlineStr">
        <is>
          <t>3303-1463</t>
        </is>
      </c>
      <c r="L730" s="72" t="inlineStr">
        <is>
          <t>Cash Flow</t>
        </is>
      </c>
    </row>
    <row r="731">
      <c r="A731" s="72" t="inlineStr">
        <is>
          <t>3303-1462</t>
        </is>
      </c>
      <c r="B731" s="72" t="inlineStr">
        <is>
          <t>Tony Mirchandani Distribution</t>
        </is>
      </c>
      <c r="C731" s="72" t="inlineStr">
        <is>
          <t>Credit</t>
        </is>
      </c>
      <c r="D731" s="72" t="inlineStr">
        <is>
          <t>Reg</t>
        </is>
      </c>
      <c r="E731" s="72" t="inlineStr">
        <is>
          <t>Bal</t>
        </is>
      </c>
      <c r="F731" s="12" t="n">
        <v>0</v>
      </c>
      <c r="G731" s="12" t="n">
        <v>1</v>
      </c>
      <c r="H731" s="72" t="n"/>
      <c r="I731" s="72" t="n"/>
      <c r="J731" s="72" t="n"/>
      <c r="K731" s="72" t="inlineStr">
        <is>
          <t>3303-1463</t>
        </is>
      </c>
      <c r="L731" s="72" t="inlineStr">
        <is>
          <t>Cash Flow</t>
        </is>
      </c>
    </row>
    <row r="732">
      <c r="A732" s="72" t="inlineStr">
        <is>
          <t>3303-1463</t>
        </is>
      </c>
      <c r="B732" s="72" t="inlineStr">
        <is>
          <t>Tony Mirchandani Total</t>
        </is>
      </c>
      <c r="C732" s="72" t="inlineStr">
        <is>
          <t>Credit</t>
        </is>
      </c>
      <c r="D732" s="72" t="inlineStr">
        <is>
          <t>Tot</t>
        </is>
      </c>
      <c r="E732" s="72" t="inlineStr">
        <is>
          <t>Bal</t>
        </is>
      </c>
      <c r="F732" s="12" t="n">
        <v>0</v>
      </c>
      <c r="G732" s="12" t="n">
        <v>1</v>
      </c>
      <c r="H732" s="72" t="n"/>
      <c r="I732" s="72" t="n"/>
      <c r="J732" s="72" t="n"/>
      <c r="K732" s="72" t="inlineStr">
        <is>
          <t>3890-0000</t>
        </is>
      </c>
      <c r="L732" s="72" t="n"/>
    </row>
    <row r="733">
      <c r="A733" s="72" t="inlineStr">
        <is>
          <t>3303-1470</t>
        </is>
      </c>
      <c r="B733" s="72" t="inlineStr">
        <is>
          <t>Chuck Dinolfo</t>
        </is>
      </c>
      <c r="C733" s="72" t="inlineStr">
        <is>
          <t>Credit</t>
        </is>
      </c>
      <c r="D733" s="72" t="inlineStr">
        <is>
          <t>Head</t>
        </is>
      </c>
      <c r="E733" s="72" t="inlineStr">
        <is>
          <t>Bal</t>
        </is>
      </c>
      <c r="F733" s="12" t="n">
        <v>0</v>
      </c>
      <c r="G733" s="12" t="n">
        <v>1</v>
      </c>
      <c r="H733" s="72" t="n"/>
      <c r="I733" s="72" t="n"/>
      <c r="J733" s="72" t="n"/>
      <c r="K733" s="72" t="inlineStr">
        <is>
          <t>3303-1473</t>
        </is>
      </c>
      <c r="L733" s="72" t="n"/>
    </row>
    <row r="734">
      <c r="A734" s="72" t="inlineStr">
        <is>
          <t>3303-1471</t>
        </is>
      </c>
      <c r="B734" s="72" t="inlineStr">
        <is>
          <t>Chuck Dinolfo Contribution</t>
        </is>
      </c>
      <c r="C734" s="72" t="inlineStr">
        <is>
          <t>Credit</t>
        </is>
      </c>
      <c r="D734" s="72" t="inlineStr">
        <is>
          <t>Reg</t>
        </is>
      </c>
      <c r="E734" s="72" t="inlineStr">
        <is>
          <t>Bal</t>
        </is>
      </c>
      <c r="F734" s="12" t="n">
        <v>0</v>
      </c>
      <c r="G734" s="12" t="n">
        <v>1</v>
      </c>
      <c r="H734" s="72" t="n"/>
      <c r="I734" s="72" t="n"/>
      <c r="J734" s="72" t="n"/>
      <c r="K734" s="72" t="inlineStr">
        <is>
          <t>3303-1473</t>
        </is>
      </c>
      <c r="L734" s="72" t="inlineStr">
        <is>
          <t>Cash Flow</t>
        </is>
      </c>
    </row>
    <row r="735">
      <c r="A735" s="72" t="inlineStr">
        <is>
          <t>3303-1472</t>
        </is>
      </c>
      <c r="B735" s="72" t="inlineStr">
        <is>
          <t>Chuck Dinolfo Distribution</t>
        </is>
      </c>
      <c r="C735" s="72" t="inlineStr">
        <is>
          <t>Credit</t>
        </is>
      </c>
      <c r="D735" s="72" t="inlineStr">
        <is>
          <t>Reg</t>
        </is>
      </c>
      <c r="E735" s="72" t="inlineStr">
        <is>
          <t>Bal</t>
        </is>
      </c>
      <c r="F735" s="12" t="n">
        <v>0</v>
      </c>
      <c r="G735" s="12" t="n">
        <v>1</v>
      </c>
      <c r="H735" s="72" t="n"/>
      <c r="I735" s="72" t="n"/>
      <c r="J735" s="72" t="n"/>
      <c r="K735" s="72" t="inlineStr">
        <is>
          <t>3303-1473</t>
        </is>
      </c>
      <c r="L735" s="72" t="inlineStr">
        <is>
          <t>Cash Flow</t>
        </is>
      </c>
    </row>
    <row r="736">
      <c r="A736" s="72" t="inlineStr">
        <is>
          <t>3303-1473</t>
        </is>
      </c>
      <c r="B736" s="72" t="inlineStr">
        <is>
          <t>Chuck Dinolfo Total</t>
        </is>
      </c>
      <c r="C736" s="72" t="inlineStr">
        <is>
          <t>Credit</t>
        </is>
      </c>
      <c r="D736" s="72" t="inlineStr">
        <is>
          <t>Tot</t>
        </is>
      </c>
      <c r="E736" s="72" t="inlineStr">
        <is>
          <t>Bal</t>
        </is>
      </c>
      <c r="F736" s="12" t="n">
        <v>0</v>
      </c>
      <c r="G736" s="12" t="n">
        <v>1</v>
      </c>
      <c r="H736" s="72" t="n"/>
      <c r="I736" s="72" t="n"/>
      <c r="J736" s="72" t="n"/>
      <c r="K736" s="72" t="inlineStr">
        <is>
          <t>3890-0000</t>
        </is>
      </c>
      <c r="L736" s="72" t="n"/>
    </row>
    <row r="737">
      <c r="A737" s="72" t="inlineStr">
        <is>
          <t>3303-1480</t>
        </is>
      </c>
      <c r="B737" s="72" t="inlineStr">
        <is>
          <t>Larry Elbaum</t>
        </is>
      </c>
      <c r="C737" s="72" t="inlineStr">
        <is>
          <t>Credit</t>
        </is>
      </c>
      <c r="D737" s="72" t="inlineStr">
        <is>
          <t>Head</t>
        </is>
      </c>
      <c r="E737" s="72" t="inlineStr">
        <is>
          <t>Bal</t>
        </is>
      </c>
      <c r="F737" s="12" t="n">
        <v>0</v>
      </c>
      <c r="G737" s="12" t="n">
        <v>1</v>
      </c>
      <c r="H737" s="72" t="n"/>
      <c r="I737" s="72" t="n"/>
      <c r="J737" s="72" t="n"/>
      <c r="K737" s="72" t="inlineStr">
        <is>
          <t>3303-1483</t>
        </is>
      </c>
      <c r="L737" s="72" t="n"/>
    </row>
    <row r="738">
      <c r="A738" s="72" t="inlineStr">
        <is>
          <t>3303-1481</t>
        </is>
      </c>
      <c r="B738" s="72" t="inlineStr">
        <is>
          <t>Larry Elbaum Contribution</t>
        </is>
      </c>
      <c r="C738" s="72" t="inlineStr">
        <is>
          <t>Credit</t>
        </is>
      </c>
      <c r="D738" s="72" t="inlineStr">
        <is>
          <t>Reg</t>
        </is>
      </c>
      <c r="E738" s="72" t="inlineStr">
        <is>
          <t>Bal</t>
        </is>
      </c>
      <c r="F738" s="12" t="n">
        <v>0</v>
      </c>
      <c r="G738" s="12" t="n">
        <v>1</v>
      </c>
      <c r="H738" s="72" t="n"/>
      <c r="I738" s="72" t="n"/>
      <c r="J738" s="72" t="n"/>
      <c r="K738" s="72" t="inlineStr">
        <is>
          <t>3303-1483</t>
        </is>
      </c>
      <c r="L738" s="72" t="inlineStr">
        <is>
          <t>Cash Flow</t>
        </is>
      </c>
    </row>
    <row r="739">
      <c r="A739" s="72" t="inlineStr">
        <is>
          <t>3303-1482</t>
        </is>
      </c>
      <c r="B739" s="72" t="inlineStr">
        <is>
          <t>Larry Elbaum Distribution</t>
        </is>
      </c>
      <c r="C739" s="72" t="inlineStr">
        <is>
          <t>Credit</t>
        </is>
      </c>
      <c r="D739" s="72" t="inlineStr">
        <is>
          <t>Reg</t>
        </is>
      </c>
      <c r="E739" s="72" t="inlineStr">
        <is>
          <t>Bal</t>
        </is>
      </c>
      <c r="F739" s="12" t="n">
        <v>0</v>
      </c>
      <c r="G739" s="12" t="n">
        <v>1</v>
      </c>
      <c r="H739" s="72" t="n"/>
      <c r="I739" s="72" t="n"/>
      <c r="J739" s="72" t="n"/>
      <c r="K739" s="72" t="inlineStr">
        <is>
          <t>3303-1483</t>
        </is>
      </c>
      <c r="L739" s="72" t="inlineStr">
        <is>
          <t>Cash Flow</t>
        </is>
      </c>
    </row>
    <row r="740">
      <c r="A740" s="72" t="inlineStr">
        <is>
          <t>3303-1483</t>
        </is>
      </c>
      <c r="B740" s="72" t="inlineStr">
        <is>
          <t>Larry Elbaum Total</t>
        </is>
      </c>
      <c r="C740" s="72" t="inlineStr">
        <is>
          <t>Credit</t>
        </is>
      </c>
      <c r="D740" s="72" t="inlineStr">
        <is>
          <t>Tot</t>
        </is>
      </c>
      <c r="E740" s="72" t="inlineStr">
        <is>
          <t>Bal</t>
        </is>
      </c>
      <c r="F740" s="12" t="n">
        <v>0</v>
      </c>
      <c r="G740" s="12" t="n">
        <v>1</v>
      </c>
      <c r="H740" s="72" t="n"/>
      <c r="I740" s="72" t="n"/>
      <c r="J740" s="72" t="n"/>
      <c r="K740" s="72" t="inlineStr">
        <is>
          <t>3890-0000</t>
        </is>
      </c>
      <c r="L740" s="72" t="n"/>
    </row>
    <row r="741">
      <c r="A741" s="72" t="inlineStr">
        <is>
          <t>3303-1490</t>
        </is>
      </c>
      <c r="B741" s="72" t="inlineStr">
        <is>
          <t>Tarun</t>
        </is>
      </c>
      <c r="C741" s="72" t="inlineStr">
        <is>
          <t>Credit</t>
        </is>
      </c>
      <c r="D741" s="72" t="inlineStr">
        <is>
          <t>Head</t>
        </is>
      </c>
      <c r="E741" s="72" t="inlineStr">
        <is>
          <t>Bal</t>
        </is>
      </c>
      <c r="F741" s="12" t="n">
        <v>0</v>
      </c>
      <c r="G741" s="12" t="n">
        <v>1</v>
      </c>
      <c r="H741" s="72" t="n"/>
      <c r="I741" s="72" t="n"/>
      <c r="J741" s="72" t="n"/>
      <c r="K741" s="72" t="inlineStr">
        <is>
          <t>3303-1493</t>
        </is>
      </c>
      <c r="L741" s="72" t="n"/>
    </row>
    <row r="742">
      <c r="A742" s="72" t="inlineStr">
        <is>
          <t>3303-1491</t>
        </is>
      </c>
      <c r="B742" s="72" t="inlineStr">
        <is>
          <t>Tarun Contribution</t>
        </is>
      </c>
      <c r="C742" s="72" t="inlineStr">
        <is>
          <t>Credit</t>
        </is>
      </c>
      <c r="D742" s="72" t="inlineStr">
        <is>
          <t>Reg</t>
        </is>
      </c>
      <c r="E742" s="72" t="inlineStr">
        <is>
          <t>Bal</t>
        </is>
      </c>
      <c r="F742" s="12" t="n">
        <v>0</v>
      </c>
      <c r="G742" s="12" t="n">
        <v>1</v>
      </c>
      <c r="H742" s="72" t="n"/>
      <c r="I742" s="72" t="n"/>
      <c r="J742" s="72" t="n"/>
      <c r="K742" s="72" t="inlineStr">
        <is>
          <t>3303-1493</t>
        </is>
      </c>
      <c r="L742" s="72" t="inlineStr">
        <is>
          <t>Cash Flow</t>
        </is>
      </c>
    </row>
    <row r="743">
      <c r="A743" s="72" t="inlineStr">
        <is>
          <t>3303-1492</t>
        </is>
      </c>
      <c r="B743" s="72" t="inlineStr">
        <is>
          <t>Tarun Distribution</t>
        </is>
      </c>
      <c r="C743" s="72" t="inlineStr">
        <is>
          <t>Credit</t>
        </is>
      </c>
      <c r="D743" s="72" t="inlineStr">
        <is>
          <t>Reg</t>
        </is>
      </c>
      <c r="E743" s="72" t="inlineStr">
        <is>
          <t>Bal</t>
        </is>
      </c>
      <c r="F743" s="12" t="n">
        <v>0</v>
      </c>
      <c r="G743" s="12" t="n">
        <v>1</v>
      </c>
      <c r="H743" s="72" t="n"/>
      <c r="I743" s="72" t="n"/>
      <c r="J743" s="72" t="n"/>
      <c r="K743" s="72" t="inlineStr">
        <is>
          <t>3303-1493</t>
        </is>
      </c>
      <c r="L743" s="72" t="inlineStr">
        <is>
          <t>Cash Flow</t>
        </is>
      </c>
    </row>
    <row r="744">
      <c r="A744" s="72" t="inlineStr">
        <is>
          <t>3303-1493</t>
        </is>
      </c>
      <c r="B744" s="72" t="inlineStr">
        <is>
          <t>Tarun Total</t>
        </is>
      </c>
      <c r="C744" s="72" t="inlineStr">
        <is>
          <t>Credit</t>
        </is>
      </c>
      <c r="D744" s="72" t="inlineStr">
        <is>
          <t>Tot</t>
        </is>
      </c>
      <c r="E744" s="72" t="inlineStr">
        <is>
          <t>Bal</t>
        </is>
      </c>
      <c r="F744" s="12" t="n">
        <v>0</v>
      </c>
      <c r="G744" s="12" t="n">
        <v>1</v>
      </c>
      <c r="H744" s="72" t="n"/>
      <c r="I744" s="72" t="n"/>
      <c r="J744" s="72" t="n"/>
      <c r="K744" s="72" t="inlineStr">
        <is>
          <t>3890-0000</t>
        </is>
      </c>
      <c r="L744" s="72" t="n"/>
    </row>
    <row r="745">
      <c r="A745" s="72" t="inlineStr">
        <is>
          <t>3303-1500</t>
        </is>
      </c>
      <c r="B745" s="72" t="inlineStr">
        <is>
          <t>Stephen Investment Co.</t>
        </is>
      </c>
      <c r="C745" s="72" t="inlineStr">
        <is>
          <t>Credit</t>
        </is>
      </c>
      <c r="D745" s="72" t="inlineStr">
        <is>
          <t>Head</t>
        </is>
      </c>
      <c r="E745" s="72" t="inlineStr">
        <is>
          <t>Bal</t>
        </is>
      </c>
      <c r="F745" s="12" t="n">
        <v>0</v>
      </c>
      <c r="G745" s="12" t="n">
        <v>1</v>
      </c>
      <c r="H745" s="72" t="n"/>
      <c r="I745" s="72" t="n"/>
      <c r="J745" s="72" t="n"/>
      <c r="K745" s="72" t="inlineStr">
        <is>
          <t>3303-1503</t>
        </is>
      </c>
      <c r="L745" s="72" t="n"/>
    </row>
    <row r="746">
      <c r="A746" s="72" t="inlineStr">
        <is>
          <t>3303-1501</t>
        </is>
      </c>
      <c r="B746" s="72" t="inlineStr">
        <is>
          <t>Stephen Investment Co. Contribution</t>
        </is>
      </c>
      <c r="C746" s="72" t="inlineStr">
        <is>
          <t>Credit</t>
        </is>
      </c>
      <c r="D746" s="72" t="inlineStr">
        <is>
          <t>Reg</t>
        </is>
      </c>
      <c r="E746" s="72" t="inlineStr">
        <is>
          <t>Bal</t>
        </is>
      </c>
      <c r="F746" s="12" t="n">
        <v>0</v>
      </c>
      <c r="G746" s="12" t="n">
        <v>1</v>
      </c>
      <c r="H746" s="72" t="n"/>
      <c r="I746" s="72" t="n"/>
      <c r="J746" s="72" t="n"/>
      <c r="K746" s="72" t="inlineStr">
        <is>
          <t>3303-1503</t>
        </is>
      </c>
      <c r="L746" s="72" t="inlineStr">
        <is>
          <t>Cash Flow</t>
        </is>
      </c>
    </row>
    <row r="747">
      <c r="A747" s="72" t="inlineStr">
        <is>
          <t>3303-1502</t>
        </is>
      </c>
      <c r="B747" s="72" t="inlineStr">
        <is>
          <t>Stephen Investment Co. Distribution</t>
        </is>
      </c>
      <c r="C747" s="72" t="inlineStr">
        <is>
          <t>Credit</t>
        </is>
      </c>
      <c r="D747" s="72" t="inlineStr">
        <is>
          <t>Reg</t>
        </is>
      </c>
      <c r="E747" s="72" t="inlineStr">
        <is>
          <t>Bal</t>
        </is>
      </c>
      <c r="F747" s="12" t="n">
        <v>0</v>
      </c>
      <c r="G747" s="12" t="n">
        <v>1</v>
      </c>
      <c r="H747" s="72" t="n"/>
      <c r="I747" s="72" t="n"/>
      <c r="J747" s="72" t="n"/>
      <c r="K747" s="72" t="inlineStr">
        <is>
          <t>3303-1503</t>
        </is>
      </c>
      <c r="L747" s="72" t="inlineStr">
        <is>
          <t>Cash Flow</t>
        </is>
      </c>
    </row>
    <row r="748">
      <c r="A748" s="72" t="inlineStr">
        <is>
          <t>3303-1503</t>
        </is>
      </c>
      <c r="B748" s="72" t="inlineStr">
        <is>
          <t>Stephen Investment Co. Total</t>
        </is>
      </c>
      <c r="C748" s="72" t="inlineStr">
        <is>
          <t>Credit</t>
        </is>
      </c>
      <c r="D748" s="72" t="inlineStr">
        <is>
          <t>Tot</t>
        </is>
      </c>
      <c r="E748" s="72" t="inlineStr">
        <is>
          <t>Bal</t>
        </is>
      </c>
      <c r="F748" s="12" t="n">
        <v>0</v>
      </c>
      <c r="G748" s="12" t="n">
        <v>1</v>
      </c>
      <c r="H748" s="72" t="n"/>
      <c r="I748" s="72" t="n"/>
      <c r="J748" s="72" t="n"/>
      <c r="K748" s="72" t="inlineStr">
        <is>
          <t>3890-0000</t>
        </is>
      </c>
      <c r="L748" s="72" t="n"/>
    </row>
    <row r="749">
      <c r="A749" s="72" t="inlineStr">
        <is>
          <t>3303-1510</t>
        </is>
      </c>
      <c r="B749" s="72" t="inlineStr">
        <is>
          <t>Thirty 31 Partners LLC</t>
        </is>
      </c>
      <c r="C749" s="72" t="inlineStr">
        <is>
          <t>Credit</t>
        </is>
      </c>
      <c r="D749" s="72" t="inlineStr">
        <is>
          <t>Head</t>
        </is>
      </c>
      <c r="E749" s="72" t="inlineStr">
        <is>
          <t>Bal</t>
        </is>
      </c>
      <c r="F749" s="12" t="n">
        <v>0</v>
      </c>
      <c r="G749" s="12" t="n">
        <v>1</v>
      </c>
      <c r="H749" s="72" t="n"/>
      <c r="I749" s="72" t="n"/>
      <c r="J749" s="72" t="n"/>
      <c r="K749" s="72" t="inlineStr">
        <is>
          <t>3303-1513</t>
        </is>
      </c>
      <c r="L749" s="72" t="n"/>
    </row>
    <row r="750">
      <c r="A750" s="72" t="inlineStr">
        <is>
          <t>3303-1511</t>
        </is>
      </c>
      <c r="B750" s="72" t="inlineStr">
        <is>
          <t>Thirty 31 Partners LLC Contribution</t>
        </is>
      </c>
      <c r="C750" s="72" t="inlineStr">
        <is>
          <t>Credit</t>
        </is>
      </c>
      <c r="D750" s="72" t="inlineStr">
        <is>
          <t>Reg</t>
        </is>
      </c>
      <c r="E750" s="72" t="inlineStr">
        <is>
          <t>Bal</t>
        </is>
      </c>
      <c r="F750" s="12" t="n">
        <v>0</v>
      </c>
      <c r="G750" s="12" t="n">
        <v>1</v>
      </c>
      <c r="H750" s="72" t="n"/>
      <c r="I750" s="72" t="n"/>
      <c r="J750" s="72" t="n"/>
      <c r="K750" s="72" t="inlineStr">
        <is>
          <t>3303-1513</t>
        </is>
      </c>
      <c r="L750" s="72" t="inlineStr">
        <is>
          <t>Cash Flow</t>
        </is>
      </c>
    </row>
    <row r="751">
      <c r="A751" s="72" t="inlineStr">
        <is>
          <t>3303-1512</t>
        </is>
      </c>
      <c r="B751" s="72" t="inlineStr">
        <is>
          <t>Thirty 31 Partners LLC Distribution</t>
        </is>
      </c>
      <c r="C751" s="72" t="inlineStr">
        <is>
          <t>Credit</t>
        </is>
      </c>
      <c r="D751" s="72" t="inlineStr">
        <is>
          <t>Reg</t>
        </is>
      </c>
      <c r="E751" s="72" t="inlineStr">
        <is>
          <t>Bal</t>
        </is>
      </c>
      <c r="F751" s="12" t="n">
        <v>0</v>
      </c>
      <c r="G751" s="12" t="n">
        <v>1</v>
      </c>
      <c r="H751" s="72" t="n"/>
      <c r="I751" s="72" t="n"/>
      <c r="J751" s="72" t="n"/>
      <c r="K751" s="72" t="inlineStr">
        <is>
          <t>3303-1513</t>
        </is>
      </c>
      <c r="L751" s="72" t="inlineStr">
        <is>
          <t>Cash Flow</t>
        </is>
      </c>
    </row>
    <row r="752">
      <c r="A752" s="72" t="inlineStr">
        <is>
          <t>3303-1513</t>
        </is>
      </c>
      <c r="B752" s="72" t="inlineStr">
        <is>
          <t>Thirty 31 Partners LLC Total</t>
        </is>
      </c>
      <c r="C752" s="72" t="inlineStr">
        <is>
          <t>Credit</t>
        </is>
      </c>
      <c r="D752" s="72" t="inlineStr">
        <is>
          <t>Tot</t>
        </is>
      </c>
      <c r="E752" s="72" t="inlineStr">
        <is>
          <t>Bal</t>
        </is>
      </c>
      <c r="F752" s="12" t="n">
        <v>0</v>
      </c>
      <c r="G752" s="12" t="n">
        <v>1</v>
      </c>
      <c r="H752" s="72" t="n"/>
      <c r="I752" s="72" t="n"/>
      <c r="J752" s="72" t="n"/>
      <c r="K752" s="72" t="inlineStr">
        <is>
          <t>3890-0000</t>
        </is>
      </c>
      <c r="L752" s="72" t="n"/>
    </row>
    <row r="753">
      <c r="A753" s="72" t="inlineStr">
        <is>
          <t>3303-1515</t>
        </is>
      </c>
      <c r="B753" s="72" t="inlineStr">
        <is>
          <t>Dan Shachtman Trust</t>
        </is>
      </c>
      <c r="C753" s="72" t="inlineStr">
        <is>
          <t>Credit</t>
        </is>
      </c>
      <c r="D753" s="72" t="inlineStr">
        <is>
          <t>Head</t>
        </is>
      </c>
      <c r="E753" s="72" t="inlineStr">
        <is>
          <t>Bal</t>
        </is>
      </c>
      <c r="F753" s="12" t="n">
        <v>0</v>
      </c>
      <c r="G753" s="12" t="n">
        <v>1</v>
      </c>
      <c r="H753" s="72" t="n"/>
      <c r="I753" s="72" t="n"/>
      <c r="J753" s="72" t="n"/>
      <c r="K753" s="72" t="n"/>
      <c r="L753" s="72" t="n"/>
    </row>
    <row r="754">
      <c r="A754" s="72" t="inlineStr">
        <is>
          <t>3303-1516</t>
        </is>
      </c>
      <c r="B754" s="72" t="inlineStr">
        <is>
          <t>Dan Shachtman Trust Contribution</t>
        </is>
      </c>
      <c r="C754" s="72" t="inlineStr">
        <is>
          <t>Credit</t>
        </is>
      </c>
      <c r="D754" s="72" t="inlineStr">
        <is>
          <t>Reg</t>
        </is>
      </c>
      <c r="E754" s="72" t="inlineStr">
        <is>
          <t>Bal</t>
        </is>
      </c>
      <c r="F754" s="12" t="n">
        <v>0</v>
      </c>
      <c r="G754" s="12" t="n">
        <v>1</v>
      </c>
      <c r="H754" s="72" t="n"/>
      <c r="I754" s="72" t="n"/>
      <c r="J754" s="72" t="n"/>
      <c r="K754" s="72" t="inlineStr">
        <is>
          <t>3303-1518</t>
        </is>
      </c>
      <c r="L754" s="72" t="inlineStr">
        <is>
          <t>Cash Flow</t>
        </is>
      </c>
    </row>
    <row r="755">
      <c r="A755" s="72" t="inlineStr">
        <is>
          <t>3303-1517</t>
        </is>
      </c>
      <c r="B755" s="72" t="inlineStr">
        <is>
          <t>Dan Shachtman Trust Distribution</t>
        </is>
      </c>
      <c r="C755" s="72" t="inlineStr">
        <is>
          <t>Credit</t>
        </is>
      </c>
      <c r="D755" s="72" t="inlineStr">
        <is>
          <t>Reg</t>
        </is>
      </c>
      <c r="E755" s="72" t="inlineStr">
        <is>
          <t>Bal</t>
        </is>
      </c>
      <c r="F755" s="12" t="n">
        <v>0</v>
      </c>
      <c r="G755" s="12" t="n">
        <v>1</v>
      </c>
      <c r="H755" s="72" t="n"/>
      <c r="I755" s="72" t="n"/>
      <c r="J755" s="72" t="n"/>
      <c r="K755" s="72" t="inlineStr">
        <is>
          <t>3303-1518</t>
        </is>
      </c>
      <c r="L755" s="72" t="inlineStr">
        <is>
          <t>Cash Flow</t>
        </is>
      </c>
    </row>
    <row r="756">
      <c r="A756" s="72" t="inlineStr">
        <is>
          <t>3303-1518</t>
        </is>
      </c>
      <c r="B756" s="72" t="inlineStr">
        <is>
          <t>Dan Shachtman Trust Total</t>
        </is>
      </c>
      <c r="C756" s="72" t="inlineStr">
        <is>
          <t>Credit</t>
        </is>
      </c>
      <c r="D756" s="72" t="inlineStr">
        <is>
          <t>Tot</t>
        </is>
      </c>
      <c r="E756" s="72" t="inlineStr">
        <is>
          <t>Bal</t>
        </is>
      </c>
      <c r="F756" s="12" t="n">
        <v>0</v>
      </c>
      <c r="G756" s="12" t="n">
        <v>1</v>
      </c>
      <c r="H756" s="72" t="n"/>
      <c r="I756" s="72" t="n"/>
      <c r="J756" s="72" t="n"/>
      <c r="K756" s="72" t="inlineStr">
        <is>
          <t>3890-0000</t>
        </is>
      </c>
      <c r="L756" s="72" t="n"/>
    </row>
    <row r="757">
      <c r="A757" s="72" t="inlineStr">
        <is>
          <t>3303-1520</t>
        </is>
      </c>
      <c r="B757" s="72" t="inlineStr">
        <is>
          <t>Larry Feller</t>
        </is>
      </c>
      <c r="C757" s="72" t="inlineStr">
        <is>
          <t>Credit</t>
        </is>
      </c>
      <c r="D757" s="72" t="inlineStr">
        <is>
          <t>Head</t>
        </is>
      </c>
      <c r="E757" s="72" t="inlineStr">
        <is>
          <t>Bal</t>
        </is>
      </c>
      <c r="F757" s="12" t="n">
        <v>0</v>
      </c>
      <c r="G757" s="12" t="n">
        <v>1</v>
      </c>
      <c r="H757" s="72" t="n"/>
      <c r="I757" s="72" t="n"/>
      <c r="J757" s="72" t="n"/>
      <c r="K757" s="72" t="inlineStr">
        <is>
          <t>3303-1523</t>
        </is>
      </c>
      <c r="L757" s="72" t="n"/>
    </row>
    <row r="758">
      <c r="A758" s="72" t="inlineStr">
        <is>
          <t>3303-1521</t>
        </is>
      </c>
      <c r="B758" s="72" t="inlineStr">
        <is>
          <t>Larry Feller Contribution</t>
        </is>
      </c>
      <c r="C758" s="72" t="inlineStr">
        <is>
          <t>Credit</t>
        </is>
      </c>
      <c r="D758" s="72" t="inlineStr">
        <is>
          <t>Reg</t>
        </is>
      </c>
      <c r="E758" s="72" t="inlineStr">
        <is>
          <t>Bal</t>
        </is>
      </c>
      <c r="F758" s="12" t="n">
        <v>0</v>
      </c>
      <c r="G758" s="12" t="n">
        <v>1</v>
      </c>
      <c r="H758" s="72" t="n"/>
      <c r="I758" s="72" t="n"/>
      <c r="J758" s="72" t="n"/>
      <c r="K758" s="72" t="inlineStr">
        <is>
          <t>3303-1523</t>
        </is>
      </c>
      <c r="L758" s="72" t="inlineStr">
        <is>
          <t>Cash Flow</t>
        </is>
      </c>
    </row>
    <row r="759">
      <c r="A759" s="72" t="inlineStr">
        <is>
          <t>3303-1522</t>
        </is>
      </c>
      <c r="B759" s="72" t="inlineStr">
        <is>
          <t>Larry Feller Distribution</t>
        </is>
      </c>
      <c r="C759" s="72" t="inlineStr">
        <is>
          <t>Credit</t>
        </is>
      </c>
      <c r="D759" s="72" t="inlineStr">
        <is>
          <t>Reg</t>
        </is>
      </c>
      <c r="E759" s="72" t="inlineStr">
        <is>
          <t>Bal</t>
        </is>
      </c>
      <c r="F759" s="12" t="n">
        <v>0</v>
      </c>
      <c r="G759" s="12" t="n">
        <v>1</v>
      </c>
      <c r="H759" s="72" t="n"/>
      <c r="I759" s="72" t="n"/>
      <c r="J759" s="72" t="n"/>
      <c r="K759" s="72" t="inlineStr">
        <is>
          <t>3303-1523</t>
        </is>
      </c>
      <c r="L759" s="72" t="inlineStr">
        <is>
          <t>Cash Flow</t>
        </is>
      </c>
    </row>
    <row r="760">
      <c r="A760" s="72" t="inlineStr">
        <is>
          <t>3303-1523</t>
        </is>
      </c>
      <c r="B760" s="72" t="inlineStr">
        <is>
          <t>Larry Feller Total</t>
        </is>
      </c>
      <c r="C760" s="72" t="inlineStr">
        <is>
          <t>Credit</t>
        </is>
      </c>
      <c r="D760" s="72" t="inlineStr">
        <is>
          <t>Tot</t>
        </is>
      </c>
      <c r="E760" s="72" t="inlineStr">
        <is>
          <t>Bal</t>
        </is>
      </c>
      <c r="F760" s="12" t="n">
        <v>0</v>
      </c>
      <c r="G760" s="12" t="n">
        <v>1</v>
      </c>
      <c r="H760" s="72" t="n"/>
      <c r="I760" s="72" t="n"/>
      <c r="J760" s="72" t="n"/>
      <c r="K760" s="72" t="inlineStr">
        <is>
          <t>3890-0000</t>
        </is>
      </c>
      <c r="L760" s="72" t="n"/>
    </row>
    <row r="761">
      <c r="A761" s="72" t="inlineStr">
        <is>
          <t>3303-1530</t>
        </is>
      </c>
      <c r="B761" s="72" t="inlineStr">
        <is>
          <t>Thomas Sitz</t>
        </is>
      </c>
      <c r="C761" s="72" t="inlineStr">
        <is>
          <t>Credit</t>
        </is>
      </c>
      <c r="D761" s="72" t="inlineStr">
        <is>
          <t>Head</t>
        </is>
      </c>
      <c r="E761" s="72" t="inlineStr">
        <is>
          <t>Bal</t>
        </is>
      </c>
      <c r="F761" s="12" t="n">
        <v>0</v>
      </c>
      <c r="G761" s="12" t="n">
        <v>1</v>
      </c>
      <c r="H761" s="72" t="n"/>
      <c r="I761" s="72" t="n"/>
      <c r="J761" s="72" t="n"/>
      <c r="K761" s="72" t="inlineStr">
        <is>
          <t>3303-1533</t>
        </is>
      </c>
      <c r="L761" s="72" t="n"/>
    </row>
    <row r="762">
      <c r="A762" s="72" t="inlineStr">
        <is>
          <t>3303-1531</t>
        </is>
      </c>
      <c r="B762" s="72" t="inlineStr">
        <is>
          <t>Thomas Sitz Contribution</t>
        </is>
      </c>
      <c r="C762" s="72" t="inlineStr">
        <is>
          <t>Credit</t>
        </is>
      </c>
      <c r="D762" s="72" t="inlineStr">
        <is>
          <t>Reg</t>
        </is>
      </c>
      <c r="E762" s="72" t="inlineStr">
        <is>
          <t>Bal</t>
        </is>
      </c>
      <c r="F762" s="12" t="n">
        <v>0</v>
      </c>
      <c r="G762" s="12" t="n">
        <v>1</v>
      </c>
      <c r="H762" s="72" t="n"/>
      <c r="I762" s="72" t="n"/>
      <c r="J762" s="72" t="n"/>
      <c r="K762" s="72" t="inlineStr">
        <is>
          <t>3303-1533</t>
        </is>
      </c>
      <c r="L762" s="72" t="inlineStr">
        <is>
          <t>Cash Flow</t>
        </is>
      </c>
    </row>
    <row r="763">
      <c r="A763" s="72" t="inlineStr">
        <is>
          <t>3303-1532</t>
        </is>
      </c>
      <c r="B763" s="72" t="inlineStr">
        <is>
          <t>Thomas Sitz Distribution</t>
        </is>
      </c>
      <c r="C763" s="72" t="inlineStr">
        <is>
          <t>Credit</t>
        </is>
      </c>
      <c r="D763" s="72" t="inlineStr">
        <is>
          <t>Reg</t>
        </is>
      </c>
      <c r="E763" s="72" t="inlineStr">
        <is>
          <t>Bal</t>
        </is>
      </c>
      <c r="F763" s="12" t="n">
        <v>0</v>
      </c>
      <c r="G763" s="12" t="n">
        <v>1</v>
      </c>
      <c r="H763" s="72" t="n"/>
      <c r="I763" s="72" t="n"/>
      <c r="J763" s="72" t="n"/>
      <c r="K763" s="72" t="inlineStr">
        <is>
          <t>3303-1533</t>
        </is>
      </c>
      <c r="L763" s="72" t="inlineStr">
        <is>
          <t>Cash Flow</t>
        </is>
      </c>
    </row>
    <row r="764">
      <c r="A764" s="72" t="inlineStr">
        <is>
          <t>3303-1533</t>
        </is>
      </c>
      <c r="B764" s="72" t="inlineStr">
        <is>
          <t>Thomas Sitz Total</t>
        </is>
      </c>
      <c r="C764" s="72" t="inlineStr">
        <is>
          <t>Credit</t>
        </is>
      </c>
      <c r="D764" s="72" t="inlineStr">
        <is>
          <t>Tot</t>
        </is>
      </c>
      <c r="E764" s="72" t="inlineStr">
        <is>
          <t>Bal</t>
        </is>
      </c>
      <c r="F764" s="12" t="n">
        <v>0</v>
      </c>
      <c r="G764" s="12" t="n">
        <v>1</v>
      </c>
      <c r="H764" s="72" t="n"/>
      <c r="I764" s="72" t="n"/>
      <c r="J764" s="72" t="n"/>
      <c r="K764" s="72" t="inlineStr">
        <is>
          <t>3890-0000</t>
        </is>
      </c>
      <c r="L764" s="72" t="n"/>
    </row>
    <row r="765">
      <c r="A765" s="72" t="inlineStr">
        <is>
          <t>3303-1540</t>
        </is>
      </c>
      <c r="B765" s="72" t="inlineStr">
        <is>
          <t>Loraine Kaufman Trust</t>
        </is>
      </c>
      <c r="C765" s="72" t="inlineStr">
        <is>
          <t>Credit</t>
        </is>
      </c>
      <c r="D765" s="72" t="inlineStr">
        <is>
          <t>Head</t>
        </is>
      </c>
      <c r="E765" s="72" t="inlineStr">
        <is>
          <t>Bal</t>
        </is>
      </c>
      <c r="F765" s="12" t="n">
        <v>0</v>
      </c>
      <c r="G765" s="12" t="n">
        <v>1</v>
      </c>
      <c r="H765" s="72" t="n"/>
      <c r="I765" s="72" t="n"/>
      <c r="J765" s="72" t="n"/>
      <c r="K765" s="72" t="inlineStr">
        <is>
          <t>3303-1543</t>
        </is>
      </c>
      <c r="L765" s="72" t="n"/>
    </row>
    <row r="766">
      <c r="A766" s="72" t="inlineStr">
        <is>
          <t>3303-1541</t>
        </is>
      </c>
      <c r="B766" s="72" t="inlineStr">
        <is>
          <t>Loraine Kaufman Trust Contribution</t>
        </is>
      </c>
      <c r="C766" s="72" t="inlineStr">
        <is>
          <t>Credit</t>
        </is>
      </c>
      <c r="D766" s="72" t="inlineStr">
        <is>
          <t>Reg</t>
        </is>
      </c>
      <c r="E766" s="72" t="inlineStr">
        <is>
          <t>Bal</t>
        </is>
      </c>
      <c r="F766" s="12" t="n">
        <v>0</v>
      </c>
      <c r="G766" s="12" t="n">
        <v>1</v>
      </c>
      <c r="H766" s="72" t="n"/>
      <c r="I766" s="72" t="n"/>
      <c r="J766" s="72" t="n"/>
      <c r="K766" s="72" t="inlineStr">
        <is>
          <t>3303-1543</t>
        </is>
      </c>
      <c r="L766" s="72" t="inlineStr">
        <is>
          <t>Cash Flow</t>
        </is>
      </c>
    </row>
    <row r="767">
      <c r="A767" s="72" t="inlineStr">
        <is>
          <t>3303-1542</t>
        </is>
      </c>
      <c r="B767" s="72" t="inlineStr">
        <is>
          <t>Loraine Kaufman Trust Distribution</t>
        </is>
      </c>
      <c r="C767" s="72" t="inlineStr">
        <is>
          <t>Credit</t>
        </is>
      </c>
      <c r="D767" s="72" t="inlineStr">
        <is>
          <t>Reg</t>
        </is>
      </c>
      <c r="E767" s="72" t="inlineStr">
        <is>
          <t>Bal</t>
        </is>
      </c>
      <c r="F767" s="12" t="n">
        <v>0</v>
      </c>
      <c r="G767" s="12" t="n">
        <v>1</v>
      </c>
      <c r="H767" s="72" t="n"/>
      <c r="I767" s="72" t="n"/>
      <c r="J767" s="72" t="n"/>
      <c r="K767" s="72" t="inlineStr">
        <is>
          <t>3303-1543</t>
        </is>
      </c>
      <c r="L767" s="72" t="inlineStr">
        <is>
          <t>Cash Flow</t>
        </is>
      </c>
    </row>
    <row r="768">
      <c r="A768" s="72" t="inlineStr">
        <is>
          <t>3303-1543</t>
        </is>
      </c>
      <c r="B768" s="72" t="inlineStr">
        <is>
          <t>Loraine Kaufman Trust Total</t>
        </is>
      </c>
      <c r="C768" s="72" t="inlineStr">
        <is>
          <t>Credit</t>
        </is>
      </c>
      <c r="D768" s="72" t="inlineStr">
        <is>
          <t>Tot</t>
        </is>
      </c>
      <c r="E768" s="72" t="inlineStr">
        <is>
          <t>Bal</t>
        </is>
      </c>
      <c r="F768" s="12" t="n">
        <v>0</v>
      </c>
      <c r="G768" s="12" t="n">
        <v>1</v>
      </c>
      <c r="H768" s="72" t="n"/>
      <c r="I768" s="72" t="n"/>
      <c r="J768" s="72" t="n"/>
      <c r="K768" s="72" t="inlineStr">
        <is>
          <t>3890-0000</t>
        </is>
      </c>
      <c r="L768" s="72" t="n"/>
    </row>
    <row r="769">
      <c r="A769" s="72" t="inlineStr">
        <is>
          <t>3303-1550</t>
        </is>
      </c>
      <c r="B769" s="72" t="inlineStr">
        <is>
          <t>Siyi Li</t>
        </is>
      </c>
      <c r="C769" s="72" t="inlineStr">
        <is>
          <t>Credit</t>
        </is>
      </c>
      <c r="D769" s="72" t="inlineStr">
        <is>
          <t>Head</t>
        </is>
      </c>
      <c r="E769" s="72" t="inlineStr">
        <is>
          <t>Bal</t>
        </is>
      </c>
      <c r="F769" s="12" t="n">
        <v>0</v>
      </c>
      <c r="G769" s="12" t="n">
        <v>1</v>
      </c>
      <c r="H769" s="72" t="n"/>
      <c r="I769" s="72" t="n"/>
      <c r="J769" s="72" t="n"/>
      <c r="K769" s="72" t="inlineStr">
        <is>
          <t>3303-1553</t>
        </is>
      </c>
      <c r="L769" s="72" t="n"/>
    </row>
    <row r="770">
      <c r="A770" s="72" t="inlineStr">
        <is>
          <t>3303-1551</t>
        </is>
      </c>
      <c r="B770" s="72" t="inlineStr">
        <is>
          <t>Siyi Li Contribution</t>
        </is>
      </c>
      <c r="C770" s="72" t="inlineStr">
        <is>
          <t>Credit</t>
        </is>
      </c>
      <c r="D770" s="72" t="inlineStr">
        <is>
          <t>Reg</t>
        </is>
      </c>
      <c r="E770" s="72" t="inlineStr">
        <is>
          <t>Bal</t>
        </is>
      </c>
      <c r="F770" s="12" t="n">
        <v>0</v>
      </c>
      <c r="G770" s="12" t="n">
        <v>1</v>
      </c>
      <c r="H770" s="72" t="n"/>
      <c r="I770" s="72" t="n"/>
      <c r="J770" s="72" t="n"/>
      <c r="K770" s="72" t="inlineStr">
        <is>
          <t>3303-1553</t>
        </is>
      </c>
      <c r="L770" s="72" t="inlineStr">
        <is>
          <t>Cash Flow</t>
        </is>
      </c>
    </row>
    <row r="771">
      <c r="A771" s="72" t="inlineStr">
        <is>
          <t>3303-1552</t>
        </is>
      </c>
      <c r="B771" s="72" t="inlineStr">
        <is>
          <t>Siyi Li Distribution</t>
        </is>
      </c>
      <c r="C771" s="72" t="inlineStr">
        <is>
          <t>Credit</t>
        </is>
      </c>
      <c r="D771" s="72" t="inlineStr">
        <is>
          <t>Reg</t>
        </is>
      </c>
      <c r="E771" s="72" t="inlineStr">
        <is>
          <t>Bal</t>
        </is>
      </c>
      <c r="F771" s="12" t="n">
        <v>0</v>
      </c>
      <c r="G771" s="12" t="n">
        <v>1</v>
      </c>
      <c r="H771" s="72" t="n"/>
      <c r="I771" s="72" t="n"/>
      <c r="J771" s="72" t="n"/>
      <c r="K771" s="72" t="inlineStr">
        <is>
          <t>3303-1553</t>
        </is>
      </c>
      <c r="L771" s="72" t="inlineStr">
        <is>
          <t>Cash Flow</t>
        </is>
      </c>
    </row>
    <row r="772">
      <c r="A772" s="72" t="inlineStr">
        <is>
          <t>3303-1553</t>
        </is>
      </c>
      <c r="B772" s="72" t="inlineStr">
        <is>
          <t>Siyi Li Total</t>
        </is>
      </c>
      <c r="C772" s="72" t="inlineStr">
        <is>
          <t>Credit</t>
        </is>
      </c>
      <c r="D772" s="72" t="inlineStr">
        <is>
          <t>Tot</t>
        </is>
      </c>
      <c r="E772" s="72" t="inlineStr">
        <is>
          <t>Bal</t>
        </is>
      </c>
      <c r="F772" s="12" t="n">
        <v>0</v>
      </c>
      <c r="G772" s="12" t="n">
        <v>1</v>
      </c>
      <c r="H772" s="72" t="n"/>
      <c r="I772" s="72" t="n"/>
      <c r="J772" s="72" t="n"/>
      <c r="K772" s="72" t="inlineStr">
        <is>
          <t>3890-0000</t>
        </is>
      </c>
      <c r="L772" s="72" t="n"/>
    </row>
    <row r="773">
      <c r="A773" s="72" t="inlineStr">
        <is>
          <t>3303-1560</t>
        </is>
      </c>
      <c r="B773" s="72" t="inlineStr">
        <is>
          <t>David Tanner</t>
        </is>
      </c>
      <c r="C773" s="72" t="inlineStr">
        <is>
          <t>Credit</t>
        </is>
      </c>
      <c r="D773" s="72" t="inlineStr">
        <is>
          <t>Head</t>
        </is>
      </c>
      <c r="E773" s="72" t="inlineStr">
        <is>
          <t>Bal</t>
        </is>
      </c>
      <c r="F773" s="12" t="n">
        <v>0</v>
      </c>
      <c r="G773" s="12" t="n">
        <v>1</v>
      </c>
      <c r="H773" s="72" t="n"/>
      <c r="I773" s="72" t="n"/>
      <c r="J773" s="72" t="n"/>
      <c r="K773" s="72" t="inlineStr">
        <is>
          <t>3303-1563</t>
        </is>
      </c>
      <c r="L773" s="72" t="n"/>
    </row>
    <row r="774">
      <c r="A774" s="72" t="inlineStr">
        <is>
          <t>3303-1561</t>
        </is>
      </c>
      <c r="B774" s="72" t="inlineStr">
        <is>
          <t>David Tanner Contribution</t>
        </is>
      </c>
      <c r="C774" s="72" t="inlineStr">
        <is>
          <t>Credit</t>
        </is>
      </c>
      <c r="D774" s="72" t="inlineStr">
        <is>
          <t>Reg</t>
        </is>
      </c>
      <c r="E774" s="72" t="inlineStr">
        <is>
          <t>Bal</t>
        </is>
      </c>
      <c r="F774" s="12" t="n">
        <v>0</v>
      </c>
      <c r="G774" s="12" t="n">
        <v>1</v>
      </c>
      <c r="H774" s="72" t="n"/>
      <c r="I774" s="72" t="n"/>
      <c r="J774" s="72" t="n"/>
      <c r="K774" s="72" t="inlineStr">
        <is>
          <t>3303-1563</t>
        </is>
      </c>
      <c r="L774" s="72" t="inlineStr">
        <is>
          <t>Cash Flow</t>
        </is>
      </c>
    </row>
    <row r="775">
      <c r="A775" s="72" t="inlineStr">
        <is>
          <t>3303-1562</t>
        </is>
      </c>
      <c r="B775" s="72" t="inlineStr">
        <is>
          <t>David Tanner Distribution</t>
        </is>
      </c>
      <c r="C775" s="72" t="inlineStr">
        <is>
          <t>Credit</t>
        </is>
      </c>
      <c r="D775" s="72" t="inlineStr">
        <is>
          <t>Reg</t>
        </is>
      </c>
      <c r="E775" s="72" t="inlineStr">
        <is>
          <t>Bal</t>
        </is>
      </c>
      <c r="F775" s="12" t="n">
        <v>0</v>
      </c>
      <c r="G775" s="12" t="n">
        <v>1</v>
      </c>
      <c r="H775" s="72" t="n"/>
      <c r="I775" s="72" t="n"/>
      <c r="J775" s="72" t="n"/>
      <c r="K775" s="72" t="inlineStr">
        <is>
          <t>3303-1563</t>
        </is>
      </c>
      <c r="L775" s="72" t="inlineStr">
        <is>
          <t>Cash Flow</t>
        </is>
      </c>
    </row>
    <row r="776">
      <c r="A776" s="72" t="inlineStr">
        <is>
          <t>3303-1563</t>
        </is>
      </c>
      <c r="B776" s="72" t="inlineStr">
        <is>
          <t>David Tanner Total</t>
        </is>
      </c>
      <c r="C776" s="72" t="inlineStr">
        <is>
          <t>Credit</t>
        </is>
      </c>
      <c r="D776" s="72" t="inlineStr">
        <is>
          <t>Tot</t>
        </is>
      </c>
      <c r="E776" s="72" t="inlineStr">
        <is>
          <t>Bal</t>
        </is>
      </c>
      <c r="F776" s="12" t="n">
        <v>0</v>
      </c>
      <c r="G776" s="12" t="n">
        <v>1</v>
      </c>
      <c r="H776" s="72" t="n"/>
      <c r="I776" s="72" t="n"/>
      <c r="J776" s="72" t="n"/>
      <c r="K776" s="72" t="inlineStr">
        <is>
          <t>3890-0000</t>
        </is>
      </c>
      <c r="L776" s="72" t="n"/>
    </row>
    <row r="777">
      <c r="A777" s="72" t="inlineStr">
        <is>
          <t>3303-2001</t>
        </is>
      </c>
      <c r="B777" s="72" t="inlineStr">
        <is>
          <t>Jarcadia LLC</t>
        </is>
      </c>
      <c r="C777" s="72" t="inlineStr">
        <is>
          <t>Credit</t>
        </is>
      </c>
      <c r="D777" s="72" t="inlineStr">
        <is>
          <t>Head</t>
        </is>
      </c>
      <c r="E777" s="72" t="inlineStr">
        <is>
          <t>Bal</t>
        </is>
      </c>
      <c r="F777" s="12" t="n">
        <v>0</v>
      </c>
      <c r="G777" s="12" t="n">
        <v>1</v>
      </c>
      <c r="H777" s="72" t="n"/>
      <c r="I777" s="72" t="n"/>
      <c r="J777" s="72" t="n"/>
      <c r="K777" s="72" t="n"/>
      <c r="L777" s="72" t="n"/>
    </row>
    <row r="778">
      <c r="A778" s="72" t="inlineStr">
        <is>
          <t>3303-2002</t>
        </is>
      </c>
      <c r="B778" s="72" t="inlineStr">
        <is>
          <t>Jarcadia LLC Contribution</t>
        </is>
      </c>
      <c r="C778" s="72" t="inlineStr">
        <is>
          <t>Credit</t>
        </is>
      </c>
      <c r="D778" s="72" t="inlineStr">
        <is>
          <t>Reg</t>
        </is>
      </c>
      <c r="E778" s="72" t="inlineStr">
        <is>
          <t>Bal</t>
        </is>
      </c>
      <c r="F778" s="12" t="n">
        <v>0</v>
      </c>
      <c r="G778" s="12" t="n">
        <v>1</v>
      </c>
      <c r="H778" s="72" t="n"/>
      <c r="I778" s="72" t="n"/>
      <c r="J778" s="72" t="n"/>
      <c r="K778" s="72" t="inlineStr">
        <is>
          <t>3303-2004</t>
        </is>
      </c>
      <c r="L778" s="72" t="inlineStr">
        <is>
          <t>Cash Flow</t>
        </is>
      </c>
    </row>
    <row r="779">
      <c r="A779" s="72" t="inlineStr">
        <is>
          <t>3303-2003</t>
        </is>
      </c>
      <c r="B779" s="72" t="inlineStr">
        <is>
          <t>Jarcadia LLC Distribution</t>
        </is>
      </c>
      <c r="C779" s="72" t="inlineStr">
        <is>
          <t>Credit</t>
        </is>
      </c>
      <c r="D779" s="72" t="inlineStr">
        <is>
          <t>Reg</t>
        </is>
      </c>
      <c r="E779" s="72" t="inlineStr">
        <is>
          <t>Bal</t>
        </is>
      </c>
      <c r="F779" s="12" t="n">
        <v>0</v>
      </c>
      <c r="G779" s="12" t="n">
        <v>1</v>
      </c>
      <c r="H779" s="72" t="n"/>
      <c r="I779" s="72" t="n"/>
      <c r="J779" s="72" t="n"/>
      <c r="K779" s="72" t="inlineStr">
        <is>
          <t>3303-2004</t>
        </is>
      </c>
      <c r="L779" s="72" t="inlineStr">
        <is>
          <t>Cash Flow</t>
        </is>
      </c>
    </row>
    <row r="780">
      <c r="A780" s="72" t="inlineStr">
        <is>
          <t>3303-2004</t>
        </is>
      </c>
      <c r="B780" s="72" t="inlineStr">
        <is>
          <t>Jarcadia LLC Total</t>
        </is>
      </c>
      <c r="C780" s="72" t="inlineStr">
        <is>
          <t>Credit</t>
        </is>
      </c>
      <c r="D780" s="72" t="inlineStr">
        <is>
          <t>Tot</t>
        </is>
      </c>
      <c r="E780" s="72" t="inlineStr">
        <is>
          <t>Bal</t>
        </is>
      </c>
      <c r="F780" s="12" t="n">
        <v>0</v>
      </c>
      <c r="G780" s="12" t="n">
        <v>1</v>
      </c>
      <c r="H780" s="72" t="n"/>
      <c r="I780" s="72" t="n"/>
      <c r="J780" s="72" t="n"/>
      <c r="K780" s="72" t="inlineStr">
        <is>
          <t>3890-0000</t>
        </is>
      </c>
      <c r="L780" s="72" t="n"/>
    </row>
    <row r="781">
      <c r="A781" s="72" t="inlineStr">
        <is>
          <t>3303-2005</t>
        </is>
      </c>
      <c r="B781" s="72" t="inlineStr">
        <is>
          <t>Matt Bowker Capital Account</t>
        </is>
      </c>
      <c r="C781" s="72" t="inlineStr">
        <is>
          <t>Credit</t>
        </is>
      </c>
      <c r="D781" s="72" t="inlineStr">
        <is>
          <t>Head</t>
        </is>
      </c>
      <c r="E781" s="72" t="inlineStr">
        <is>
          <t>Bal</t>
        </is>
      </c>
      <c r="F781" s="12" t="n">
        <v>0</v>
      </c>
      <c r="G781" s="12" t="n">
        <v>1</v>
      </c>
      <c r="H781" s="72" t="n"/>
      <c r="I781" s="72" t="n"/>
      <c r="J781" s="72" t="n"/>
      <c r="K781" s="72" t="inlineStr">
        <is>
          <t>3303-2008</t>
        </is>
      </c>
      <c r="L781" s="72" t="n"/>
    </row>
    <row r="782">
      <c r="A782" s="72" t="inlineStr">
        <is>
          <t>3303-2006</t>
        </is>
      </c>
      <c r="B782" s="72" t="inlineStr">
        <is>
          <t>Matt Bowker Contribution</t>
        </is>
      </c>
      <c r="C782" s="72" t="inlineStr">
        <is>
          <t>Credit</t>
        </is>
      </c>
      <c r="D782" s="72" t="inlineStr">
        <is>
          <t>Reg</t>
        </is>
      </c>
      <c r="E782" s="72" t="inlineStr">
        <is>
          <t>Bal</t>
        </is>
      </c>
      <c r="F782" s="12" t="n">
        <v>0</v>
      </c>
      <c r="G782" s="12" t="n">
        <v>1</v>
      </c>
      <c r="H782" s="72" t="n"/>
      <c r="I782" s="72" t="n"/>
      <c r="J782" s="72" t="n"/>
      <c r="K782" s="72" t="inlineStr">
        <is>
          <t>3303-2008</t>
        </is>
      </c>
      <c r="L782" s="72" t="inlineStr">
        <is>
          <t>Cash Flow</t>
        </is>
      </c>
    </row>
    <row r="783">
      <c r="A783" s="72" t="inlineStr">
        <is>
          <t>3303-2007</t>
        </is>
      </c>
      <c r="B783" s="72" t="inlineStr">
        <is>
          <t>Matt Bowker Distribution</t>
        </is>
      </c>
      <c r="C783" s="72" t="inlineStr">
        <is>
          <t>Credit</t>
        </is>
      </c>
      <c r="D783" s="72" t="inlineStr">
        <is>
          <t>Reg</t>
        </is>
      </c>
      <c r="E783" s="72" t="inlineStr">
        <is>
          <t>Bal</t>
        </is>
      </c>
      <c r="F783" s="12" t="n">
        <v>0</v>
      </c>
      <c r="G783" s="12" t="n">
        <v>1</v>
      </c>
      <c r="H783" s="72" t="n"/>
      <c r="I783" s="72" t="n"/>
      <c r="J783" s="72" t="n"/>
      <c r="K783" s="72" t="inlineStr">
        <is>
          <t>3303-2008</t>
        </is>
      </c>
      <c r="L783" s="72" t="inlineStr">
        <is>
          <t>Cash Flow</t>
        </is>
      </c>
    </row>
    <row r="784">
      <c r="A784" s="72" t="inlineStr">
        <is>
          <t>3303-2008</t>
        </is>
      </c>
      <c r="B784" s="72" t="inlineStr">
        <is>
          <t>Matt Bowker Total</t>
        </is>
      </c>
      <c r="C784" s="72" t="inlineStr">
        <is>
          <t>Credit</t>
        </is>
      </c>
      <c r="D784" s="72" t="inlineStr">
        <is>
          <t>Tot</t>
        </is>
      </c>
      <c r="E784" s="72" t="inlineStr">
        <is>
          <t>Bal</t>
        </is>
      </c>
      <c r="F784" s="12" t="n">
        <v>0</v>
      </c>
      <c r="G784" s="12" t="n">
        <v>1</v>
      </c>
      <c r="H784" s="72" t="n"/>
      <c r="I784" s="72" t="n"/>
      <c r="J784" s="72" t="n"/>
      <c r="K784" s="72" t="inlineStr">
        <is>
          <t>3890-0000</t>
        </is>
      </c>
      <c r="L784" s="72" t="n"/>
    </row>
    <row r="785">
      <c r="A785" s="72" t="inlineStr">
        <is>
          <t>3303-2009</t>
        </is>
      </c>
      <c r="B785" s="72" t="inlineStr">
        <is>
          <t>EP 235 Executive, LLC</t>
        </is>
      </c>
      <c r="C785" s="72" t="inlineStr">
        <is>
          <t>Credit</t>
        </is>
      </c>
      <c r="D785" s="72" t="inlineStr">
        <is>
          <t>Head</t>
        </is>
      </c>
      <c r="E785" s="72" t="inlineStr">
        <is>
          <t>Bal</t>
        </is>
      </c>
      <c r="F785" s="12" t="n">
        <v>0</v>
      </c>
      <c r="G785" s="12" t="n">
        <v>1</v>
      </c>
      <c r="H785" s="72" t="n"/>
      <c r="I785" s="72" t="n"/>
      <c r="J785" s="72" t="n"/>
      <c r="K785" s="72" t="n"/>
      <c r="L785" s="72" t="n"/>
    </row>
    <row r="786">
      <c r="A786" s="72" t="inlineStr">
        <is>
          <t>3303-2010</t>
        </is>
      </c>
      <c r="B786" s="72" t="inlineStr">
        <is>
          <t>EP 235 Executive, LLC Contribution</t>
        </is>
      </c>
      <c r="C786" s="72" t="inlineStr">
        <is>
          <t>Credit</t>
        </is>
      </c>
      <c r="D786" s="72" t="inlineStr">
        <is>
          <t>Reg</t>
        </is>
      </c>
      <c r="E786" s="72" t="inlineStr">
        <is>
          <t>Bal</t>
        </is>
      </c>
      <c r="F786" s="12" t="n">
        <v>0</v>
      </c>
      <c r="G786" s="12" t="n">
        <v>1</v>
      </c>
      <c r="H786" s="72" t="n"/>
      <c r="I786" s="72" t="n"/>
      <c r="J786" s="72" t="n"/>
      <c r="K786" s="72" t="inlineStr">
        <is>
          <t>3303-2012</t>
        </is>
      </c>
      <c r="L786" s="72" t="inlineStr">
        <is>
          <t>Cash Flow</t>
        </is>
      </c>
    </row>
    <row r="787">
      <c r="A787" s="72" t="inlineStr">
        <is>
          <t>3303-2011</t>
        </is>
      </c>
      <c r="B787" s="72" t="inlineStr">
        <is>
          <t>EP 235 Executive, LLC Distribution</t>
        </is>
      </c>
      <c r="C787" s="72" t="inlineStr">
        <is>
          <t>Credit</t>
        </is>
      </c>
      <c r="D787" s="72" t="inlineStr">
        <is>
          <t>Reg</t>
        </is>
      </c>
      <c r="E787" s="72" t="inlineStr">
        <is>
          <t>Bal</t>
        </is>
      </c>
      <c r="F787" s="12" t="n">
        <v>0</v>
      </c>
      <c r="G787" s="12" t="n">
        <v>1</v>
      </c>
      <c r="H787" s="72" t="n"/>
      <c r="I787" s="72" t="n"/>
      <c r="J787" s="72" t="n"/>
      <c r="K787" s="72" t="inlineStr">
        <is>
          <t>3303-2012</t>
        </is>
      </c>
      <c r="L787" s="72" t="inlineStr">
        <is>
          <t>Cash Flow</t>
        </is>
      </c>
    </row>
    <row r="788">
      <c r="A788" s="72" t="inlineStr">
        <is>
          <t>3303-2012</t>
        </is>
      </c>
      <c r="B788" s="72" t="inlineStr">
        <is>
          <t>EP 235 Executive, LLC Total</t>
        </is>
      </c>
      <c r="C788" s="72" t="inlineStr">
        <is>
          <t>Credit</t>
        </is>
      </c>
      <c r="D788" s="72" t="inlineStr">
        <is>
          <t>Tot</t>
        </is>
      </c>
      <c r="E788" s="72" t="inlineStr">
        <is>
          <t>Bal</t>
        </is>
      </c>
      <c r="F788" s="12" t="n">
        <v>0</v>
      </c>
      <c r="G788" s="12" t="n">
        <v>1</v>
      </c>
      <c r="H788" s="72" t="n"/>
      <c r="I788" s="72" t="n"/>
      <c r="J788" s="72" t="n"/>
      <c r="K788" s="72" t="inlineStr">
        <is>
          <t>3890-0000</t>
        </is>
      </c>
      <c r="L788" s="72" t="n"/>
    </row>
    <row r="789">
      <c r="A789" s="72" t="inlineStr">
        <is>
          <t>3303-2013</t>
        </is>
      </c>
      <c r="B789" s="72" t="inlineStr">
        <is>
          <t>Elmdale Partners</t>
        </is>
      </c>
      <c r="C789" s="72" t="inlineStr">
        <is>
          <t>Credit</t>
        </is>
      </c>
      <c r="D789" s="72" t="inlineStr">
        <is>
          <t>Head</t>
        </is>
      </c>
      <c r="E789" s="72" t="inlineStr">
        <is>
          <t>Bal</t>
        </is>
      </c>
      <c r="F789" s="12" t="n">
        <v>0</v>
      </c>
      <c r="G789" s="12" t="n">
        <v>1</v>
      </c>
      <c r="H789" s="72" t="n"/>
      <c r="I789" s="72" t="n"/>
      <c r="J789" s="72" t="n"/>
      <c r="K789" s="72" t="inlineStr">
        <is>
          <t>3303-2016</t>
        </is>
      </c>
      <c r="L789" s="72" t="n"/>
    </row>
    <row r="790">
      <c r="A790" s="72" t="inlineStr">
        <is>
          <t>3303-2014</t>
        </is>
      </c>
      <c r="B790" s="72" t="inlineStr">
        <is>
          <t>Elmdale Partners Contribution</t>
        </is>
      </c>
      <c r="C790" s="72" t="inlineStr">
        <is>
          <t>Credit</t>
        </is>
      </c>
      <c r="D790" s="72" t="inlineStr">
        <is>
          <t>Reg</t>
        </is>
      </c>
      <c r="E790" s="72" t="inlineStr">
        <is>
          <t>Bal</t>
        </is>
      </c>
      <c r="F790" s="12" t="n">
        <v>0</v>
      </c>
      <c r="G790" s="12" t="n">
        <v>1</v>
      </c>
      <c r="H790" s="72" t="n"/>
      <c r="I790" s="72" t="n"/>
      <c r="J790" s="72" t="n"/>
      <c r="K790" s="72" t="inlineStr">
        <is>
          <t>3303-2016</t>
        </is>
      </c>
      <c r="L790" s="72" t="inlineStr">
        <is>
          <t>Cash Flow</t>
        </is>
      </c>
    </row>
    <row r="791">
      <c r="A791" s="72" t="inlineStr">
        <is>
          <t>3303-2015</t>
        </is>
      </c>
      <c r="B791" s="72" t="inlineStr">
        <is>
          <t>Elmdale Partners Distribution</t>
        </is>
      </c>
      <c r="C791" s="72" t="inlineStr">
        <is>
          <t>Credit</t>
        </is>
      </c>
      <c r="D791" s="72" t="inlineStr">
        <is>
          <t>Reg</t>
        </is>
      </c>
      <c r="E791" s="72" t="inlineStr">
        <is>
          <t>Bal</t>
        </is>
      </c>
      <c r="F791" s="12" t="n">
        <v>0</v>
      </c>
      <c r="G791" s="12" t="n">
        <v>1</v>
      </c>
      <c r="H791" s="72" t="n"/>
      <c r="I791" s="72" t="n"/>
      <c r="J791" s="72" t="n"/>
      <c r="K791" s="72" t="inlineStr">
        <is>
          <t>3303-2016</t>
        </is>
      </c>
      <c r="L791" s="72" t="inlineStr">
        <is>
          <t>Cash Flow</t>
        </is>
      </c>
    </row>
    <row r="792">
      <c r="A792" s="72" t="inlineStr">
        <is>
          <t>3303-2016</t>
        </is>
      </c>
      <c r="B792" s="72" t="inlineStr">
        <is>
          <t>Elmdale Partners Total</t>
        </is>
      </c>
      <c r="C792" s="72" t="inlineStr">
        <is>
          <t>Credit</t>
        </is>
      </c>
      <c r="D792" s="72" t="inlineStr">
        <is>
          <t>Tot</t>
        </is>
      </c>
      <c r="E792" s="72" t="inlineStr">
        <is>
          <t>Bal</t>
        </is>
      </c>
      <c r="F792" s="12" t="n">
        <v>0</v>
      </c>
      <c r="G792" s="12" t="n">
        <v>1</v>
      </c>
      <c r="H792" s="72" t="n"/>
      <c r="I792" s="72" t="n"/>
      <c r="J792" s="72" t="n"/>
      <c r="K792" s="72" t="inlineStr">
        <is>
          <t>3890-0000</t>
        </is>
      </c>
      <c r="L792" s="72" t="n"/>
    </row>
    <row r="793">
      <c r="A793" s="72" t="inlineStr">
        <is>
          <t>3303-2018</t>
        </is>
      </c>
      <c r="B793" s="72" t="inlineStr">
        <is>
          <t>Asaf Ben Dror</t>
        </is>
      </c>
      <c r="C793" s="72" t="inlineStr">
        <is>
          <t>Credit</t>
        </is>
      </c>
      <c r="D793" s="72" t="inlineStr">
        <is>
          <t>Head</t>
        </is>
      </c>
      <c r="E793" s="72" t="inlineStr">
        <is>
          <t>Bal</t>
        </is>
      </c>
      <c r="F793" s="12" t="n">
        <v>0</v>
      </c>
      <c r="G793" s="12" t="n">
        <v>2</v>
      </c>
      <c r="H793" s="72" t="n"/>
      <c r="I793" s="72" t="n"/>
      <c r="J793" s="72" t="n"/>
      <c r="K793" s="72" t="inlineStr">
        <is>
          <t>3303-2021</t>
        </is>
      </c>
      <c r="L793" s="72" t="n"/>
    </row>
    <row r="794">
      <c r="A794" s="72" t="inlineStr">
        <is>
          <t>3303-2019</t>
        </is>
      </c>
      <c r="B794" s="72" t="inlineStr">
        <is>
          <t>Asaf Ben Dror Contribution</t>
        </is>
      </c>
      <c r="C794" s="72" t="inlineStr">
        <is>
          <t>Credit</t>
        </is>
      </c>
      <c r="D794" s="72" t="inlineStr">
        <is>
          <t>Reg</t>
        </is>
      </c>
      <c r="E794" s="72" t="inlineStr">
        <is>
          <t>Bal</t>
        </is>
      </c>
      <c r="F794" s="12" t="n">
        <v>1</v>
      </c>
      <c r="G794" s="12" t="n">
        <v>1</v>
      </c>
      <c r="H794" s="72" t="n"/>
      <c r="I794" s="72" t="n"/>
      <c r="J794" s="72" t="n"/>
      <c r="K794" s="72" t="inlineStr">
        <is>
          <t>3303-2021</t>
        </is>
      </c>
      <c r="L794" s="72" t="inlineStr">
        <is>
          <t>Cash Flow</t>
        </is>
      </c>
    </row>
    <row r="795">
      <c r="A795" s="72" t="inlineStr">
        <is>
          <t>3303-2020</t>
        </is>
      </c>
      <c r="B795" s="72" t="inlineStr">
        <is>
          <t>Asaf Ben Dror Distribution</t>
        </is>
      </c>
      <c r="C795" s="72" t="inlineStr">
        <is>
          <t>Credit</t>
        </is>
      </c>
      <c r="D795" s="72" t="inlineStr">
        <is>
          <t>Reg</t>
        </is>
      </c>
      <c r="E795" s="72" t="inlineStr">
        <is>
          <t>Bal</t>
        </is>
      </c>
      <c r="F795" s="12" t="n">
        <v>1</v>
      </c>
      <c r="G795" s="12" t="n">
        <v>1</v>
      </c>
      <c r="H795" s="72" t="n"/>
      <c r="I795" s="72" t="n"/>
      <c r="J795" s="72" t="n"/>
      <c r="K795" s="72" t="inlineStr">
        <is>
          <t>3303-2021</t>
        </is>
      </c>
      <c r="L795" s="72" t="inlineStr">
        <is>
          <t>Cash Flow</t>
        </is>
      </c>
    </row>
    <row r="796">
      <c r="A796" s="72" t="inlineStr">
        <is>
          <t>3303-2021</t>
        </is>
      </c>
      <c r="B796" s="72" t="inlineStr">
        <is>
          <t>Asaf Ben Dror Total</t>
        </is>
      </c>
      <c r="C796" s="72" t="inlineStr">
        <is>
          <t>Credit</t>
        </is>
      </c>
      <c r="D796" s="72" t="inlineStr">
        <is>
          <t>Tot</t>
        </is>
      </c>
      <c r="E796" s="72" t="inlineStr">
        <is>
          <t>Bal</t>
        </is>
      </c>
      <c r="F796" s="12" t="n">
        <v>0</v>
      </c>
      <c r="G796" s="12" t="n">
        <v>1</v>
      </c>
      <c r="H796" s="72" t="n"/>
      <c r="I796" s="72" t="n"/>
      <c r="J796" s="72" t="n"/>
      <c r="K796" s="72" t="inlineStr">
        <is>
          <t>3890-0000</t>
        </is>
      </c>
      <c r="L796" s="72" t="n"/>
    </row>
    <row r="797">
      <c r="A797" s="72" t="inlineStr">
        <is>
          <t>3303-2022</t>
        </is>
      </c>
      <c r="B797" s="72" t="inlineStr">
        <is>
          <t>Tom Bretz/Badger Elmdale</t>
        </is>
      </c>
      <c r="C797" s="72" t="inlineStr">
        <is>
          <t>Credit</t>
        </is>
      </c>
      <c r="D797" s="72" t="inlineStr">
        <is>
          <t>Head</t>
        </is>
      </c>
      <c r="E797" s="72" t="inlineStr">
        <is>
          <t>Bal</t>
        </is>
      </c>
      <c r="F797" s="12" t="n">
        <v>0</v>
      </c>
      <c r="G797" s="12" t="n">
        <v>1</v>
      </c>
      <c r="H797" s="72" t="n"/>
      <c r="I797" s="72" t="n"/>
      <c r="J797" s="72" t="n"/>
      <c r="K797" s="72" t="inlineStr">
        <is>
          <t>3303-2025</t>
        </is>
      </c>
      <c r="L797" s="72" t="n"/>
    </row>
    <row r="798">
      <c r="A798" s="72" t="inlineStr">
        <is>
          <t>3303-2023</t>
        </is>
      </c>
      <c r="B798" s="72" t="inlineStr">
        <is>
          <t>Tom Bretz/Badger Elmdale Contribution</t>
        </is>
      </c>
      <c r="C798" s="72" t="inlineStr">
        <is>
          <t>Credit</t>
        </is>
      </c>
      <c r="D798" s="72" t="inlineStr">
        <is>
          <t>Reg</t>
        </is>
      </c>
      <c r="E798" s="72" t="inlineStr">
        <is>
          <t>Bal</t>
        </is>
      </c>
      <c r="F798" s="12" t="n">
        <v>0</v>
      </c>
      <c r="G798" s="12" t="n">
        <v>1</v>
      </c>
      <c r="H798" s="72" t="n"/>
      <c r="I798" s="72" t="n"/>
      <c r="J798" s="72" t="n"/>
      <c r="K798" s="72" t="inlineStr">
        <is>
          <t>3303-2025</t>
        </is>
      </c>
      <c r="L798" s="72" t="inlineStr">
        <is>
          <t>Cash Flow</t>
        </is>
      </c>
    </row>
    <row r="799">
      <c r="A799" s="72" t="inlineStr">
        <is>
          <t>3303-2024</t>
        </is>
      </c>
      <c r="B799" s="72" t="inlineStr">
        <is>
          <t>Tom Bretz/Badger Elmdale Distribution</t>
        </is>
      </c>
      <c r="C799" s="72" t="inlineStr">
        <is>
          <t>Credit</t>
        </is>
      </c>
      <c r="D799" s="72" t="inlineStr">
        <is>
          <t>Reg</t>
        </is>
      </c>
      <c r="E799" s="72" t="inlineStr">
        <is>
          <t>Bal</t>
        </is>
      </c>
      <c r="F799" s="12" t="n">
        <v>0</v>
      </c>
      <c r="G799" s="12" t="n">
        <v>1</v>
      </c>
      <c r="H799" s="72" t="n"/>
      <c r="I799" s="72" t="n"/>
      <c r="J799" s="72" t="n"/>
      <c r="K799" s="72" t="inlineStr">
        <is>
          <t>3303-2025</t>
        </is>
      </c>
      <c r="L799" s="72" t="inlineStr">
        <is>
          <t>Cash Flow</t>
        </is>
      </c>
    </row>
    <row r="800">
      <c r="A800" s="72" t="inlineStr">
        <is>
          <t>3303-2025</t>
        </is>
      </c>
      <c r="B800" s="72" t="inlineStr">
        <is>
          <t>Tom Bretz/Badger Elmdale Total</t>
        </is>
      </c>
      <c r="C800" s="72" t="inlineStr">
        <is>
          <t>Credit</t>
        </is>
      </c>
      <c r="D800" s="72" t="inlineStr">
        <is>
          <t>Tot</t>
        </is>
      </c>
      <c r="E800" s="72" t="inlineStr">
        <is>
          <t>Bal</t>
        </is>
      </c>
      <c r="F800" s="12" t="n">
        <v>0</v>
      </c>
      <c r="G800" s="12" t="n">
        <v>1</v>
      </c>
      <c r="H800" s="72" t="n"/>
      <c r="I800" s="72" t="n"/>
      <c r="J800" s="72" t="n"/>
      <c r="K800" s="72" t="inlineStr">
        <is>
          <t>3890-0000</t>
        </is>
      </c>
      <c r="L800" s="72" t="n"/>
    </row>
    <row r="801">
      <c r="A801" s="72" t="inlineStr">
        <is>
          <t>3303-2026</t>
        </is>
      </c>
      <c r="B801" s="72" t="inlineStr">
        <is>
          <t>Adam Freeman</t>
        </is>
      </c>
      <c r="C801" s="72" t="inlineStr">
        <is>
          <t>Credit</t>
        </is>
      </c>
      <c r="D801" s="72" t="inlineStr">
        <is>
          <t>Head</t>
        </is>
      </c>
      <c r="E801" s="72" t="inlineStr">
        <is>
          <t>Bal</t>
        </is>
      </c>
      <c r="F801" s="12" t="n">
        <v>0</v>
      </c>
      <c r="G801" s="12" t="n">
        <v>1</v>
      </c>
      <c r="H801" s="72" t="n"/>
      <c r="I801" s="72" t="n"/>
      <c r="J801" s="72" t="n"/>
      <c r="K801" s="72" t="inlineStr">
        <is>
          <t>3303-2029</t>
        </is>
      </c>
      <c r="L801" s="72" t="n"/>
    </row>
    <row r="802">
      <c r="A802" s="72" t="inlineStr">
        <is>
          <t>3303-2027</t>
        </is>
      </c>
      <c r="B802" s="72" t="inlineStr">
        <is>
          <t>Adam Freeman Contribution</t>
        </is>
      </c>
      <c r="C802" s="72" t="inlineStr">
        <is>
          <t>Credit</t>
        </is>
      </c>
      <c r="D802" s="72" t="inlineStr">
        <is>
          <t>Reg</t>
        </is>
      </c>
      <c r="E802" s="72" t="inlineStr">
        <is>
          <t>Bal</t>
        </is>
      </c>
      <c r="F802" s="12" t="n">
        <v>0</v>
      </c>
      <c r="G802" s="12" t="n">
        <v>1</v>
      </c>
      <c r="H802" s="72" t="n"/>
      <c r="I802" s="72" t="n"/>
      <c r="J802" s="72" t="n"/>
      <c r="K802" s="72" t="inlineStr">
        <is>
          <t>3303-2029</t>
        </is>
      </c>
      <c r="L802" s="72" t="inlineStr">
        <is>
          <t>Cash Flow</t>
        </is>
      </c>
    </row>
    <row r="803">
      <c r="A803" s="72" t="inlineStr">
        <is>
          <t>3303-2028</t>
        </is>
      </c>
      <c r="B803" s="72" t="inlineStr">
        <is>
          <t>Adam Freeman Distribution</t>
        </is>
      </c>
      <c r="C803" s="72" t="inlineStr">
        <is>
          <t>Credit</t>
        </is>
      </c>
      <c r="D803" s="72" t="inlineStr">
        <is>
          <t>Reg</t>
        </is>
      </c>
      <c r="E803" s="72" t="inlineStr">
        <is>
          <t>Bal</t>
        </is>
      </c>
      <c r="F803" s="12" t="n">
        <v>0</v>
      </c>
      <c r="G803" s="12" t="n">
        <v>1</v>
      </c>
      <c r="H803" s="72" t="n"/>
      <c r="I803" s="72" t="n"/>
      <c r="J803" s="72" t="n"/>
      <c r="K803" s="72" t="inlineStr">
        <is>
          <t>3303-2029</t>
        </is>
      </c>
      <c r="L803" s="72" t="inlineStr">
        <is>
          <t>Cash Flow</t>
        </is>
      </c>
    </row>
    <row r="804">
      <c r="A804" s="72" t="inlineStr">
        <is>
          <t>3303-2029</t>
        </is>
      </c>
      <c r="B804" s="72" t="inlineStr">
        <is>
          <t>Adam Freeman Total</t>
        </is>
      </c>
      <c r="C804" s="72" t="inlineStr">
        <is>
          <t>Credit</t>
        </is>
      </c>
      <c r="D804" s="72" t="inlineStr">
        <is>
          <t>Tot</t>
        </is>
      </c>
      <c r="E804" s="72" t="inlineStr">
        <is>
          <t>Bal</t>
        </is>
      </c>
      <c r="F804" s="12" t="n">
        <v>0</v>
      </c>
      <c r="G804" s="12" t="n">
        <v>1</v>
      </c>
      <c r="H804" s="72" t="n"/>
      <c r="I804" s="72" t="n"/>
      <c r="J804" s="72" t="n"/>
      <c r="K804" s="72" t="inlineStr">
        <is>
          <t>3890-0000</t>
        </is>
      </c>
      <c r="L804" s="72" t="n"/>
    </row>
    <row r="805">
      <c r="A805" s="72" t="inlineStr">
        <is>
          <t>3303-2030</t>
        </is>
      </c>
      <c r="B805" s="72" t="inlineStr">
        <is>
          <t>EP 5520 Salem Bend Capital</t>
        </is>
      </c>
      <c r="C805" s="72" t="inlineStr">
        <is>
          <t>Credit</t>
        </is>
      </c>
      <c r="D805" s="72" t="inlineStr">
        <is>
          <t>Head</t>
        </is>
      </c>
      <c r="E805" s="72" t="inlineStr">
        <is>
          <t>Bal</t>
        </is>
      </c>
      <c r="F805" s="12" t="n">
        <v>0</v>
      </c>
      <c r="G805" s="12" t="n">
        <v>2</v>
      </c>
      <c r="H805" s="72" t="n"/>
      <c r="I805" s="72" t="n"/>
      <c r="J805" s="72" t="n"/>
      <c r="K805" s="72" t="inlineStr">
        <is>
          <t>3303-2033</t>
        </is>
      </c>
      <c r="L805" s="72" t="n"/>
    </row>
    <row r="806">
      <c r="A806" s="72" t="inlineStr">
        <is>
          <t>3303-2031</t>
        </is>
      </c>
      <c r="B806" s="72" t="inlineStr">
        <is>
          <t>EP 5520 Salem Bend Contributions</t>
        </is>
      </c>
      <c r="C806" s="72" t="inlineStr">
        <is>
          <t>Credit</t>
        </is>
      </c>
      <c r="D806" s="72" t="inlineStr">
        <is>
          <t>Reg</t>
        </is>
      </c>
      <c r="E806" s="72" t="inlineStr">
        <is>
          <t>Bal</t>
        </is>
      </c>
      <c r="F806" s="12" t="n">
        <v>1</v>
      </c>
      <c r="G806" s="12" t="n">
        <v>1</v>
      </c>
      <c r="H806" s="72" t="n"/>
      <c r="I806" s="72" t="n"/>
      <c r="J806" s="72" t="n"/>
      <c r="K806" s="72" t="inlineStr">
        <is>
          <t>3303-2033</t>
        </is>
      </c>
      <c r="L806" s="72" t="inlineStr">
        <is>
          <t>Cash Flow</t>
        </is>
      </c>
    </row>
    <row r="807">
      <c r="A807" s="72" t="inlineStr">
        <is>
          <t>3303-2032</t>
        </is>
      </c>
      <c r="B807" s="72" t="inlineStr">
        <is>
          <t>EP 5520 Salem Bend Distributions</t>
        </is>
      </c>
      <c r="C807" s="72" t="inlineStr">
        <is>
          <t>Credit</t>
        </is>
      </c>
      <c r="D807" s="72" t="inlineStr">
        <is>
          <t>Reg</t>
        </is>
      </c>
      <c r="E807" s="72" t="inlineStr">
        <is>
          <t>Bal</t>
        </is>
      </c>
      <c r="F807" s="12" t="n">
        <v>1</v>
      </c>
      <c r="G807" s="12" t="n">
        <v>1</v>
      </c>
      <c r="H807" s="72" t="n"/>
      <c r="I807" s="72" t="n"/>
      <c r="J807" s="72" t="n"/>
      <c r="K807" s="72" t="inlineStr">
        <is>
          <t>3303-2033</t>
        </is>
      </c>
      <c r="L807" s="72" t="inlineStr">
        <is>
          <t>Cash Flow</t>
        </is>
      </c>
    </row>
    <row r="808">
      <c r="A808" s="72" t="inlineStr">
        <is>
          <t>3303-2033</t>
        </is>
      </c>
      <c r="B808" s="72" t="inlineStr">
        <is>
          <t>EP 5520 Salem Bend Total</t>
        </is>
      </c>
      <c r="C808" s="72" t="inlineStr">
        <is>
          <t>Credit</t>
        </is>
      </c>
      <c r="D808" s="72" t="inlineStr">
        <is>
          <t>Tot</t>
        </is>
      </c>
      <c r="E808" s="72" t="inlineStr">
        <is>
          <t>Bal</t>
        </is>
      </c>
      <c r="F808" s="12" t="n">
        <v>0</v>
      </c>
      <c r="G808" s="12" t="n">
        <v>1</v>
      </c>
      <c r="H808" s="72" t="n"/>
      <c r="I808" s="72" t="n"/>
      <c r="J808" s="72" t="n"/>
      <c r="K808" s="72" t="inlineStr">
        <is>
          <t>3890-0000</t>
        </is>
      </c>
      <c r="L808" s="72" t="n"/>
    </row>
    <row r="809">
      <c r="A809" s="72" t="inlineStr">
        <is>
          <t>3303-2034</t>
        </is>
      </c>
      <c r="B809" s="72" t="inlineStr">
        <is>
          <t>Charles A Anderson Contribution</t>
        </is>
      </c>
      <c r="C809" s="72" t="inlineStr">
        <is>
          <t>Credit</t>
        </is>
      </c>
      <c r="D809" s="72" t="inlineStr">
        <is>
          <t>Reg</t>
        </is>
      </c>
      <c r="E809" s="72" t="inlineStr">
        <is>
          <t>Bal</t>
        </is>
      </c>
      <c r="F809" s="12" t="n">
        <v>1</v>
      </c>
      <c r="G809" s="12" t="n">
        <v>2</v>
      </c>
      <c r="H809" s="72" t="n"/>
      <c r="I809" s="72" t="n"/>
      <c r="J809" s="72" t="n"/>
      <c r="K809" s="72" t="inlineStr">
        <is>
          <t>3303-2036</t>
        </is>
      </c>
      <c r="L809" s="72" t="inlineStr">
        <is>
          <t>Cash Flow</t>
        </is>
      </c>
    </row>
    <row r="810">
      <c r="A810" s="72" t="inlineStr">
        <is>
          <t>3303-2035</t>
        </is>
      </c>
      <c r="B810" s="72" t="inlineStr">
        <is>
          <t>Charles A Anderson Distribution</t>
        </is>
      </c>
      <c r="C810" s="72" t="inlineStr">
        <is>
          <t>Credit</t>
        </is>
      </c>
      <c r="D810" s="72" t="inlineStr">
        <is>
          <t>Reg</t>
        </is>
      </c>
      <c r="E810" s="72" t="inlineStr">
        <is>
          <t>Bal</t>
        </is>
      </c>
      <c r="F810" s="12" t="n">
        <v>1</v>
      </c>
      <c r="G810" s="12" t="n">
        <v>1</v>
      </c>
      <c r="H810" s="72" t="n"/>
      <c r="I810" s="72" t="n"/>
      <c r="J810" s="72" t="n"/>
      <c r="K810" s="72" t="inlineStr">
        <is>
          <t>3303-2036</t>
        </is>
      </c>
      <c r="L810" s="72" t="inlineStr">
        <is>
          <t>Cash Flow</t>
        </is>
      </c>
    </row>
    <row r="811">
      <c r="A811" s="72" t="inlineStr">
        <is>
          <t>3303-2036</t>
        </is>
      </c>
      <c r="B811" s="72" t="inlineStr">
        <is>
          <t>CHARLES A ANDERSON TOTAL</t>
        </is>
      </c>
      <c r="C811" s="72" t="inlineStr">
        <is>
          <t>Credit</t>
        </is>
      </c>
      <c r="D811" s="72" t="inlineStr">
        <is>
          <t>Tot</t>
        </is>
      </c>
      <c r="E811" s="72" t="inlineStr">
        <is>
          <t>Bal</t>
        </is>
      </c>
      <c r="F811" s="12" t="n">
        <v>0</v>
      </c>
      <c r="G811" s="12" t="n">
        <v>1</v>
      </c>
      <c r="H811" s="72" t="n"/>
      <c r="I811" s="72" t="n"/>
      <c r="J811" s="72" t="n"/>
      <c r="K811" s="72" t="inlineStr">
        <is>
          <t>3890-0000</t>
        </is>
      </c>
      <c r="L811" s="72" t="n"/>
    </row>
    <row r="812">
      <c r="A812" s="72" t="inlineStr">
        <is>
          <t>3303-2037</t>
        </is>
      </c>
      <c r="B812" s="72" t="inlineStr">
        <is>
          <t>James Feaster Contribution</t>
        </is>
      </c>
      <c r="C812" s="72" t="inlineStr">
        <is>
          <t>Credit</t>
        </is>
      </c>
      <c r="D812" s="72" t="inlineStr">
        <is>
          <t>Reg</t>
        </is>
      </c>
      <c r="E812" s="72" t="inlineStr">
        <is>
          <t>Bal</t>
        </is>
      </c>
      <c r="F812" s="12" t="n">
        <v>1</v>
      </c>
      <c r="G812" s="12" t="n">
        <v>2</v>
      </c>
      <c r="H812" s="72" t="n"/>
      <c r="I812" s="72" t="n"/>
      <c r="J812" s="72" t="n"/>
      <c r="K812" s="72" t="inlineStr">
        <is>
          <t>3303-2039</t>
        </is>
      </c>
      <c r="L812" s="72" t="inlineStr">
        <is>
          <t>Cash Flow</t>
        </is>
      </c>
    </row>
    <row r="813">
      <c r="A813" s="72" t="inlineStr">
        <is>
          <t>3303-2038</t>
        </is>
      </c>
      <c r="B813" s="72" t="inlineStr">
        <is>
          <t>James Feaster Distribution</t>
        </is>
      </c>
      <c r="C813" s="72" t="inlineStr">
        <is>
          <t>Credit</t>
        </is>
      </c>
      <c r="D813" s="72" t="inlineStr">
        <is>
          <t>Reg</t>
        </is>
      </c>
      <c r="E813" s="72" t="inlineStr">
        <is>
          <t>Bal</t>
        </is>
      </c>
      <c r="F813" s="12" t="n">
        <v>1</v>
      </c>
      <c r="G813" s="12" t="n">
        <v>1</v>
      </c>
      <c r="H813" s="72" t="n"/>
      <c r="I813" s="72" t="n"/>
      <c r="J813" s="72" t="n"/>
      <c r="K813" s="72" t="inlineStr">
        <is>
          <t>3303-2039</t>
        </is>
      </c>
      <c r="L813" s="72" t="inlineStr">
        <is>
          <t>Cash Flow</t>
        </is>
      </c>
    </row>
    <row r="814">
      <c r="A814" s="72" t="inlineStr">
        <is>
          <t>3303-2039</t>
        </is>
      </c>
      <c r="B814" s="72" t="inlineStr">
        <is>
          <t>JAMES FEASTER TOTAL</t>
        </is>
      </c>
      <c r="C814" s="72" t="inlineStr">
        <is>
          <t>Credit</t>
        </is>
      </c>
      <c r="D814" s="72" t="inlineStr">
        <is>
          <t>Tot</t>
        </is>
      </c>
      <c r="E814" s="72" t="inlineStr">
        <is>
          <t>Bal</t>
        </is>
      </c>
      <c r="F814" s="12" t="n">
        <v>0</v>
      </c>
      <c r="G814" s="12" t="n">
        <v>1</v>
      </c>
      <c r="H814" s="72" t="n"/>
      <c r="I814" s="72" t="n"/>
      <c r="J814" s="72" t="n"/>
      <c r="K814" s="72" t="inlineStr">
        <is>
          <t>3890-0000</t>
        </is>
      </c>
      <c r="L814" s="72" t="n"/>
    </row>
    <row r="815">
      <c r="A815" s="72" t="inlineStr">
        <is>
          <t>3303-2040</t>
        </is>
      </c>
      <c r="B815" s="72" t="inlineStr">
        <is>
          <t>James Sayegh Revocable Trust Contribution</t>
        </is>
      </c>
      <c r="C815" s="72" t="inlineStr">
        <is>
          <t>Credit</t>
        </is>
      </c>
      <c r="D815" s="72" t="inlineStr">
        <is>
          <t>Reg</t>
        </is>
      </c>
      <c r="E815" s="72" t="inlineStr">
        <is>
          <t>Bal</t>
        </is>
      </c>
      <c r="F815" s="12" t="n">
        <v>1</v>
      </c>
      <c r="G815" s="12" t="n">
        <v>2</v>
      </c>
      <c r="H815" s="72" t="n"/>
      <c r="I815" s="72" t="n"/>
      <c r="J815" s="72" t="n"/>
      <c r="K815" s="72" t="inlineStr">
        <is>
          <t>3303-2042</t>
        </is>
      </c>
      <c r="L815" s="72" t="inlineStr">
        <is>
          <t>Cash Flow</t>
        </is>
      </c>
    </row>
    <row r="816">
      <c r="A816" s="72" t="inlineStr">
        <is>
          <t>3303-2041</t>
        </is>
      </c>
      <c r="B816" s="72" t="inlineStr">
        <is>
          <t>James Sayegh Revocable Trust Distribution</t>
        </is>
      </c>
      <c r="C816" s="72" t="inlineStr">
        <is>
          <t>Credit</t>
        </is>
      </c>
      <c r="D816" s="72" t="inlineStr">
        <is>
          <t>Reg</t>
        </is>
      </c>
      <c r="E816" s="72" t="inlineStr">
        <is>
          <t>Bal</t>
        </is>
      </c>
      <c r="F816" s="12" t="n">
        <v>1</v>
      </c>
      <c r="G816" s="12" t="n">
        <v>1</v>
      </c>
      <c r="H816" s="72" t="n"/>
      <c r="I816" s="72" t="n"/>
      <c r="J816" s="72" t="n"/>
      <c r="K816" s="72" t="inlineStr">
        <is>
          <t>3303-2042</t>
        </is>
      </c>
      <c r="L816" s="72" t="inlineStr">
        <is>
          <t>Cash Flow</t>
        </is>
      </c>
    </row>
    <row r="817">
      <c r="A817" s="72" t="inlineStr">
        <is>
          <t>3303-2042</t>
        </is>
      </c>
      <c r="B817" s="72" t="inlineStr">
        <is>
          <t>JAMES SAYEGH REVOCABLE TRUST TOTAL</t>
        </is>
      </c>
      <c r="C817" s="72" t="inlineStr">
        <is>
          <t>Credit</t>
        </is>
      </c>
      <c r="D817" s="72" t="inlineStr">
        <is>
          <t>Tot</t>
        </is>
      </c>
      <c r="E817" s="72" t="inlineStr">
        <is>
          <t>Bal</t>
        </is>
      </c>
      <c r="F817" s="12" t="n">
        <v>0</v>
      </c>
      <c r="G817" s="12" t="n">
        <v>1</v>
      </c>
      <c r="H817" s="72" t="n"/>
      <c r="I817" s="72" t="n"/>
      <c r="J817" s="72" t="n"/>
      <c r="K817" s="72" t="inlineStr">
        <is>
          <t>3890-0000</t>
        </is>
      </c>
      <c r="L817" s="72" t="n"/>
    </row>
    <row r="818">
      <c r="A818" s="72" t="inlineStr">
        <is>
          <t>3303-2043</t>
        </is>
      </c>
      <c r="B818" s="72" t="inlineStr">
        <is>
          <t>Tye Gribb Contribution</t>
        </is>
      </c>
      <c r="C818" s="72" t="inlineStr">
        <is>
          <t>Credit</t>
        </is>
      </c>
      <c r="D818" s="72" t="inlineStr">
        <is>
          <t>Reg</t>
        </is>
      </c>
      <c r="E818" s="72" t="inlineStr">
        <is>
          <t>Bal</t>
        </is>
      </c>
      <c r="F818" s="12" t="n">
        <v>1</v>
      </c>
      <c r="G818" s="12" t="n">
        <v>2</v>
      </c>
      <c r="H818" s="72" t="n"/>
      <c r="I818" s="72" t="n"/>
      <c r="J818" s="72" t="n"/>
      <c r="K818" s="72" t="inlineStr">
        <is>
          <t>3303-2045</t>
        </is>
      </c>
      <c r="L818" s="72" t="inlineStr">
        <is>
          <t>Cash Flow</t>
        </is>
      </c>
    </row>
    <row r="819">
      <c r="A819" s="72" t="inlineStr">
        <is>
          <t>3303-2044</t>
        </is>
      </c>
      <c r="B819" s="72" t="inlineStr">
        <is>
          <t>Tye Gribb Distribution</t>
        </is>
      </c>
      <c r="C819" s="72" t="inlineStr">
        <is>
          <t>Credit</t>
        </is>
      </c>
      <c r="D819" s="72" t="inlineStr">
        <is>
          <t>Reg</t>
        </is>
      </c>
      <c r="E819" s="72" t="inlineStr">
        <is>
          <t>Bal</t>
        </is>
      </c>
      <c r="F819" s="12" t="n">
        <v>1</v>
      </c>
      <c r="G819" s="12" t="n">
        <v>1</v>
      </c>
      <c r="H819" s="72" t="n"/>
      <c r="I819" s="72" t="n"/>
      <c r="J819" s="72" t="n"/>
      <c r="K819" s="72" t="inlineStr">
        <is>
          <t>3303-2045</t>
        </is>
      </c>
      <c r="L819" s="72" t="inlineStr">
        <is>
          <t>Cash Flow</t>
        </is>
      </c>
    </row>
    <row r="820">
      <c r="A820" s="72" t="inlineStr">
        <is>
          <t>3303-2045</t>
        </is>
      </c>
      <c r="B820" s="72" t="inlineStr">
        <is>
          <t>TYE GRIBB TOTAL</t>
        </is>
      </c>
      <c r="C820" s="72" t="inlineStr">
        <is>
          <t>Credit</t>
        </is>
      </c>
      <c r="D820" s="72" t="inlineStr">
        <is>
          <t>Tot</t>
        </is>
      </c>
      <c r="E820" s="72" t="inlineStr">
        <is>
          <t>Bal</t>
        </is>
      </c>
      <c r="F820" s="12" t="n">
        <v>0</v>
      </c>
      <c r="G820" s="12" t="n">
        <v>1</v>
      </c>
      <c r="H820" s="72" t="n"/>
      <c r="I820" s="72" t="n"/>
      <c r="J820" s="72" t="n"/>
      <c r="K820" s="72" t="inlineStr">
        <is>
          <t>3890-0000</t>
        </is>
      </c>
      <c r="L820" s="72" t="n"/>
    </row>
    <row r="821">
      <c r="A821" s="72" t="inlineStr">
        <is>
          <t>3303-2046</t>
        </is>
      </c>
      <c r="B821" s="72" t="inlineStr">
        <is>
          <t>Nicholas Marino Contribution</t>
        </is>
      </c>
      <c r="C821" s="72" t="inlineStr">
        <is>
          <t>Credit</t>
        </is>
      </c>
      <c r="D821" s="72" t="inlineStr">
        <is>
          <t>Reg</t>
        </is>
      </c>
      <c r="E821" s="72" t="inlineStr">
        <is>
          <t>Bal</t>
        </is>
      </c>
      <c r="F821" s="12" t="n">
        <v>1</v>
      </c>
      <c r="G821" s="12" t="n">
        <v>2</v>
      </c>
      <c r="H821" s="72" t="n"/>
      <c r="I821" s="72" t="n"/>
      <c r="J821" s="72" t="n"/>
      <c r="K821" s="72" t="inlineStr">
        <is>
          <t>3303-2048</t>
        </is>
      </c>
      <c r="L821" s="72" t="inlineStr">
        <is>
          <t>Cash Flow</t>
        </is>
      </c>
    </row>
    <row r="822">
      <c r="A822" s="72" t="inlineStr">
        <is>
          <t>3303-2047</t>
        </is>
      </c>
      <c r="B822" s="72" t="inlineStr">
        <is>
          <t>Nicholas Marino Distribution</t>
        </is>
      </c>
      <c r="C822" s="72" t="inlineStr">
        <is>
          <t>Credit</t>
        </is>
      </c>
      <c r="D822" s="72" t="inlineStr">
        <is>
          <t>Reg</t>
        </is>
      </c>
      <c r="E822" s="72" t="inlineStr">
        <is>
          <t>Bal</t>
        </is>
      </c>
      <c r="F822" s="12" t="n">
        <v>1</v>
      </c>
      <c r="G822" s="12" t="n">
        <v>1</v>
      </c>
      <c r="H822" s="72" t="n"/>
      <c r="I822" s="72" t="n"/>
      <c r="J822" s="72" t="n"/>
      <c r="K822" s="72" t="inlineStr">
        <is>
          <t>3303-2048</t>
        </is>
      </c>
      <c r="L822" s="72" t="inlineStr">
        <is>
          <t>Cash Flow</t>
        </is>
      </c>
    </row>
    <row r="823">
      <c r="A823" s="72" t="inlineStr">
        <is>
          <t>3303-2048</t>
        </is>
      </c>
      <c r="B823" s="72" t="inlineStr">
        <is>
          <t>NICHOLAS MARINO TOTAL</t>
        </is>
      </c>
      <c r="C823" s="72" t="inlineStr">
        <is>
          <t>Credit</t>
        </is>
      </c>
      <c r="D823" s="72" t="inlineStr">
        <is>
          <t>Tot</t>
        </is>
      </c>
      <c r="E823" s="72" t="inlineStr">
        <is>
          <t>Bal</t>
        </is>
      </c>
      <c r="F823" s="12" t="n">
        <v>0</v>
      </c>
      <c r="G823" s="12" t="n">
        <v>1</v>
      </c>
      <c r="H823" s="72" t="n"/>
      <c r="I823" s="72" t="n"/>
      <c r="J823" s="72" t="n"/>
      <c r="K823" s="72" t="inlineStr">
        <is>
          <t>3890-0000</t>
        </is>
      </c>
      <c r="L823" s="72" t="n"/>
    </row>
    <row r="824">
      <c r="A824" s="72" t="inlineStr">
        <is>
          <t>3303-2049</t>
        </is>
      </c>
      <c r="B824" s="72" t="inlineStr">
        <is>
          <t>Amy Shuman Contribution</t>
        </is>
      </c>
      <c r="C824" s="72" t="inlineStr">
        <is>
          <t>Credit</t>
        </is>
      </c>
      <c r="D824" s="72" t="inlineStr">
        <is>
          <t>Reg</t>
        </is>
      </c>
      <c r="E824" s="72" t="inlineStr">
        <is>
          <t>Bal</t>
        </is>
      </c>
      <c r="F824" s="12" t="n">
        <v>1</v>
      </c>
      <c r="G824" s="12" t="n">
        <v>2</v>
      </c>
      <c r="H824" s="72" t="n"/>
      <c r="I824" s="72" t="n"/>
      <c r="J824" s="72" t="n"/>
      <c r="K824" s="72" t="inlineStr">
        <is>
          <t>3303-2051</t>
        </is>
      </c>
      <c r="L824" s="72" t="inlineStr">
        <is>
          <t>Cash Flow</t>
        </is>
      </c>
    </row>
    <row r="825">
      <c r="A825" s="72" t="inlineStr">
        <is>
          <t>3303-2050</t>
        </is>
      </c>
      <c r="B825" s="72" t="inlineStr">
        <is>
          <t>Amy Shuman Distribution</t>
        </is>
      </c>
      <c r="C825" s="72" t="inlineStr">
        <is>
          <t>Credit</t>
        </is>
      </c>
      <c r="D825" s="72" t="inlineStr">
        <is>
          <t>Reg</t>
        </is>
      </c>
      <c r="E825" s="72" t="inlineStr">
        <is>
          <t>Bal</t>
        </is>
      </c>
      <c r="F825" s="12" t="n">
        <v>1</v>
      </c>
      <c r="G825" s="12" t="n">
        <v>1</v>
      </c>
      <c r="H825" s="72" t="n"/>
      <c r="I825" s="72" t="n"/>
      <c r="J825" s="72" t="n"/>
      <c r="K825" s="72" t="inlineStr">
        <is>
          <t>3303-2051</t>
        </is>
      </c>
      <c r="L825" s="72" t="inlineStr">
        <is>
          <t>Cash Flow</t>
        </is>
      </c>
    </row>
    <row r="826">
      <c r="A826" s="72" t="inlineStr">
        <is>
          <t>3303-2051</t>
        </is>
      </c>
      <c r="B826" s="72" t="inlineStr">
        <is>
          <t>AMY SHUMAN TOTAL</t>
        </is>
      </c>
      <c r="C826" s="72" t="inlineStr">
        <is>
          <t>Credit</t>
        </is>
      </c>
      <c r="D826" s="72" t="inlineStr">
        <is>
          <t>Tot</t>
        </is>
      </c>
      <c r="E826" s="72" t="inlineStr">
        <is>
          <t>Bal</t>
        </is>
      </c>
      <c r="F826" s="12" t="n">
        <v>0</v>
      </c>
      <c r="G826" s="12" t="n">
        <v>1</v>
      </c>
      <c r="H826" s="72" t="n"/>
      <c r="I826" s="72" t="n"/>
      <c r="J826" s="72" t="n"/>
      <c r="K826" s="72" t="inlineStr">
        <is>
          <t>3890-0000</t>
        </is>
      </c>
      <c r="L826" s="72" t="n"/>
    </row>
    <row r="827">
      <c r="A827" s="72" t="inlineStr">
        <is>
          <t>3303-2052</t>
        </is>
      </c>
      <c r="B827" s="72" t="inlineStr">
        <is>
          <t>James Darrow Revocable Trust Contribution</t>
        </is>
      </c>
      <c r="C827" s="72" t="inlineStr">
        <is>
          <t>Credit</t>
        </is>
      </c>
      <c r="D827" s="72" t="inlineStr">
        <is>
          <t>Reg</t>
        </is>
      </c>
      <c r="E827" s="72" t="inlineStr">
        <is>
          <t>Bal</t>
        </is>
      </c>
      <c r="F827" s="12" t="n">
        <v>1</v>
      </c>
      <c r="G827" s="12" t="n">
        <v>2</v>
      </c>
      <c r="H827" s="72" t="n"/>
      <c r="I827" s="72" t="n"/>
      <c r="J827" s="72" t="n"/>
      <c r="K827" s="72" t="inlineStr">
        <is>
          <t>3303-2054</t>
        </is>
      </c>
      <c r="L827" s="72" t="inlineStr">
        <is>
          <t>Cash Flow</t>
        </is>
      </c>
    </row>
    <row r="828">
      <c r="A828" s="72" t="inlineStr">
        <is>
          <t>3303-2053</t>
        </is>
      </c>
      <c r="B828" s="72" t="inlineStr">
        <is>
          <t>James Darrow Revocable Trust Distribution</t>
        </is>
      </c>
      <c r="C828" s="72" t="inlineStr">
        <is>
          <t>Credit</t>
        </is>
      </c>
      <c r="D828" s="72" t="inlineStr">
        <is>
          <t>Reg</t>
        </is>
      </c>
      <c r="E828" s="72" t="inlineStr">
        <is>
          <t>Bal</t>
        </is>
      </c>
      <c r="F828" s="12" t="n">
        <v>1</v>
      </c>
      <c r="G828" s="12" t="n">
        <v>1</v>
      </c>
      <c r="H828" s="72" t="n"/>
      <c r="I828" s="72" t="n"/>
      <c r="J828" s="72" t="n"/>
      <c r="K828" s="72" t="inlineStr">
        <is>
          <t>3303-2054</t>
        </is>
      </c>
      <c r="L828" s="72" t="inlineStr">
        <is>
          <t>Cash Flow</t>
        </is>
      </c>
    </row>
    <row r="829">
      <c r="A829" s="72" t="inlineStr">
        <is>
          <t>3303-2054</t>
        </is>
      </c>
      <c r="B829" s="72" t="inlineStr">
        <is>
          <t>JAMES DARROW REVOCABLE TRUST TOTAL</t>
        </is>
      </c>
      <c r="C829" s="72" t="inlineStr">
        <is>
          <t>Credit</t>
        </is>
      </c>
      <c r="D829" s="72" t="inlineStr">
        <is>
          <t>Tot</t>
        </is>
      </c>
      <c r="E829" s="72" t="inlineStr">
        <is>
          <t>Bal</t>
        </is>
      </c>
      <c r="F829" s="12" t="n">
        <v>0</v>
      </c>
      <c r="G829" s="12" t="n">
        <v>1</v>
      </c>
      <c r="H829" s="72" t="n"/>
      <c r="I829" s="72" t="n"/>
      <c r="J829" s="72" t="n"/>
      <c r="K829" s="72" t="inlineStr">
        <is>
          <t>3890-0000</t>
        </is>
      </c>
      <c r="L829" s="72" t="n"/>
    </row>
    <row r="830">
      <c r="A830" s="72" t="inlineStr">
        <is>
          <t>3303-2055</t>
        </is>
      </c>
      <c r="B830" s="72" t="inlineStr">
        <is>
          <t>Richard Solley Contribution</t>
        </is>
      </c>
      <c r="C830" s="72" t="inlineStr">
        <is>
          <t>Credit</t>
        </is>
      </c>
      <c r="D830" s="72" t="inlineStr">
        <is>
          <t>Reg</t>
        </is>
      </c>
      <c r="E830" s="72" t="inlineStr">
        <is>
          <t>Bal</t>
        </is>
      </c>
      <c r="F830" s="12" t="n">
        <v>1</v>
      </c>
      <c r="G830" s="12" t="n">
        <v>2</v>
      </c>
      <c r="H830" s="72" t="n"/>
      <c r="I830" s="72" t="n"/>
      <c r="J830" s="72" t="n"/>
      <c r="K830" s="72" t="inlineStr">
        <is>
          <t>3303-2057</t>
        </is>
      </c>
      <c r="L830" s="72" t="inlineStr">
        <is>
          <t>Cash Flow</t>
        </is>
      </c>
    </row>
    <row r="831">
      <c r="A831" s="72" t="inlineStr">
        <is>
          <t>3303-2056</t>
        </is>
      </c>
      <c r="B831" s="72" t="inlineStr">
        <is>
          <t>Richard Solley Distribution</t>
        </is>
      </c>
      <c r="C831" s="72" t="inlineStr">
        <is>
          <t>Credit</t>
        </is>
      </c>
      <c r="D831" s="72" t="inlineStr">
        <is>
          <t>Reg</t>
        </is>
      </c>
      <c r="E831" s="72" t="inlineStr">
        <is>
          <t>Bal</t>
        </is>
      </c>
      <c r="F831" s="12" t="n">
        <v>1</v>
      </c>
      <c r="G831" s="12" t="n">
        <v>1</v>
      </c>
      <c r="H831" s="72" t="n"/>
      <c r="I831" s="72" t="n"/>
      <c r="J831" s="72" t="n"/>
      <c r="K831" s="72" t="inlineStr">
        <is>
          <t>3303-2057</t>
        </is>
      </c>
      <c r="L831" s="72" t="inlineStr">
        <is>
          <t>Cash Flow</t>
        </is>
      </c>
    </row>
    <row r="832">
      <c r="A832" s="72" t="inlineStr">
        <is>
          <t>3303-2057</t>
        </is>
      </c>
      <c r="B832" s="72" t="inlineStr">
        <is>
          <t>RICHARD SOLLEY TOTAL</t>
        </is>
      </c>
      <c r="C832" s="72" t="inlineStr">
        <is>
          <t>Credit</t>
        </is>
      </c>
      <c r="D832" s="72" t="inlineStr">
        <is>
          <t>Tot</t>
        </is>
      </c>
      <c r="E832" s="72" t="inlineStr">
        <is>
          <t>Bal</t>
        </is>
      </c>
      <c r="F832" s="12" t="n">
        <v>0</v>
      </c>
      <c r="G832" s="12" t="n">
        <v>1</v>
      </c>
      <c r="H832" s="72" t="n"/>
      <c r="I832" s="72" t="n"/>
      <c r="J832" s="72" t="n"/>
      <c r="K832" s="72" t="inlineStr">
        <is>
          <t>3890-0000</t>
        </is>
      </c>
      <c r="L832" s="72" t="n"/>
    </row>
    <row r="833">
      <c r="A833" s="72" t="inlineStr">
        <is>
          <t>3303-2058</t>
        </is>
      </c>
      <c r="B833" s="72" t="inlineStr">
        <is>
          <t>Jill K Donnellon Trust Contribution</t>
        </is>
      </c>
      <c r="C833" s="72" t="inlineStr">
        <is>
          <t>Credit</t>
        </is>
      </c>
      <c r="D833" s="72" t="inlineStr">
        <is>
          <t>Reg</t>
        </is>
      </c>
      <c r="E833" s="72" t="inlineStr">
        <is>
          <t>Bal</t>
        </is>
      </c>
      <c r="F833" s="12" t="n">
        <v>1</v>
      </c>
      <c r="G833" s="12" t="n">
        <v>2</v>
      </c>
      <c r="H833" s="72" t="n"/>
      <c r="I833" s="72" t="n"/>
      <c r="J833" s="72" t="n"/>
      <c r="K833" s="72" t="inlineStr">
        <is>
          <t>3303-2060</t>
        </is>
      </c>
      <c r="L833" s="72" t="inlineStr">
        <is>
          <t>Cash Flow</t>
        </is>
      </c>
    </row>
    <row r="834">
      <c r="A834" s="72" t="inlineStr">
        <is>
          <t>3303-2059</t>
        </is>
      </c>
      <c r="B834" s="72" t="inlineStr">
        <is>
          <t>Jill K Donnellon Trust Distribution</t>
        </is>
      </c>
      <c r="C834" s="72" t="inlineStr">
        <is>
          <t>Credit</t>
        </is>
      </c>
      <c r="D834" s="72" t="inlineStr">
        <is>
          <t>Reg</t>
        </is>
      </c>
      <c r="E834" s="72" t="inlineStr">
        <is>
          <t>Bal</t>
        </is>
      </c>
      <c r="F834" s="12" t="n">
        <v>1</v>
      </c>
      <c r="G834" s="12" t="n">
        <v>1</v>
      </c>
      <c r="H834" s="72" t="n"/>
      <c r="I834" s="72" t="n"/>
      <c r="J834" s="72" t="n"/>
      <c r="K834" s="72" t="inlineStr">
        <is>
          <t>3303-2060</t>
        </is>
      </c>
      <c r="L834" s="72" t="inlineStr">
        <is>
          <t>Cash Flow</t>
        </is>
      </c>
    </row>
    <row r="835">
      <c r="A835" s="72" t="inlineStr">
        <is>
          <t>3303-2060</t>
        </is>
      </c>
      <c r="B835" s="72" t="inlineStr">
        <is>
          <t>JILL K DONNELLON TRUST TOTAL</t>
        </is>
      </c>
      <c r="C835" s="72" t="inlineStr">
        <is>
          <t>Credit</t>
        </is>
      </c>
      <c r="D835" s="72" t="inlineStr">
        <is>
          <t>Tot</t>
        </is>
      </c>
      <c r="E835" s="72" t="inlineStr">
        <is>
          <t>Bal</t>
        </is>
      </c>
      <c r="F835" s="12" t="n">
        <v>0</v>
      </c>
      <c r="G835" s="12" t="n">
        <v>1</v>
      </c>
      <c r="H835" s="72" t="n"/>
      <c r="I835" s="72" t="n"/>
      <c r="J835" s="72" t="n"/>
      <c r="K835" s="72" t="inlineStr">
        <is>
          <t>3890-0000</t>
        </is>
      </c>
      <c r="L835" s="72" t="n"/>
    </row>
    <row r="836">
      <c r="A836" s="72" t="inlineStr">
        <is>
          <t>3303-2061</t>
        </is>
      </c>
      <c r="B836" s="72" t="inlineStr">
        <is>
          <t>Larry Honigman Contribution</t>
        </is>
      </c>
      <c r="C836" s="72" t="inlineStr">
        <is>
          <t>Credit</t>
        </is>
      </c>
      <c r="D836" s="72" t="inlineStr">
        <is>
          <t>Reg</t>
        </is>
      </c>
      <c r="E836" s="72" t="inlineStr">
        <is>
          <t>Bal</t>
        </is>
      </c>
      <c r="F836" s="12" t="n">
        <v>1</v>
      </c>
      <c r="G836" s="12" t="n">
        <v>2</v>
      </c>
      <c r="H836" s="72" t="n"/>
      <c r="I836" s="72" t="n"/>
      <c r="J836" s="72" t="n"/>
      <c r="K836" s="72" t="inlineStr">
        <is>
          <t>3303-2063</t>
        </is>
      </c>
      <c r="L836" s="72" t="inlineStr">
        <is>
          <t>Cash Flow</t>
        </is>
      </c>
    </row>
    <row r="837">
      <c r="A837" s="72" t="inlineStr">
        <is>
          <t>3303-2062</t>
        </is>
      </c>
      <c r="B837" s="72" t="inlineStr">
        <is>
          <t>Larry Honigman Distribution</t>
        </is>
      </c>
      <c r="C837" s="72" t="inlineStr">
        <is>
          <t>Credit</t>
        </is>
      </c>
      <c r="D837" s="72" t="inlineStr">
        <is>
          <t>Reg</t>
        </is>
      </c>
      <c r="E837" s="72" t="inlineStr">
        <is>
          <t>Bal</t>
        </is>
      </c>
      <c r="F837" s="12" t="n">
        <v>1</v>
      </c>
      <c r="G837" s="12" t="n">
        <v>1</v>
      </c>
      <c r="H837" s="72" t="n"/>
      <c r="I837" s="72" t="n"/>
      <c r="J837" s="72" t="n"/>
      <c r="K837" s="72" t="inlineStr">
        <is>
          <t>3303-2063</t>
        </is>
      </c>
      <c r="L837" s="72" t="inlineStr">
        <is>
          <t>Cash Flow</t>
        </is>
      </c>
    </row>
    <row r="838">
      <c r="A838" s="72" t="inlineStr">
        <is>
          <t>3303-2063</t>
        </is>
      </c>
      <c r="B838" s="72" t="inlineStr">
        <is>
          <t>LARRY HONIGMAN TOTAL</t>
        </is>
      </c>
      <c r="C838" s="72" t="inlineStr">
        <is>
          <t>Credit</t>
        </is>
      </c>
      <c r="D838" s="72" t="inlineStr">
        <is>
          <t>Tot</t>
        </is>
      </c>
      <c r="E838" s="72" t="inlineStr">
        <is>
          <t>Bal</t>
        </is>
      </c>
      <c r="F838" s="12" t="n">
        <v>0</v>
      </c>
      <c r="G838" s="12" t="n">
        <v>1</v>
      </c>
      <c r="H838" s="72" t="n"/>
      <c r="I838" s="72" t="n"/>
      <c r="J838" s="72" t="n"/>
      <c r="K838" s="72" t="inlineStr">
        <is>
          <t>3890-0000</t>
        </is>
      </c>
      <c r="L838" s="72" t="n"/>
    </row>
    <row r="839">
      <c r="A839" s="72" t="inlineStr">
        <is>
          <t>3303-2064</t>
        </is>
      </c>
      <c r="B839" s="72" t="inlineStr">
        <is>
          <t>Bubbles Holdings, LP Contribution</t>
        </is>
      </c>
      <c r="C839" s="72" t="inlineStr">
        <is>
          <t>Credit</t>
        </is>
      </c>
      <c r="D839" s="72" t="inlineStr">
        <is>
          <t>Reg</t>
        </is>
      </c>
      <c r="E839" s="72" t="inlineStr">
        <is>
          <t>Bal</t>
        </is>
      </c>
      <c r="F839" s="12" t="n">
        <v>1</v>
      </c>
      <c r="G839" s="12" t="n">
        <v>2</v>
      </c>
      <c r="H839" s="72" t="n"/>
      <c r="I839" s="72" t="n"/>
      <c r="J839" s="72" t="n"/>
      <c r="K839" s="72" t="inlineStr">
        <is>
          <t>3303-2066</t>
        </is>
      </c>
      <c r="L839" s="72" t="inlineStr">
        <is>
          <t>Cash Flow</t>
        </is>
      </c>
    </row>
    <row r="840">
      <c r="A840" s="72" t="inlineStr">
        <is>
          <t>3303-2065</t>
        </is>
      </c>
      <c r="B840" s="72" t="inlineStr">
        <is>
          <t>Bubbles Holdings, LP Distribution</t>
        </is>
      </c>
      <c r="C840" s="72" t="inlineStr">
        <is>
          <t>Credit</t>
        </is>
      </c>
      <c r="D840" s="72" t="inlineStr">
        <is>
          <t>Reg</t>
        </is>
      </c>
      <c r="E840" s="72" t="inlineStr">
        <is>
          <t>Bal</t>
        </is>
      </c>
      <c r="F840" s="12" t="n">
        <v>1</v>
      </c>
      <c r="G840" s="12" t="n">
        <v>1</v>
      </c>
      <c r="H840" s="72" t="n"/>
      <c r="I840" s="72" t="n"/>
      <c r="J840" s="72" t="n"/>
      <c r="K840" s="72" t="inlineStr">
        <is>
          <t>3303-2066</t>
        </is>
      </c>
      <c r="L840" s="72" t="inlineStr">
        <is>
          <t>Cash Flow</t>
        </is>
      </c>
    </row>
    <row r="841">
      <c r="A841" s="72" t="inlineStr">
        <is>
          <t>3303-2066</t>
        </is>
      </c>
      <c r="B841" s="72" t="inlineStr">
        <is>
          <t>BUBBLES HOLDINGS, LP TOTAL</t>
        </is>
      </c>
      <c r="C841" s="72" t="inlineStr">
        <is>
          <t>Credit</t>
        </is>
      </c>
      <c r="D841" s="72" t="inlineStr">
        <is>
          <t>Tot</t>
        </is>
      </c>
      <c r="E841" s="72" t="inlineStr">
        <is>
          <t>Bal</t>
        </is>
      </c>
      <c r="F841" s="12" t="n">
        <v>0</v>
      </c>
      <c r="G841" s="12" t="n">
        <v>1</v>
      </c>
      <c r="H841" s="72" t="n"/>
      <c r="I841" s="72" t="n"/>
      <c r="J841" s="72" t="n"/>
      <c r="K841" s="72" t="inlineStr">
        <is>
          <t>3890-0000</t>
        </is>
      </c>
      <c r="L841" s="72" t="n"/>
    </row>
    <row r="842">
      <c r="A842" s="72" t="inlineStr">
        <is>
          <t>3303-2067</t>
        </is>
      </c>
      <c r="B842" s="72" t="inlineStr">
        <is>
          <t>Maureen Brown Contribution</t>
        </is>
      </c>
      <c r="C842" s="72" t="inlineStr">
        <is>
          <t>Credit</t>
        </is>
      </c>
      <c r="D842" s="72" t="inlineStr">
        <is>
          <t>Reg</t>
        </is>
      </c>
      <c r="E842" s="72" t="inlineStr">
        <is>
          <t>Bal</t>
        </is>
      </c>
      <c r="F842" s="12" t="n">
        <v>1</v>
      </c>
      <c r="G842" s="12" t="n">
        <v>2</v>
      </c>
      <c r="H842" s="72" t="n"/>
      <c r="I842" s="72" t="n"/>
      <c r="J842" s="72" t="n"/>
      <c r="K842" s="72" t="inlineStr">
        <is>
          <t>3303-2069</t>
        </is>
      </c>
      <c r="L842" s="72" t="inlineStr">
        <is>
          <t>Cash Flow</t>
        </is>
      </c>
    </row>
    <row r="843">
      <c r="A843" s="72" t="inlineStr">
        <is>
          <t>3303-2068</t>
        </is>
      </c>
      <c r="B843" s="72" t="inlineStr">
        <is>
          <t>Maureen Brown Distribution</t>
        </is>
      </c>
      <c r="C843" s="72" t="inlineStr">
        <is>
          <t>Credit</t>
        </is>
      </c>
      <c r="D843" s="72" t="inlineStr">
        <is>
          <t>Reg</t>
        </is>
      </c>
      <c r="E843" s="72" t="inlineStr">
        <is>
          <t>Bal</t>
        </is>
      </c>
      <c r="F843" s="12" t="n">
        <v>1</v>
      </c>
      <c r="G843" s="12" t="n">
        <v>1</v>
      </c>
      <c r="H843" s="72" t="n"/>
      <c r="I843" s="72" t="n"/>
      <c r="J843" s="72" t="n"/>
      <c r="K843" s="72" t="inlineStr">
        <is>
          <t>3303-2069</t>
        </is>
      </c>
      <c r="L843" s="72" t="inlineStr">
        <is>
          <t>Cash Flow</t>
        </is>
      </c>
    </row>
    <row r="844">
      <c r="A844" s="72" t="inlineStr">
        <is>
          <t>3303-2069</t>
        </is>
      </c>
      <c r="B844" s="72" t="inlineStr">
        <is>
          <t>MAUREEN BROWN TOTAL</t>
        </is>
      </c>
      <c r="C844" s="72" t="inlineStr">
        <is>
          <t>Credit</t>
        </is>
      </c>
      <c r="D844" s="72" t="inlineStr">
        <is>
          <t>Tot</t>
        </is>
      </c>
      <c r="E844" s="72" t="inlineStr">
        <is>
          <t>Bal</t>
        </is>
      </c>
      <c r="F844" s="12" t="n">
        <v>0</v>
      </c>
      <c r="G844" s="12" t="n">
        <v>1</v>
      </c>
      <c r="H844" s="72" t="n"/>
      <c r="I844" s="72" t="n"/>
      <c r="J844" s="72" t="n"/>
      <c r="K844" s="72" t="inlineStr">
        <is>
          <t>3890-0000</t>
        </is>
      </c>
      <c r="L844" s="72" t="n"/>
    </row>
    <row r="845">
      <c r="A845" s="72" t="inlineStr">
        <is>
          <t>3303-2070</t>
        </is>
      </c>
      <c r="B845" s="72" t="inlineStr">
        <is>
          <t>Ed Zender Contribution</t>
        </is>
      </c>
      <c r="C845" s="72" t="inlineStr">
        <is>
          <t>Credit</t>
        </is>
      </c>
      <c r="D845" s="72" t="inlineStr">
        <is>
          <t>Reg</t>
        </is>
      </c>
      <c r="E845" s="72" t="inlineStr">
        <is>
          <t>Bal</t>
        </is>
      </c>
      <c r="F845" s="12" t="n">
        <v>1</v>
      </c>
      <c r="G845" s="12" t="n">
        <v>2</v>
      </c>
      <c r="H845" s="72" t="n"/>
      <c r="I845" s="72" t="n"/>
      <c r="J845" s="72" t="n"/>
      <c r="K845" s="72" t="inlineStr">
        <is>
          <t>3303-2072</t>
        </is>
      </c>
      <c r="L845" s="72" t="inlineStr">
        <is>
          <t>Cash Flow</t>
        </is>
      </c>
    </row>
    <row r="846">
      <c r="A846" s="72" t="inlineStr">
        <is>
          <t>3303-2071</t>
        </is>
      </c>
      <c r="B846" s="72" t="inlineStr">
        <is>
          <t>Ed Zender Distribution</t>
        </is>
      </c>
      <c r="C846" s="72" t="inlineStr">
        <is>
          <t>Credit</t>
        </is>
      </c>
      <c r="D846" s="72" t="inlineStr">
        <is>
          <t>Reg</t>
        </is>
      </c>
      <c r="E846" s="72" t="inlineStr">
        <is>
          <t>Bal</t>
        </is>
      </c>
      <c r="F846" s="12" t="n">
        <v>1</v>
      </c>
      <c r="G846" s="12" t="n">
        <v>1</v>
      </c>
      <c r="H846" s="72" t="n"/>
      <c r="I846" s="72" t="n"/>
      <c r="J846" s="72" t="n"/>
      <c r="K846" s="72" t="inlineStr">
        <is>
          <t>3303-2072</t>
        </is>
      </c>
      <c r="L846" s="72" t="inlineStr">
        <is>
          <t>Cash Flow</t>
        </is>
      </c>
    </row>
    <row r="847">
      <c r="A847" s="72" t="inlineStr">
        <is>
          <t>3303-2072</t>
        </is>
      </c>
      <c r="B847" s="72" t="inlineStr">
        <is>
          <t>ED ZENDER TOTAL</t>
        </is>
      </c>
      <c r="C847" s="72" t="inlineStr">
        <is>
          <t>Credit</t>
        </is>
      </c>
      <c r="D847" s="72" t="inlineStr">
        <is>
          <t>Tot</t>
        </is>
      </c>
      <c r="E847" s="72" t="inlineStr">
        <is>
          <t>Bal</t>
        </is>
      </c>
      <c r="F847" s="12" t="n">
        <v>0</v>
      </c>
      <c r="G847" s="12" t="n">
        <v>1</v>
      </c>
      <c r="H847" s="72" t="n"/>
      <c r="I847" s="72" t="n"/>
      <c r="J847" s="72" t="n"/>
      <c r="K847" s="72" t="inlineStr">
        <is>
          <t>3890-0000</t>
        </is>
      </c>
      <c r="L847" s="72" t="n"/>
    </row>
    <row r="848">
      <c r="A848" s="72" t="inlineStr">
        <is>
          <t>3303-2073</t>
        </is>
      </c>
      <c r="B848" s="72" t="inlineStr">
        <is>
          <t>David Welles Contribution</t>
        </is>
      </c>
      <c r="C848" s="72" t="inlineStr">
        <is>
          <t>Credit</t>
        </is>
      </c>
      <c r="D848" s="72" t="inlineStr">
        <is>
          <t>Reg</t>
        </is>
      </c>
      <c r="E848" s="72" t="inlineStr">
        <is>
          <t>Bal</t>
        </is>
      </c>
      <c r="F848" s="12" t="n">
        <v>1</v>
      </c>
      <c r="G848" s="12" t="n">
        <v>2</v>
      </c>
      <c r="H848" s="72" t="n"/>
      <c r="I848" s="72" t="n"/>
      <c r="J848" s="72" t="n"/>
      <c r="K848" s="72" t="inlineStr">
        <is>
          <t>3303-2075</t>
        </is>
      </c>
      <c r="L848" s="72" t="inlineStr">
        <is>
          <t>Cash Flow</t>
        </is>
      </c>
    </row>
    <row r="849">
      <c r="A849" s="72" t="inlineStr">
        <is>
          <t>3303-2074</t>
        </is>
      </c>
      <c r="B849" s="72" t="inlineStr">
        <is>
          <t>David Welles Distribution</t>
        </is>
      </c>
      <c r="C849" s="72" t="inlineStr">
        <is>
          <t>Credit</t>
        </is>
      </c>
      <c r="D849" s="72" t="inlineStr">
        <is>
          <t>Reg</t>
        </is>
      </c>
      <c r="E849" s="72" t="inlineStr">
        <is>
          <t>Bal</t>
        </is>
      </c>
      <c r="F849" s="12" t="n">
        <v>1</v>
      </c>
      <c r="G849" s="12" t="n">
        <v>1</v>
      </c>
      <c r="H849" s="72" t="n"/>
      <c r="I849" s="72" t="n"/>
      <c r="J849" s="72" t="n"/>
      <c r="K849" s="72" t="inlineStr">
        <is>
          <t>3303-2075</t>
        </is>
      </c>
      <c r="L849" s="72" t="inlineStr">
        <is>
          <t>Cash Flow</t>
        </is>
      </c>
    </row>
    <row r="850">
      <c r="A850" s="72" t="inlineStr">
        <is>
          <t>3303-2075</t>
        </is>
      </c>
      <c r="B850" s="72" t="inlineStr">
        <is>
          <t>DAVID WELLES TOTAL</t>
        </is>
      </c>
      <c r="C850" s="72" t="inlineStr">
        <is>
          <t>Credit</t>
        </is>
      </c>
      <c r="D850" s="72" t="inlineStr">
        <is>
          <t>Tot</t>
        </is>
      </c>
      <c r="E850" s="72" t="inlineStr">
        <is>
          <t>Bal</t>
        </is>
      </c>
      <c r="F850" s="12" t="n">
        <v>0</v>
      </c>
      <c r="G850" s="12" t="n">
        <v>1</v>
      </c>
      <c r="H850" s="72" t="n"/>
      <c r="I850" s="72" t="n"/>
      <c r="J850" s="72" t="n"/>
      <c r="K850" s="72" t="inlineStr">
        <is>
          <t>3890-0000</t>
        </is>
      </c>
      <c r="L850" s="72" t="n"/>
    </row>
    <row r="851">
      <c r="A851" s="72" t="inlineStr">
        <is>
          <t>3303-2076</t>
        </is>
      </c>
      <c r="B851" s="72" t="inlineStr">
        <is>
          <t>Scott Samlan Contribution</t>
        </is>
      </c>
      <c r="C851" s="72" t="inlineStr">
        <is>
          <t>Credit</t>
        </is>
      </c>
      <c r="D851" s="72" t="inlineStr">
        <is>
          <t>Reg</t>
        </is>
      </c>
      <c r="E851" s="72" t="inlineStr">
        <is>
          <t>Bal</t>
        </is>
      </c>
      <c r="F851" s="12" t="n">
        <v>1</v>
      </c>
      <c r="G851" s="12" t="n">
        <v>2</v>
      </c>
      <c r="H851" s="72" t="n"/>
      <c r="I851" s="72" t="n"/>
      <c r="J851" s="72" t="n"/>
      <c r="K851" s="72" t="inlineStr">
        <is>
          <t>3303-2078</t>
        </is>
      </c>
      <c r="L851" s="72" t="inlineStr">
        <is>
          <t>Cash Flow</t>
        </is>
      </c>
    </row>
    <row r="852">
      <c r="A852" s="72" t="inlineStr">
        <is>
          <t>3303-2077</t>
        </is>
      </c>
      <c r="B852" s="72" t="inlineStr">
        <is>
          <t>Scott Samlan Distribution</t>
        </is>
      </c>
      <c r="C852" s="72" t="inlineStr">
        <is>
          <t>Credit</t>
        </is>
      </c>
      <c r="D852" s="72" t="inlineStr">
        <is>
          <t>Reg</t>
        </is>
      </c>
      <c r="E852" s="72" t="inlineStr">
        <is>
          <t>Bal</t>
        </is>
      </c>
      <c r="F852" s="12" t="n">
        <v>1</v>
      </c>
      <c r="G852" s="12" t="n">
        <v>1</v>
      </c>
      <c r="H852" s="72" t="n"/>
      <c r="I852" s="72" t="n"/>
      <c r="J852" s="72" t="n"/>
      <c r="K852" s="72" t="inlineStr">
        <is>
          <t>3303-2078</t>
        </is>
      </c>
      <c r="L852" s="72" t="inlineStr">
        <is>
          <t>Cash Flow</t>
        </is>
      </c>
    </row>
    <row r="853">
      <c r="A853" s="72" t="inlineStr">
        <is>
          <t>3303-2078</t>
        </is>
      </c>
      <c r="B853" s="72" t="inlineStr">
        <is>
          <t>SCOTT SAMLAN TOTAL</t>
        </is>
      </c>
      <c r="C853" s="72" t="inlineStr">
        <is>
          <t>Credit</t>
        </is>
      </c>
      <c r="D853" s="72" t="inlineStr">
        <is>
          <t>Tot</t>
        </is>
      </c>
      <c r="E853" s="72" t="inlineStr">
        <is>
          <t>Bal</t>
        </is>
      </c>
      <c r="F853" s="12" t="n">
        <v>0</v>
      </c>
      <c r="G853" s="12" t="n">
        <v>1</v>
      </c>
      <c r="H853" s="72" t="n"/>
      <c r="I853" s="72" t="n"/>
      <c r="J853" s="72" t="n"/>
      <c r="K853" s="72" t="inlineStr">
        <is>
          <t>3890-0000</t>
        </is>
      </c>
      <c r="L853" s="72" t="n"/>
    </row>
    <row r="854">
      <c r="A854" s="72" t="inlineStr">
        <is>
          <t>3303-2079</t>
        </is>
      </c>
      <c r="B854" s="72" t="inlineStr">
        <is>
          <t>Nicholas Zappone Contribution</t>
        </is>
      </c>
      <c r="C854" s="72" t="inlineStr">
        <is>
          <t>Credit</t>
        </is>
      </c>
      <c r="D854" s="72" t="inlineStr">
        <is>
          <t>Reg</t>
        </is>
      </c>
      <c r="E854" s="72" t="inlineStr">
        <is>
          <t>Bal</t>
        </is>
      </c>
      <c r="F854" s="12" t="n">
        <v>1</v>
      </c>
      <c r="G854" s="12" t="n">
        <v>2</v>
      </c>
      <c r="H854" s="72" t="n"/>
      <c r="I854" s="72" t="n"/>
      <c r="J854" s="72" t="n"/>
      <c r="K854" s="72" t="inlineStr">
        <is>
          <t>3303-2081</t>
        </is>
      </c>
      <c r="L854" s="72" t="inlineStr">
        <is>
          <t>Cash Flow</t>
        </is>
      </c>
    </row>
    <row r="855">
      <c r="A855" s="72" t="inlineStr">
        <is>
          <t>3303-2080</t>
        </is>
      </c>
      <c r="B855" s="72" t="inlineStr">
        <is>
          <t>Nicholas Zappone Distribution</t>
        </is>
      </c>
      <c r="C855" s="72" t="inlineStr">
        <is>
          <t>Credit</t>
        </is>
      </c>
      <c r="D855" s="72" t="inlineStr">
        <is>
          <t>Reg</t>
        </is>
      </c>
      <c r="E855" s="72" t="inlineStr">
        <is>
          <t>Bal</t>
        </is>
      </c>
      <c r="F855" s="12" t="n">
        <v>1</v>
      </c>
      <c r="G855" s="12" t="n">
        <v>1</v>
      </c>
      <c r="H855" s="72" t="n"/>
      <c r="I855" s="72" t="n"/>
      <c r="J855" s="72" t="n"/>
      <c r="K855" s="72" t="inlineStr">
        <is>
          <t>3303-2081</t>
        </is>
      </c>
      <c r="L855" s="72" t="inlineStr">
        <is>
          <t>Cash Flow</t>
        </is>
      </c>
    </row>
    <row r="856">
      <c r="A856" s="72" t="inlineStr">
        <is>
          <t>3303-2081</t>
        </is>
      </c>
      <c r="B856" s="72" t="inlineStr">
        <is>
          <t>NICHOLAS ZAPPONE TOTAL</t>
        </is>
      </c>
      <c r="C856" s="72" t="inlineStr">
        <is>
          <t>Credit</t>
        </is>
      </c>
      <c r="D856" s="72" t="inlineStr">
        <is>
          <t>Tot</t>
        </is>
      </c>
      <c r="E856" s="72" t="inlineStr">
        <is>
          <t>Bal</t>
        </is>
      </c>
      <c r="F856" s="12" t="n">
        <v>0</v>
      </c>
      <c r="G856" s="12" t="n">
        <v>1</v>
      </c>
      <c r="H856" s="72" t="n"/>
      <c r="I856" s="72" t="n"/>
      <c r="J856" s="72" t="n"/>
      <c r="K856" s="72" t="inlineStr">
        <is>
          <t>3890-0000</t>
        </is>
      </c>
      <c r="L856" s="72" t="n"/>
    </row>
    <row r="857">
      <c r="A857" s="72" t="inlineStr">
        <is>
          <t>3303-2082</t>
        </is>
      </c>
      <c r="B857" s="72" t="inlineStr">
        <is>
          <t>Hampton Terrace SD LLC Contribution</t>
        </is>
      </c>
      <c r="C857" s="72" t="inlineStr">
        <is>
          <t>Credit</t>
        </is>
      </c>
      <c r="D857" s="72" t="inlineStr">
        <is>
          <t>Reg</t>
        </is>
      </c>
      <c r="E857" s="72" t="inlineStr">
        <is>
          <t>Bal</t>
        </is>
      </c>
      <c r="F857" s="12" t="n">
        <v>1</v>
      </c>
      <c r="G857" s="12" t="n">
        <v>2</v>
      </c>
      <c r="H857" s="72" t="n"/>
      <c r="I857" s="72" t="n"/>
      <c r="J857" s="72" t="n"/>
      <c r="K857" s="72" t="inlineStr">
        <is>
          <t>3303-2084</t>
        </is>
      </c>
      <c r="L857" s="72" t="inlineStr">
        <is>
          <t>Cash Flow</t>
        </is>
      </c>
    </row>
    <row r="858">
      <c r="A858" s="72" t="inlineStr">
        <is>
          <t>3303-2083</t>
        </is>
      </c>
      <c r="B858" s="72" t="inlineStr">
        <is>
          <t>Hampton Terrace SD LLC Distribution</t>
        </is>
      </c>
      <c r="C858" s="72" t="inlineStr">
        <is>
          <t>Credit</t>
        </is>
      </c>
      <c r="D858" s="72" t="inlineStr">
        <is>
          <t>Reg</t>
        </is>
      </c>
      <c r="E858" s="72" t="inlineStr">
        <is>
          <t>Bal</t>
        </is>
      </c>
      <c r="F858" s="12" t="n">
        <v>1</v>
      </c>
      <c r="G858" s="12" t="n">
        <v>1</v>
      </c>
      <c r="H858" s="72" t="n"/>
      <c r="I858" s="72" t="n"/>
      <c r="J858" s="72" t="n"/>
      <c r="K858" s="72" t="inlineStr">
        <is>
          <t>3303-2084</t>
        </is>
      </c>
      <c r="L858" s="72" t="inlineStr">
        <is>
          <t>Cash Flow</t>
        </is>
      </c>
    </row>
    <row r="859">
      <c r="A859" s="72" t="inlineStr">
        <is>
          <t>3303-2084</t>
        </is>
      </c>
      <c r="B859" s="72" t="inlineStr">
        <is>
          <t>HAMPTON TERRACE SD LLC TOTAL</t>
        </is>
      </c>
      <c r="C859" s="72" t="inlineStr">
        <is>
          <t>Credit</t>
        </is>
      </c>
      <c r="D859" s="72" t="inlineStr">
        <is>
          <t>Tot</t>
        </is>
      </c>
      <c r="E859" s="72" t="inlineStr">
        <is>
          <t>Bal</t>
        </is>
      </c>
      <c r="F859" s="12" t="n">
        <v>0</v>
      </c>
      <c r="G859" s="12" t="n">
        <v>1</v>
      </c>
      <c r="H859" s="72" t="n"/>
      <c r="I859" s="72" t="n"/>
      <c r="J859" s="72" t="n"/>
      <c r="K859" s="72" t="inlineStr">
        <is>
          <t>3890-0000</t>
        </is>
      </c>
      <c r="L859" s="72" t="n"/>
    </row>
    <row r="860">
      <c r="A860" s="72" t="inlineStr">
        <is>
          <t>3303-2085</t>
        </is>
      </c>
      <c r="B860" s="72" t="inlineStr">
        <is>
          <t>Michael Mazur Contribution</t>
        </is>
      </c>
      <c r="C860" s="72" t="inlineStr">
        <is>
          <t>Credit</t>
        </is>
      </c>
      <c r="D860" s="72" t="inlineStr">
        <is>
          <t>Reg</t>
        </is>
      </c>
      <c r="E860" s="72" t="inlineStr">
        <is>
          <t>Bal</t>
        </is>
      </c>
      <c r="F860" s="12" t="n">
        <v>1</v>
      </c>
      <c r="G860" s="12" t="n">
        <v>2</v>
      </c>
      <c r="H860" s="72" t="n"/>
      <c r="I860" s="72" t="n"/>
      <c r="J860" s="72" t="n"/>
      <c r="K860" s="72" t="inlineStr">
        <is>
          <t>3303-2087</t>
        </is>
      </c>
      <c r="L860" s="72" t="inlineStr">
        <is>
          <t>Cash Flow</t>
        </is>
      </c>
    </row>
    <row r="861">
      <c r="A861" s="72" t="inlineStr">
        <is>
          <t>3303-2086</t>
        </is>
      </c>
      <c r="B861" s="72" t="inlineStr">
        <is>
          <t>Michael Mazur Distribution</t>
        </is>
      </c>
      <c r="C861" s="72" t="inlineStr">
        <is>
          <t>Credit</t>
        </is>
      </c>
      <c r="D861" s="72" t="inlineStr">
        <is>
          <t>Reg</t>
        </is>
      </c>
      <c r="E861" s="72" t="inlineStr">
        <is>
          <t>Bal</t>
        </is>
      </c>
      <c r="F861" s="12" t="n">
        <v>1</v>
      </c>
      <c r="G861" s="12" t="n">
        <v>1</v>
      </c>
      <c r="H861" s="72" t="n"/>
      <c r="I861" s="72" t="n"/>
      <c r="J861" s="72" t="n"/>
      <c r="K861" s="72" t="inlineStr">
        <is>
          <t>3303-2087</t>
        </is>
      </c>
      <c r="L861" s="72" t="inlineStr">
        <is>
          <t>Cash Flow</t>
        </is>
      </c>
    </row>
    <row r="862">
      <c r="A862" s="72" t="inlineStr">
        <is>
          <t>3303-2087</t>
        </is>
      </c>
      <c r="B862" s="72" t="inlineStr">
        <is>
          <t>MICHAEL MAZUR TOTAL</t>
        </is>
      </c>
      <c r="C862" s="72" t="inlineStr">
        <is>
          <t>Credit</t>
        </is>
      </c>
      <c r="D862" s="72" t="inlineStr">
        <is>
          <t>Tot</t>
        </is>
      </c>
      <c r="E862" s="72" t="inlineStr">
        <is>
          <t>Bal</t>
        </is>
      </c>
      <c r="F862" s="12" t="n">
        <v>0</v>
      </c>
      <c r="G862" s="12" t="n">
        <v>1</v>
      </c>
      <c r="H862" s="72" t="n"/>
      <c r="I862" s="72" t="n"/>
      <c r="J862" s="72" t="n"/>
      <c r="K862" s="72" t="inlineStr">
        <is>
          <t>3890-0000</t>
        </is>
      </c>
      <c r="L862" s="72" t="n"/>
    </row>
    <row r="863">
      <c r="A863" s="72" t="inlineStr">
        <is>
          <t>3303-2088</t>
        </is>
      </c>
      <c r="B863" s="72" t="inlineStr">
        <is>
          <t>Chris Lindemann Contribution</t>
        </is>
      </c>
      <c r="C863" s="72" t="inlineStr">
        <is>
          <t>Credit</t>
        </is>
      </c>
      <c r="D863" s="72" t="inlineStr">
        <is>
          <t>Reg</t>
        </is>
      </c>
      <c r="E863" s="72" t="inlineStr">
        <is>
          <t>Bal</t>
        </is>
      </c>
      <c r="F863" s="12" t="n">
        <v>1</v>
      </c>
      <c r="G863" s="12" t="n">
        <v>2</v>
      </c>
      <c r="H863" s="72" t="n"/>
      <c r="I863" s="72" t="n"/>
      <c r="J863" s="72" t="n"/>
      <c r="K863" s="72" t="inlineStr">
        <is>
          <t>3303-2090</t>
        </is>
      </c>
      <c r="L863" s="72" t="inlineStr">
        <is>
          <t>Cash Flow</t>
        </is>
      </c>
    </row>
    <row r="864">
      <c r="A864" s="72" t="inlineStr">
        <is>
          <t>3303-2089</t>
        </is>
      </c>
      <c r="B864" s="72" t="inlineStr">
        <is>
          <t>Chris Lindemann Distribution</t>
        </is>
      </c>
      <c r="C864" s="72" t="inlineStr">
        <is>
          <t>Credit</t>
        </is>
      </c>
      <c r="D864" s="72" t="inlineStr">
        <is>
          <t>Reg</t>
        </is>
      </c>
      <c r="E864" s="72" t="inlineStr">
        <is>
          <t>Bal</t>
        </is>
      </c>
      <c r="F864" s="12" t="n">
        <v>1</v>
      </c>
      <c r="G864" s="12" t="n">
        <v>1</v>
      </c>
      <c r="H864" s="72" t="n"/>
      <c r="I864" s="72" t="n"/>
      <c r="J864" s="72" t="n"/>
      <c r="K864" s="72" t="inlineStr">
        <is>
          <t>3303-2090</t>
        </is>
      </c>
      <c r="L864" s="72" t="inlineStr">
        <is>
          <t>Cash Flow</t>
        </is>
      </c>
    </row>
    <row r="865">
      <c r="A865" s="72" t="inlineStr">
        <is>
          <t>3303-2090</t>
        </is>
      </c>
      <c r="B865" s="72" t="inlineStr">
        <is>
          <t>CHRIS LINDEMANN TOTAL</t>
        </is>
      </c>
      <c r="C865" s="72" t="inlineStr">
        <is>
          <t>Credit</t>
        </is>
      </c>
      <c r="D865" s="72" t="inlineStr">
        <is>
          <t>Tot</t>
        </is>
      </c>
      <c r="E865" s="72" t="inlineStr">
        <is>
          <t>Bal</t>
        </is>
      </c>
      <c r="F865" s="12" t="n">
        <v>0</v>
      </c>
      <c r="G865" s="12" t="n">
        <v>1</v>
      </c>
      <c r="H865" s="72" t="n"/>
      <c r="I865" s="72" t="n"/>
      <c r="J865" s="72" t="n"/>
      <c r="K865" s="72" t="inlineStr">
        <is>
          <t>3890-0000</t>
        </is>
      </c>
      <c r="L865" s="72" t="n"/>
    </row>
    <row r="866">
      <c r="A866" s="72" t="inlineStr">
        <is>
          <t>3303-2091</t>
        </is>
      </c>
      <c r="B866" s="72" t="inlineStr">
        <is>
          <t>Aaron Shefren Contribution</t>
        </is>
      </c>
      <c r="C866" s="72" t="inlineStr">
        <is>
          <t>Credit</t>
        </is>
      </c>
      <c r="D866" s="72" t="inlineStr">
        <is>
          <t>Reg</t>
        </is>
      </c>
      <c r="E866" s="72" t="inlineStr">
        <is>
          <t>Bal</t>
        </is>
      </c>
      <c r="F866" s="12" t="n">
        <v>1</v>
      </c>
      <c r="G866" s="12" t="n">
        <v>2</v>
      </c>
      <c r="H866" s="72" t="n"/>
      <c r="I866" s="72" t="n"/>
      <c r="J866" s="72" t="n"/>
      <c r="K866" s="72" t="inlineStr">
        <is>
          <t>3303-2093</t>
        </is>
      </c>
      <c r="L866" s="72" t="inlineStr">
        <is>
          <t>Cash Flow</t>
        </is>
      </c>
    </row>
    <row r="867">
      <c r="A867" s="72" t="inlineStr">
        <is>
          <t>3303-2092</t>
        </is>
      </c>
      <c r="B867" s="72" t="inlineStr">
        <is>
          <t>Aaron Shefren Distribution</t>
        </is>
      </c>
      <c r="C867" s="72" t="inlineStr">
        <is>
          <t>Credit</t>
        </is>
      </c>
      <c r="D867" s="72" t="inlineStr">
        <is>
          <t>Reg</t>
        </is>
      </c>
      <c r="E867" s="72" t="inlineStr">
        <is>
          <t>Bal</t>
        </is>
      </c>
      <c r="F867" s="12" t="n">
        <v>1</v>
      </c>
      <c r="G867" s="12" t="n">
        <v>1</v>
      </c>
      <c r="H867" s="72" t="n"/>
      <c r="I867" s="72" t="n"/>
      <c r="J867" s="72" t="n"/>
      <c r="K867" s="72" t="inlineStr">
        <is>
          <t>3303-2093</t>
        </is>
      </c>
      <c r="L867" s="72" t="inlineStr">
        <is>
          <t>Cash Flow</t>
        </is>
      </c>
    </row>
    <row r="868">
      <c r="A868" s="72" t="inlineStr">
        <is>
          <t>3303-2093</t>
        </is>
      </c>
      <c r="B868" s="72" t="inlineStr">
        <is>
          <t>AARON SHEFREN TOTAL</t>
        </is>
      </c>
      <c r="C868" s="72" t="inlineStr">
        <is>
          <t>Credit</t>
        </is>
      </c>
      <c r="D868" s="72" t="inlineStr">
        <is>
          <t>Tot</t>
        </is>
      </c>
      <c r="E868" s="72" t="inlineStr">
        <is>
          <t>Bal</t>
        </is>
      </c>
      <c r="F868" s="12" t="n">
        <v>0</v>
      </c>
      <c r="G868" s="12" t="n">
        <v>1</v>
      </c>
      <c r="H868" s="72" t="n"/>
      <c r="I868" s="72" t="n"/>
      <c r="J868" s="72" t="n"/>
      <c r="K868" s="72" t="inlineStr">
        <is>
          <t>3890-0000</t>
        </is>
      </c>
      <c r="L868" s="72" t="n"/>
    </row>
    <row r="869">
      <c r="A869" s="72" t="inlineStr">
        <is>
          <t>3303-2094</t>
        </is>
      </c>
      <c r="B869" s="72" t="inlineStr">
        <is>
          <t>Eli Tal Contribution</t>
        </is>
      </c>
      <c r="C869" s="72" t="inlineStr">
        <is>
          <t>Credit</t>
        </is>
      </c>
      <c r="D869" s="72" t="inlineStr">
        <is>
          <t>Reg</t>
        </is>
      </c>
      <c r="E869" s="72" t="inlineStr">
        <is>
          <t>Bal</t>
        </is>
      </c>
      <c r="F869" s="12" t="n">
        <v>1</v>
      </c>
      <c r="G869" s="12" t="n">
        <v>2</v>
      </c>
      <c r="H869" s="72" t="n"/>
      <c r="I869" s="72" t="n"/>
      <c r="J869" s="72" t="n"/>
      <c r="K869" s="72" t="inlineStr">
        <is>
          <t>3303-2096</t>
        </is>
      </c>
      <c r="L869" s="72" t="inlineStr">
        <is>
          <t>Cash Flow</t>
        </is>
      </c>
    </row>
    <row r="870">
      <c r="A870" s="72" t="inlineStr">
        <is>
          <t>3303-2095</t>
        </is>
      </c>
      <c r="B870" s="72" t="inlineStr">
        <is>
          <t>Eli Tal Distribution</t>
        </is>
      </c>
      <c r="C870" s="72" t="inlineStr">
        <is>
          <t>Credit</t>
        </is>
      </c>
      <c r="D870" s="72" t="inlineStr">
        <is>
          <t>Reg</t>
        </is>
      </c>
      <c r="E870" s="72" t="inlineStr">
        <is>
          <t>Bal</t>
        </is>
      </c>
      <c r="F870" s="12" t="n">
        <v>1</v>
      </c>
      <c r="G870" s="12" t="n">
        <v>1</v>
      </c>
      <c r="H870" s="72" t="n"/>
      <c r="I870" s="72" t="n"/>
      <c r="J870" s="72" t="n"/>
      <c r="K870" s="72" t="inlineStr">
        <is>
          <t>3303-2096</t>
        </is>
      </c>
      <c r="L870" s="72" t="inlineStr">
        <is>
          <t>Cash Flow</t>
        </is>
      </c>
    </row>
    <row r="871">
      <c r="A871" s="72" t="inlineStr">
        <is>
          <t>3303-2096</t>
        </is>
      </c>
      <c r="B871" s="72" t="inlineStr">
        <is>
          <t>ELI TAL TOTAL</t>
        </is>
      </c>
      <c r="C871" s="72" t="inlineStr">
        <is>
          <t>Credit</t>
        </is>
      </c>
      <c r="D871" s="72" t="inlineStr">
        <is>
          <t>Tot</t>
        </is>
      </c>
      <c r="E871" s="72" t="inlineStr">
        <is>
          <t>Bal</t>
        </is>
      </c>
      <c r="F871" s="12" t="n">
        <v>0</v>
      </c>
      <c r="G871" s="12" t="n">
        <v>1</v>
      </c>
      <c r="H871" s="72" t="n"/>
      <c r="I871" s="72" t="n"/>
      <c r="J871" s="72" t="n"/>
      <c r="K871" s="72" t="inlineStr">
        <is>
          <t>3890-0000</t>
        </is>
      </c>
      <c r="L871" s="72" t="n"/>
    </row>
    <row r="872">
      <c r="A872" s="72" t="inlineStr">
        <is>
          <t>3303-2097</t>
        </is>
      </c>
      <c r="B872" s="72" t="inlineStr">
        <is>
          <t>Michael Mina Contribution</t>
        </is>
      </c>
      <c r="C872" s="72" t="inlineStr">
        <is>
          <t>Credit</t>
        </is>
      </c>
      <c r="D872" s="72" t="inlineStr">
        <is>
          <t>Reg</t>
        </is>
      </c>
      <c r="E872" s="72" t="inlineStr">
        <is>
          <t>Bal</t>
        </is>
      </c>
      <c r="F872" s="12" t="n">
        <v>1</v>
      </c>
      <c r="G872" s="12" t="n">
        <v>2</v>
      </c>
      <c r="H872" s="72" t="n"/>
      <c r="I872" s="72" t="n"/>
      <c r="J872" s="72" t="n"/>
      <c r="K872" s="72" t="inlineStr">
        <is>
          <t>3303-2099</t>
        </is>
      </c>
      <c r="L872" s="72" t="inlineStr">
        <is>
          <t>Cash Flow</t>
        </is>
      </c>
    </row>
    <row r="873">
      <c r="A873" s="72" t="inlineStr">
        <is>
          <t>3303-2098</t>
        </is>
      </c>
      <c r="B873" s="72" t="inlineStr">
        <is>
          <t>Michael Mina Distribution</t>
        </is>
      </c>
      <c r="C873" s="72" t="inlineStr">
        <is>
          <t>Credit</t>
        </is>
      </c>
      <c r="D873" s="72" t="inlineStr">
        <is>
          <t>Reg</t>
        </is>
      </c>
      <c r="E873" s="72" t="inlineStr">
        <is>
          <t>Bal</t>
        </is>
      </c>
      <c r="F873" s="12" t="n">
        <v>1</v>
      </c>
      <c r="G873" s="12" t="n">
        <v>1</v>
      </c>
      <c r="H873" s="72" t="n"/>
      <c r="I873" s="72" t="n"/>
      <c r="J873" s="72" t="n"/>
      <c r="K873" s="72" t="inlineStr">
        <is>
          <t>3303-2099</t>
        </is>
      </c>
      <c r="L873" s="72" t="inlineStr">
        <is>
          <t>Cash Flow</t>
        </is>
      </c>
    </row>
    <row r="874">
      <c r="A874" s="72" t="inlineStr">
        <is>
          <t>3303-2099</t>
        </is>
      </c>
      <c r="B874" s="72" t="inlineStr">
        <is>
          <t>MICHAEL MINA TOTAL</t>
        </is>
      </c>
      <c r="C874" s="72" t="inlineStr">
        <is>
          <t>Credit</t>
        </is>
      </c>
      <c r="D874" s="72" t="inlineStr">
        <is>
          <t>Tot</t>
        </is>
      </c>
      <c r="E874" s="72" t="inlineStr">
        <is>
          <t>Bal</t>
        </is>
      </c>
      <c r="F874" s="12" t="n">
        <v>0</v>
      </c>
      <c r="G874" s="12" t="n">
        <v>1</v>
      </c>
      <c r="H874" s="72" t="n"/>
      <c r="I874" s="72" t="n"/>
      <c r="J874" s="72" t="n"/>
      <c r="K874" s="72" t="inlineStr">
        <is>
          <t>3890-0000</t>
        </is>
      </c>
      <c r="L874" s="72" t="n"/>
    </row>
    <row r="875">
      <c r="A875" s="72" t="inlineStr">
        <is>
          <t>3303-2100</t>
        </is>
      </c>
      <c r="B875" s="72" t="inlineStr">
        <is>
          <t>3-D Partners Contribution</t>
        </is>
      </c>
      <c r="C875" s="72" t="inlineStr">
        <is>
          <t>Credit</t>
        </is>
      </c>
      <c r="D875" s="72" t="inlineStr">
        <is>
          <t>Reg</t>
        </is>
      </c>
      <c r="E875" s="72" t="inlineStr">
        <is>
          <t>Bal</t>
        </is>
      </c>
      <c r="F875" s="12" t="n">
        <v>1</v>
      </c>
      <c r="G875" s="12" t="n">
        <v>2</v>
      </c>
      <c r="H875" s="72" t="n"/>
      <c r="I875" s="72" t="n"/>
      <c r="J875" s="72" t="n"/>
      <c r="K875" s="72" t="inlineStr">
        <is>
          <t>3303-2102</t>
        </is>
      </c>
      <c r="L875" s="72" t="inlineStr">
        <is>
          <t>Cash Flow</t>
        </is>
      </c>
    </row>
    <row r="876">
      <c r="A876" s="72" t="inlineStr">
        <is>
          <t>3303-2101</t>
        </is>
      </c>
      <c r="B876" s="72" t="inlineStr">
        <is>
          <t>3-D Partners Distribution</t>
        </is>
      </c>
      <c r="C876" s="72" t="inlineStr">
        <is>
          <t>Credit</t>
        </is>
      </c>
      <c r="D876" s="72" t="inlineStr">
        <is>
          <t>Reg</t>
        </is>
      </c>
      <c r="E876" s="72" t="inlineStr">
        <is>
          <t>Bal</t>
        </is>
      </c>
      <c r="F876" s="12" t="n">
        <v>1</v>
      </c>
      <c r="G876" s="12" t="n">
        <v>1</v>
      </c>
      <c r="H876" s="72" t="n"/>
      <c r="I876" s="72" t="n"/>
      <c r="J876" s="72" t="n"/>
      <c r="K876" s="72" t="inlineStr">
        <is>
          <t>3303-2102</t>
        </is>
      </c>
      <c r="L876" s="72" t="inlineStr">
        <is>
          <t>Cash Flow</t>
        </is>
      </c>
    </row>
    <row r="877">
      <c r="A877" s="72" t="inlineStr">
        <is>
          <t>3303-2102</t>
        </is>
      </c>
      <c r="B877" s="72" t="inlineStr">
        <is>
          <t>3-D PARTNERS TOTAL</t>
        </is>
      </c>
      <c r="C877" s="72" t="inlineStr">
        <is>
          <t>Credit</t>
        </is>
      </c>
      <c r="D877" s="72" t="inlineStr">
        <is>
          <t>Tot</t>
        </is>
      </c>
      <c r="E877" s="72" t="inlineStr">
        <is>
          <t>Bal</t>
        </is>
      </c>
      <c r="F877" s="12" t="n">
        <v>0</v>
      </c>
      <c r="G877" s="12" t="n">
        <v>1</v>
      </c>
      <c r="H877" s="72" t="n"/>
      <c r="I877" s="72" t="n"/>
      <c r="J877" s="72" t="n"/>
      <c r="K877" s="72" t="inlineStr">
        <is>
          <t>3890-0000</t>
        </is>
      </c>
      <c r="L877" s="72" t="n"/>
    </row>
    <row r="878">
      <c r="A878" s="72" t="inlineStr">
        <is>
          <t>3303-2103</t>
        </is>
      </c>
      <c r="B878" s="72" t="inlineStr">
        <is>
          <t>Patricia and Marco Kremser Contribution</t>
        </is>
      </c>
      <c r="C878" s="72" t="inlineStr">
        <is>
          <t>Credit</t>
        </is>
      </c>
      <c r="D878" s="72" t="inlineStr">
        <is>
          <t>Reg</t>
        </is>
      </c>
      <c r="E878" s="72" t="inlineStr">
        <is>
          <t>Bal</t>
        </is>
      </c>
      <c r="F878" s="12" t="n">
        <v>1</v>
      </c>
      <c r="G878" s="12" t="n">
        <v>2</v>
      </c>
      <c r="H878" s="72" t="n"/>
      <c r="I878" s="72" t="n"/>
      <c r="J878" s="72" t="n"/>
      <c r="K878" s="72" t="inlineStr">
        <is>
          <t>3303-2105</t>
        </is>
      </c>
      <c r="L878" s="72" t="inlineStr">
        <is>
          <t>Cash Flow</t>
        </is>
      </c>
    </row>
    <row r="879">
      <c r="A879" s="72" t="inlineStr">
        <is>
          <t>3303-2104</t>
        </is>
      </c>
      <c r="B879" s="72" t="inlineStr">
        <is>
          <t>Patricia and Marco Kremser Distribution</t>
        </is>
      </c>
      <c r="C879" s="72" t="inlineStr">
        <is>
          <t>Credit</t>
        </is>
      </c>
      <c r="D879" s="72" t="inlineStr">
        <is>
          <t>Reg</t>
        </is>
      </c>
      <c r="E879" s="72" t="inlineStr">
        <is>
          <t>Bal</t>
        </is>
      </c>
      <c r="F879" s="12" t="n">
        <v>1</v>
      </c>
      <c r="G879" s="12" t="n">
        <v>1</v>
      </c>
      <c r="H879" s="72" t="n"/>
      <c r="I879" s="72" t="n"/>
      <c r="J879" s="72" t="n"/>
      <c r="K879" s="72" t="inlineStr">
        <is>
          <t>3303-2105</t>
        </is>
      </c>
      <c r="L879" s="72" t="inlineStr">
        <is>
          <t>Cash Flow</t>
        </is>
      </c>
    </row>
    <row r="880">
      <c r="A880" s="72" t="inlineStr">
        <is>
          <t>3303-2105</t>
        </is>
      </c>
      <c r="B880" s="72" t="inlineStr">
        <is>
          <t>PATRICIA AND MARCO KREMSER TOTAL</t>
        </is>
      </c>
      <c r="C880" s="72" t="inlineStr">
        <is>
          <t>Credit</t>
        </is>
      </c>
      <c r="D880" s="72" t="inlineStr">
        <is>
          <t>Tot</t>
        </is>
      </c>
      <c r="E880" s="72" t="inlineStr">
        <is>
          <t>Bal</t>
        </is>
      </c>
      <c r="F880" s="12" t="n">
        <v>0</v>
      </c>
      <c r="G880" s="12" t="n">
        <v>1</v>
      </c>
      <c r="H880" s="72" t="n"/>
      <c r="I880" s="72" t="n"/>
      <c r="J880" s="72" t="n"/>
      <c r="K880" s="72" t="inlineStr">
        <is>
          <t>3890-0000</t>
        </is>
      </c>
      <c r="L880" s="72" t="n"/>
    </row>
    <row r="881">
      <c r="A881" s="72" t="inlineStr">
        <is>
          <t>3303-2106</t>
        </is>
      </c>
      <c r="B881" s="72" t="inlineStr">
        <is>
          <t>Shawn Freibert Contribution</t>
        </is>
      </c>
      <c r="C881" s="72" t="inlineStr">
        <is>
          <t>Credit</t>
        </is>
      </c>
      <c r="D881" s="72" t="inlineStr">
        <is>
          <t>Reg</t>
        </is>
      </c>
      <c r="E881" s="72" t="inlineStr">
        <is>
          <t>Bal</t>
        </is>
      </c>
      <c r="F881" s="12" t="n">
        <v>1</v>
      </c>
      <c r="G881" s="12" t="n">
        <v>2</v>
      </c>
      <c r="H881" s="72" t="n"/>
      <c r="I881" s="72" t="n"/>
      <c r="J881" s="72" t="n"/>
      <c r="K881" s="72" t="inlineStr">
        <is>
          <t>3303-2108</t>
        </is>
      </c>
      <c r="L881" s="72" t="inlineStr">
        <is>
          <t>Cash Flow</t>
        </is>
      </c>
    </row>
    <row r="882">
      <c r="A882" s="72" t="inlineStr">
        <is>
          <t>3303-2107</t>
        </is>
      </c>
      <c r="B882" s="72" t="inlineStr">
        <is>
          <t>Shawn Freibert Distribution</t>
        </is>
      </c>
      <c r="C882" s="72" t="inlineStr">
        <is>
          <t>Credit</t>
        </is>
      </c>
      <c r="D882" s="72" t="inlineStr">
        <is>
          <t>Reg</t>
        </is>
      </c>
      <c r="E882" s="72" t="inlineStr">
        <is>
          <t>Bal</t>
        </is>
      </c>
      <c r="F882" s="12" t="n">
        <v>1</v>
      </c>
      <c r="G882" s="12" t="n">
        <v>1</v>
      </c>
      <c r="H882" s="72" t="n"/>
      <c r="I882" s="72" t="n"/>
      <c r="J882" s="72" t="n"/>
      <c r="K882" s="72" t="inlineStr">
        <is>
          <t>3303-2108</t>
        </is>
      </c>
      <c r="L882" s="72" t="inlineStr">
        <is>
          <t>Cash Flow</t>
        </is>
      </c>
    </row>
    <row r="883">
      <c r="A883" s="72" t="inlineStr">
        <is>
          <t>3303-2108</t>
        </is>
      </c>
      <c r="B883" s="72" t="inlineStr">
        <is>
          <t>SHAWN FREIBERT TOTAL</t>
        </is>
      </c>
      <c r="C883" s="72" t="inlineStr">
        <is>
          <t>Credit</t>
        </is>
      </c>
      <c r="D883" s="72" t="inlineStr">
        <is>
          <t>Tot</t>
        </is>
      </c>
      <c r="E883" s="72" t="inlineStr">
        <is>
          <t>Bal</t>
        </is>
      </c>
      <c r="F883" s="12" t="n">
        <v>0</v>
      </c>
      <c r="G883" s="12" t="n">
        <v>1</v>
      </c>
      <c r="H883" s="72" t="n"/>
      <c r="I883" s="72" t="n"/>
      <c r="J883" s="72" t="n"/>
      <c r="K883" s="72" t="inlineStr">
        <is>
          <t>3890-0000</t>
        </is>
      </c>
      <c r="L883" s="72" t="n"/>
    </row>
    <row r="884">
      <c r="A884" s="72" t="inlineStr">
        <is>
          <t>3303-2109</t>
        </is>
      </c>
      <c r="B884" s="72" t="inlineStr">
        <is>
          <t>Richard and Andrea Ginsburg Contribution</t>
        </is>
      </c>
      <c r="C884" s="72" t="inlineStr">
        <is>
          <t>Credit</t>
        </is>
      </c>
      <c r="D884" s="72" t="inlineStr">
        <is>
          <t>Reg</t>
        </is>
      </c>
      <c r="E884" s="72" t="inlineStr">
        <is>
          <t>Bal</t>
        </is>
      </c>
      <c r="F884" s="12" t="n">
        <v>1</v>
      </c>
      <c r="G884" s="12" t="n">
        <v>2</v>
      </c>
      <c r="H884" s="72" t="n"/>
      <c r="I884" s="72" t="n"/>
      <c r="J884" s="72" t="n"/>
      <c r="K884" s="72" t="inlineStr">
        <is>
          <t>3303-2111</t>
        </is>
      </c>
      <c r="L884" s="72" t="inlineStr">
        <is>
          <t>Cash Flow</t>
        </is>
      </c>
    </row>
    <row r="885">
      <c r="A885" s="72" t="inlineStr">
        <is>
          <t>3303-2110</t>
        </is>
      </c>
      <c r="B885" s="72" t="inlineStr">
        <is>
          <t>Richard and Andrea Ginsburg Distribution</t>
        </is>
      </c>
      <c r="C885" s="72" t="inlineStr">
        <is>
          <t>Credit</t>
        </is>
      </c>
      <c r="D885" s="72" t="inlineStr">
        <is>
          <t>Reg</t>
        </is>
      </c>
      <c r="E885" s="72" t="inlineStr">
        <is>
          <t>Bal</t>
        </is>
      </c>
      <c r="F885" s="12" t="n">
        <v>1</v>
      </c>
      <c r="G885" s="12" t="n">
        <v>1</v>
      </c>
      <c r="H885" s="72" t="n"/>
      <c r="I885" s="72" t="n"/>
      <c r="J885" s="72" t="n"/>
      <c r="K885" s="72" t="inlineStr">
        <is>
          <t>3303-2111</t>
        </is>
      </c>
      <c r="L885" s="72" t="inlineStr">
        <is>
          <t>Cash Flow</t>
        </is>
      </c>
    </row>
    <row r="886">
      <c r="A886" s="72" t="inlineStr">
        <is>
          <t>3303-2111</t>
        </is>
      </c>
      <c r="B886" s="72" t="inlineStr">
        <is>
          <t>RICHARD AND ANDREA GINSBURG TOTAL</t>
        </is>
      </c>
      <c r="C886" s="72" t="inlineStr">
        <is>
          <t>Credit</t>
        </is>
      </c>
      <c r="D886" s="72" t="inlineStr">
        <is>
          <t>Tot</t>
        </is>
      </c>
      <c r="E886" s="72" t="inlineStr">
        <is>
          <t>Bal</t>
        </is>
      </c>
      <c r="F886" s="12" t="n">
        <v>0</v>
      </c>
      <c r="G886" s="12" t="n">
        <v>1</v>
      </c>
      <c r="H886" s="72" t="n"/>
      <c r="I886" s="72" t="n"/>
      <c r="J886" s="72" t="n"/>
      <c r="K886" s="72" t="inlineStr">
        <is>
          <t>3890-0000</t>
        </is>
      </c>
      <c r="L886" s="72" t="n"/>
    </row>
    <row r="887">
      <c r="A887" s="72" t="inlineStr">
        <is>
          <t>3303-2112</t>
        </is>
      </c>
      <c r="B887" s="72" t="inlineStr">
        <is>
          <t>David and Loni Itah Contribution</t>
        </is>
      </c>
      <c r="C887" s="72" t="inlineStr">
        <is>
          <t>Credit</t>
        </is>
      </c>
      <c r="D887" s="72" t="inlineStr">
        <is>
          <t>Reg</t>
        </is>
      </c>
      <c r="E887" s="72" t="inlineStr">
        <is>
          <t>Bal</t>
        </is>
      </c>
      <c r="F887" s="12" t="n">
        <v>1</v>
      </c>
      <c r="G887" s="12" t="n">
        <v>2</v>
      </c>
      <c r="H887" s="72" t="n"/>
      <c r="I887" s="72" t="n"/>
      <c r="J887" s="72" t="n"/>
      <c r="K887" s="72" t="inlineStr">
        <is>
          <t>3303-2114</t>
        </is>
      </c>
      <c r="L887" s="72" t="inlineStr">
        <is>
          <t>Cash Flow</t>
        </is>
      </c>
    </row>
    <row r="888">
      <c r="A888" s="72" t="inlineStr">
        <is>
          <t>3303-2113</t>
        </is>
      </c>
      <c r="B888" s="72" t="inlineStr">
        <is>
          <t>David and Loni Itah Distribution</t>
        </is>
      </c>
      <c r="C888" s="72" t="inlineStr">
        <is>
          <t>Credit</t>
        </is>
      </c>
      <c r="D888" s="72" t="inlineStr">
        <is>
          <t>Reg</t>
        </is>
      </c>
      <c r="E888" s="72" t="inlineStr">
        <is>
          <t>Bal</t>
        </is>
      </c>
      <c r="F888" s="12" t="n">
        <v>1</v>
      </c>
      <c r="G888" s="12" t="n">
        <v>1</v>
      </c>
      <c r="H888" s="72" t="n"/>
      <c r="I888" s="72" t="n"/>
      <c r="J888" s="72" t="n"/>
      <c r="K888" s="72" t="inlineStr">
        <is>
          <t>3303-2114</t>
        </is>
      </c>
      <c r="L888" s="72" t="inlineStr">
        <is>
          <t>Cash Flow</t>
        </is>
      </c>
    </row>
    <row r="889">
      <c r="A889" s="72" t="inlineStr">
        <is>
          <t>3303-2114</t>
        </is>
      </c>
      <c r="B889" s="72" t="inlineStr">
        <is>
          <t>DAVID AND LONI ITAH TOTAL</t>
        </is>
      </c>
      <c r="C889" s="72" t="inlineStr">
        <is>
          <t>Credit</t>
        </is>
      </c>
      <c r="D889" s="72" t="inlineStr">
        <is>
          <t>Tot</t>
        </is>
      </c>
      <c r="E889" s="72" t="inlineStr">
        <is>
          <t>Bal</t>
        </is>
      </c>
      <c r="F889" s="12" t="n">
        <v>0</v>
      </c>
      <c r="G889" s="12" t="n">
        <v>1</v>
      </c>
      <c r="H889" s="72" t="n"/>
      <c r="I889" s="72" t="n"/>
      <c r="J889" s="72" t="n"/>
      <c r="K889" s="72" t="inlineStr">
        <is>
          <t>3890-0000</t>
        </is>
      </c>
      <c r="L889" s="72" t="n"/>
    </row>
    <row r="890">
      <c r="A890" s="72" t="inlineStr">
        <is>
          <t>3303-2115</t>
        </is>
      </c>
      <c r="B890" s="72" t="inlineStr">
        <is>
          <t>Moshe Melcer Contribution</t>
        </is>
      </c>
      <c r="C890" s="72" t="inlineStr">
        <is>
          <t>Credit</t>
        </is>
      </c>
      <c r="D890" s="72" t="inlineStr">
        <is>
          <t>Reg</t>
        </is>
      </c>
      <c r="E890" s="72" t="inlineStr">
        <is>
          <t>Bal</t>
        </is>
      </c>
      <c r="F890" s="12" t="n">
        <v>1</v>
      </c>
      <c r="G890" s="12" t="n">
        <v>2</v>
      </c>
      <c r="H890" s="72" t="n"/>
      <c r="I890" s="72" t="n"/>
      <c r="J890" s="72" t="n"/>
      <c r="K890" s="72" t="inlineStr">
        <is>
          <t>3303-2117</t>
        </is>
      </c>
      <c r="L890" s="72" t="inlineStr">
        <is>
          <t>Cash Flow</t>
        </is>
      </c>
    </row>
    <row r="891">
      <c r="A891" s="72" t="inlineStr">
        <is>
          <t>3303-2116</t>
        </is>
      </c>
      <c r="B891" s="72" t="inlineStr">
        <is>
          <t>Moshe Melcer Distribution</t>
        </is>
      </c>
      <c r="C891" s="72" t="inlineStr">
        <is>
          <t>Credit</t>
        </is>
      </c>
      <c r="D891" s="72" t="inlineStr">
        <is>
          <t>Reg</t>
        </is>
      </c>
      <c r="E891" s="72" t="inlineStr">
        <is>
          <t>Bal</t>
        </is>
      </c>
      <c r="F891" s="12" t="n">
        <v>1</v>
      </c>
      <c r="G891" s="12" t="n">
        <v>1</v>
      </c>
      <c r="H891" s="72" t="n"/>
      <c r="I891" s="72" t="n"/>
      <c r="J891" s="72" t="n"/>
      <c r="K891" s="72" t="inlineStr">
        <is>
          <t>3303-2117</t>
        </is>
      </c>
      <c r="L891" s="72" t="inlineStr">
        <is>
          <t>Cash Flow</t>
        </is>
      </c>
    </row>
    <row r="892">
      <c r="A892" s="72" t="inlineStr">
        <is>
          <t>3303-2117</t>
        </is>
      </c>
      <c r="B892" s="72" t="inlineStr">
        <is>
          <t>MOSHE MELCER TOTAL</t>
        </is>
      </c>
      <c r="C892" s="72" t="inlineStr">
        <is>
          <t>Credit</t>
        </is>
      </c>
      <c r="D892" s="72" t="inlineStr">
        <is>
          <t>Tot</t>
        </is>
      </c>
      <c r="E892" s="72" t="inlineStr">
        <is>
          <t>Bal</t>
        </is>
      </c>
      <c r="F892" s="12" t="n">
        <v>0</v>
      </c>
      <c r="G892" s="12" t="n">
        <v>1</v>
      </c>
      <c r="H892" s="72" t="n"/>
      <c r="I892" s="72" t="n"/>
      <c r="J892" s="72" t="n"/>
      <c r="K892" s="72" t="inlineStr">
        <is>
          <t>3890-0000</t>
        </is>
      </c>
      <c r="L892" s="72" t="n"/>
    </row>
    <row r="893">
      <c r="A893" s="72" t="inlineStr">
        <is>
          <t>3303-2118</t>
        </is>
      </c>
      <c r="B893" s="72" t="inlineStr">
        <is>
          <t>Matthew and Erin Ritof Contribution</t>
        </is>
      </c>
      <c r="C893" s="72" t="inlineStr">
        <is>
          <t>Credit</t>
        </is>
      </c>
      <c r="D893" s="72" t="inlineStr">
        <is>
          <t>Reg</t>
        </is>
      </c>
      <c r="E893" s="72" t="inlineStr">
        <is>
          <t>Bal</t>
        </is>
      </c>
      <c r="F893" s="12" t="n">
        <v>1</v>
      </c>
      <c r="G893" s="12" t="n">
        <v>2</v>
      </c>
      <c r="H893" s="72" t="n"/>
      <c r="I893" s="72" t="n"/>
      <c r="J893" s="72" t="n"/>
      <c r="K893" s="72" t="inlineStr">
        <is>
          <t>3303-2120</t>
        </is>
      </c>
      <c r="L893" s="72" t="inlineStr">
        <is>
          <t>Cash Flow</t>
        </is>
      </c>
    </row>
    <row r="894">
      <c r="A894" s="72" t="inlineStr">
        <is>
          <t>3303-2119</t>
        </is>
      </c>
      <c r="B894" s="72" t="inlineStr">
        <is>
          <t>Matthew and Erin Ritof Distribution</t>
        </is>
      </c>
      <c r="C894" s="72" t="inlineStr">
        <is>
          <t>Credit</t>
        </is>
      </c>
      <c r="D894" s="72" t="inlineStr">
        <is>
          <t>Reg</t>
        </is>
      </c>
      <c r="E894" s="72" t="inlineStr">
        <is>
          <t>Bal</t>
        </is>
      </c>
      <c r="F894" s="12" t="n">
        <v>1</v>
      </c>
      <c r="G894" s="12" t="n">
        <v>1</v>
      </c>
      <c r="H894" s="72" t="n"/>
      <c r="I894" s="72" t="n"/>
      <c r="J894" s="72" t="n"/>
      <c r="K894" s="72" t="inlineStr">
        <is>
          <t>3303-2120</t>
        </is>
      </c>
      <c r="L894" s="72" t="inlineStr">
        <is>
          <t>Cash Flow</t>
        </is>
      </c>
    </row>
    <row r="895">
      <c r="A895" s="72" t="inlineStr">
        <is>
          <t>3303-2120</t>
        </is>
      </c>
      <c r="B895" s="72" t="inlineStr">
        <is>
          <t>MATTHEW AND ERIN RITOF TOTAL</t>
        </is>
      </c>
      <c r="C895" s="72" t="inlineStr">
        <is>
          <t>Credit</t>
        </is>
      </c>
      <c r="D895" s="72" t="inlineStr">
        <is>
          <t>Tot</t>
        </is>
      </c>
      <c r="E895" s="72" t="inlineStr">
        <is>
          <t>Bal</t>
        </is>
      </c>
      <c r="F895" s="12" t="n">
        <v>0</v>
      </c>
      <c r="G895" s="12" t="n">
        <v>1</v>
      </c>
      <c r="H895" s="72" t="n"/>
      <c r="I895" s="72" t="n"/>
      <c r="J895" s="72" t="n"/>
      <c r="K895" s="72" t="inlineStr">
        <is>
          <t>3890-0000</t>
        </is>
      </c>
      <c r="L895" s="72" t="n"/>
    </row>
    <row r="896">
      <c r="A896" s="72" t="inlineStr">
        <is>
          <t>3303-2121</t>
        </is>
      </c>
      <c r="B896" s="72" t="inlineStr">
        <is>
          <t>George and Gabriela Gladman Contribution</t>
        </is>
      </c>
      <c r="C896" s="72" t="inlineStr">
        <is>
          <t>Credit</t>
        </is>
      </c>
      <c r="D896" s="72" t="inlineStr">
        <is>
          <t>Reg</t>
        </is>
      </c>
      <c r="E896" s="72" t="inlineStr">
        <is>
          <t>Bal</t>
        </is>
      </c>
      <c r="F896" s="12" t="n">
        <v>1</v>
      </c>
      <c r="G896" s="12" t="n">
        <v>2</v>
      </c>
      <c r="H896" s="72" t="n"/>
      <c r="I896" s="72" t="n"/>
      <c r="J896" s="72" t="n"/>
      <c r="K896" s="72" t="inlineStr">
        <is>
          <t>3303-2123</t>
        </is>
      </c>
      <c r="L896" s="72" t="inlineStr">
        <is>
          <t>Cash Flow</t>
        </is>
      </c>
    </row>
    <row r="897">
      <c r="A897" s="72" t="inlineStr">
        <is>
          <t>3303-2122</t>
        </is>
      </c>
      <c r="B897" s="72" t="inlineStr">
        <is>
          <t>George and Gabriela Gladman Distribution</t>
        </is>
      </c>
      <c r="C897" s="72" t="inlineStr">
        <is>
          <t>Credit</t>
        </is>
      </c>
      <c r="D897" s="72" t="inlineStr">
        <is>
          <t>Reg</t>
        </is>
      </c>
      <c r="E897" s="72" t="inlineStr">
        <is>
          <t>Bal</t>
        </is>
      </c>
      <c r="F897" s="12" t="n">
        <v>1</v>
      </c>
      <c r="G897" s="12" t="n">
        <v>1</v>
      </c>
      <c r="H897" s="72" t="n"/>
      <c r="I897" s="72" t="n"/>
      <c r="J897" s="72" t="n"/>
      <c r="K897" s="72" t="inlineStr">
        <is>
          <t>3303-2123</t>
        </is>
      </c>
      <c r="L897" s="72" t="inlineStr">
        <is>
          <t>Cash Flow</t>
        </is>
      </c>
    </row>
    <row r="898">
      <c r="A898" s="72" t="inlineStr">
        <is>
          <t>3303-2123</t>
        </is>
      </c>
      <c r="B898" s="72" t="inlineStr">
        <is>
          <t>GEORGE AND GABRIELA GLADMAN TOTAL</t>
        </is>
      </c>
      <c r="C898" s="72" t="inlineStr">
        <is>
          <t>Credit</t>
        </is>
      </c>
      <c r="D898" s="72" t="inlineStr">
        <is>
          <t>Tot</t>
        </is>
      </c>
      <c r="E898" s="72" t="inlineStr">
        <is>
          <t>Bal</t>
        </is>
      </c>
      <c r="F898" s="12" t="n">
        <v>0</v>
      </c>
      <c r="G898" s="12" t="n">
        <v>1</v>
      </c>
      <c r="H898" s="72" t="n"/>
      <c r="I898" s="72" t="n"/>
      <c r="J898" s="72" t="n"/>
      <c r="K898" s="72" t="inlineStr">
        <is>
          <t>3890-0000</t>
        </is>
      </c>
      <c r="L898" s="72" t="n"/>
    </row>
    <row r="899">
      <c r="A899" s="72" t="inlineStr">
        <is>
          <t>3303-2124</t>
        </is>
      </c>
      <c r="B899" s="72" t="inlineStr">
        <is>
          <t>Steve Maziarka Contribution</t>
        </is>
      </c>
      <c r="C899" s="72" t="inlineStr">
        <is>
          <t>Credit</t>
        </is>
      </c>
      <c r="D899" s="72" t="inlineStr">
        <is>
          <t>Reg</t>
        </is>
      </c>
      <c r="E899" s="72" t="inlineStr">
        <is>
          <t>Bal</t>
        </is>
      </c>
      <c r="F899" s="12" t="n">
        <v>1</v>
      </c>
      <c r="G899" s="12" t="n">
        <v>2</v>
      </c>
      <c r="H899" s="72" t="n"/>
      <c r="I899" s="72" t="n"/>
      <c r="J899" s="72" t="n"/>
      <c r="K899" s="72" t="inlineStr">
        <is>
          <t>3303-2126</t>
        </is>
      </c>
      <c r="L899" s="72" t="inlineStr">
        <is>
          <t>Cash Flow</t>
        </is>
      </c>
    </row>
    <row r="900">
      <c r="A900" s="72" t="inlineStr">
        <is>
          <t>3303-2125</t>
        </is>
      </c>
      <c r="B900" s="72" t="inlineStr">
        <is>
          <t>Steve Maziarka Distribution</t>
        </is>
      </c>
      <c r="C900" s="72" t="inlineStr">
        <is>
          <t>Credit</t>
        </is>
      </c>
      <c r="D900" s="72" t="inlineStr">
        <is>
          <t>Reg</t>
        </is>
      </c>
      <c r="E900" s="72" t="inlineStr">
        <is>
          <t>Bal</t>
        </is>
      </c>
      <c r="F900" s="12" t="n">
        <v>1</v>
      </c>
      <c r="G900" s="12" t="n">
        <v>1</v>
      </c>
      <c r="H900" s="72" t="n"/>
      <c r="I900" s="72" t="n"/>
      <c r="J900" s="72" t="n"/>
      <c r="K900" s="72" t="inlineStr">
        <is>
          <t>3303-2126</t>
        </is>
      </c>
      <c r="L900" s="72" t="inlineStr">
        <is>
          <t>Cash Flow</t>
        </is>
      </c>
    </row>
    <row r="901">
      <c r="A901" s="72" t="inlineStr">
        <is>
          <t>3303-2126</t>
        </is>
      </c>
      <c r="B901" s="72" t="inlineStr">
        <is>
          <t>STEVE MAZIARKA TOTAL</t>
        </is>
      </c>
      <c r="C901" s="72" t="inlineStr">
        <is>
          <t>Credit</t>
        </is>
      </c>
      <c r="D901" s="72" t="inlineStr">
        <is>
          <t>Tot</t>
        </is>
      </c>
      <c r="E901" s="72" t="inlineStr">
        <is>
          <t>Bal</t>
        </is>
      </c>
      <c r="F901" s="12" t="n">
        <v>0</v>
      </c>
      <c r="G901" s="12" t="n">
        <v>1</v>
      </c>
      <c r="H901" s="72" t="n"/>
      <c r="I901" s="72" t="n"/>
      <c r="J901" s="72" t="n"/>
      <c r="K901" s="72" t="inlineStr">
        <is>
          <t>3890-0000</t>
        </is>
      </c>
      <c r="L901" s="72" t="n"/>
    </row>
    <row r="902">
      <c r="A902" s="72" t="inlineStr">
        <is>
          <t>3303-2127</t>
        </is>
      </c>
      <c r="B902" s="72" t="inlineStr">
        <is>
          <t>Paula Bacheller Contribution</t>
        </is>
      </c>
      <c r="C902" s="72" t="inlineStr">
        <is>
          <t>Credit</t>
        </is>
      </c>
      <c r="D902" s="72" t="inlineStr">
        <is>
          <t>Reg</t>
        </is>
      </c>
      <c r="E902" s="72" t="inlineStr">
        <is>
          <t>Bal</t>
        </is>
      </c>
      <c r="F902" s="12" t="n">
        <v>1</v>
      </c>
      <c r="G902" s="12" t="n">
        <v>2</v>
      </c>
      <c r="H902" s="72" t="n"/>
      <c r="I902" s="72" t="n"/>
      <c r="J902" s="72" t="n"/>
      <c r="K902" s="72" t="inlineStr">
        <is>
          <t>3303-2129</t>
        </is>
      </c>
      <c r="L902" s="72" t="inlineStr">
        <is>
          <t>Cash Flow</t>
        </is>
      </c>
    </row>
    <row r="903">
      <c r="A903" s="72" t="inlineStr">
        <is>
          <t>3303-2128</t>
        </is>
      </c>
      <c r="B903" s="72" t="inlineStr">
        <is>
          <t>Paula Bacheller Distribution</t>
        </is>
      </c>
      <c r="C903" s="72" t="inlineStr">
        <is>
          <t>Credit</t>
        </is>
      </c>
      <c r="D903" s="72" t="inlineStr">
        <is>
          <t>Reg</t>
        </is>
      </c>
      <c r="E903" s="72" t="inlineStr">
        <is>
          <t>Bal</t>
        </is>
      </c>
      <c r="F903" s="12" t="n">
        <v>1</v>
      </c>
      <c r="G903" s="12" t="n">
        <v>1</v>
      </c>
      <c r="H903" s="72" t="n"/>
      <c r="I903" s="72" t="n"/>
      <c r="J903" s="72" t="n"/>
      <c r="K903" s="72" t="inlineStr">
        <is>
          <t>3303-2129</t>
        </is>
      </c>
      <c r="L903" s="72" t="inlineStr">
        <is>
          <t>Cash Flow</t>
        </is>
      </c>
    </row>
    <row r="904">
      <c r="A904" s="72" t="inlineStr">
        <is>
          <t>3303-2129</t>
        </is>
      </c>
      <c r="B904" s="72" t="inlineStr">
        <is>
          <t>PAULA BACHELLER TOTAL</t>
        </is>
      </c>
      <c r="C904" s="72" t="inlineStr">
        <is>
          <t>Credit</t>
        </is>
      </c>
      <c r="D904" s="72" t="inlineStr">
        <is>
          <t>Tot</t>
        </is>
      </c>
      <c r="E904" s="72" t="inlineStr">
        <is>
          <t>Bal</t>
        </is>
      </c>
      <c r="F904" s="12" t="n">
        <v>0</v>
      </c>
      <c r="G904" s="12" t="n">
        <v>1</v>
      </c>
      <c r="H904" s="72" t="n"/>
      <c r="I904" s="72" t="n"/>
      <c r="J904" s="72" t="n"/>
      <c r="K904" s="72" t="inlineStr">
        <is>
          <t>3890-0000</t>
        </is>
      </c>
      <c r="L904" s="72" t="n"/>
    </row>
    <row r="905">
      <c r="A905" s="72" t="inlineStr">
        <is>
          <t>3303-2130</t>
        </is>
      </c>
      <c r="B905" s="72" t="inlineStr">
        <is>
          <t>Rosalie and Jon Mendia Contribution</t>
        </is>
      </c>
      <c r="C905" s="72" t="inlineStr">
        <is>
          <t>Credit</t>
        </is>
      </c>
      <c r="D905" s="72" t="inlineStr">
        <is>
          <t>Reg</t>
        </is>
      </c>
      <c r="E905" s="72" t="inlineStr">
        <is>
          <t>Bal</t>
        </is>
      </c>
      <c r="F905" s="12" t="n">
        <v>1</v>
      </c>
      <c r="G905" s="12" t="n">
        <v>2</v>
      </c>
      <c r="H905" s="72" t="n"/>
      <c r="I905" s="72" t="n"/>
      <c r="J905" s="72" t="n"/>
      <c r="K905" s="72" t="inlineStr">
        <is>
          <t>3303-2132</t>
        </is>
      </c>
      <c r="L905" s="72" t="inlineStr">
        <is>
          <t>Cash Flow</t>
        </is>
      </c>
    </row>
    <row r="906">
      <c r="A906" s="72" t="inlineStr">
        <is>
          <t>3303-2131</t>
        </is>
      </c>
      <c r="B906" s="72" t="inlineStr">
        <is>
          <t>Rosalie and Jon Mendia Distribution</t>
        </is>
      </c>
      <c r="C906" s="72" t="inlineStr">
        <is>
          <t>Credit</t>
        </is>
      </c>
      <c r="D906" s="72" t="inlineStr">
        <is>
          <t>Reg</t>
        </is>
      </c>
      <c r="E906" s="72" t="inlineStr">
        <is>
          <t>Bal</t>
        </is>
      </c>
      <c r="F906" s="12" t="n">
        <v>1</v>
      </c>
      <c r="G906" s="12" t="n">
        <v>1</v>
      </c>
      <c r="H906" s="72" t="n"/>
      <c r="I906" s="72" t="n"/>
      <c r="J906" s="72" t="n"/>
      <c r="K906" s="72" t="inlineStr">
        <is>
          <t>3303-2132</t>
        </is>
      </c>
      <c r="L906" s="72" t="inlineStr">
        <is>
          <t>Cash Flow</t>
        </is>
      </c>
    </row>
    <row r="907">
      <c r="A907" s="72" t="inlineStr">
        <is>
          <t>3303-2132</t>
        </is>
      </c>
      <c r="B907" s="72" t="inlineStr">
        <is>
          <t>ROSALIE AND JON MENDIA TOTAL</t>
        </is>
      </c>
      <c r="C907" s="72" t="inlineStr">
        <is>
          <t>Credit</t>
        </is>
      </c>
      <c r="D907" s="72" t="inlineStr">
        <is>
          <t>Tot</t>
        </is>
      </c>
      <c r="E907" s="72" t="inlineStr">
        <is>
          <t>Bal</t>
        </is>
      </c>
      <c r="F907" s="12" t="n">
        <v>0</v>
      </c>
      <c r="G907" s="12" t="n">
        <v>1</v>
      </c>
      <c r="H907" s="72" t="n"/>
      <c r="I907" s="72" t="n"/>
      <c r="J907" s="72" t="n"/>
      <c r="K907" s="72" t="inlineStr">
        <is>
          <t>3890-0000</t>
        </is>
      </c>
      <c r="L907" s="72" t="n"/>
    </row>
    <row r="908">
      <c r="A908" s="72" t="inlineStr">
        <is>
          <t>3303-2133</t>
        </is>
      </c>
      <c r="B908" s="72" t="inlineStr">
        <is>
          <t>ICMC DRE Storsafe Member Contribution</t>
        </is>
      </c>
      <c r="C908" s="72" t="inlineStr">
        <is>
          <t>Credit</t>
        </is>
      </c>
      <c r="D908" s="72" t="inlineStr">
        <is>
          <t>Reg</t>
        </is>
      </c>
      <c r="E908" s="72" t="inlineStr">
        <is>
          <t>Bal</t>
        </is>
      </c>
      <c r="F908" s="12" t="n">
        <v>1</v>
      </c>
      <c r="G908" s="12" t="n">
        <v>2</v>
      </c>
      <c r="H908" s="72" t="n"/>
      <c r="I908" s="72" t="n"/>
      <c r="J908" s="72" t="n"/>
      <c r="K908" s="72" t="inlineStr">
        <is>
          <t>3303-2135</t>
        </is>
      </c>
      <c r="L908" s="72" t="inlineStr">
        <is>
          <t>Cash Flow</t>
        </is>
      </c>
    </row>
    <row r="909">
      <c r="A909" s="72" t="inlineStr">
        <is>
          <t>3303-2134</t>
        </is>
      </c>
      <c r="B909" s="72" t="inlineStr">
        <is>
          <t>ICMC DRE Storsafe Member Distribution</t>
        </is>
      </c>
      <c r="C909" s="72" t="inlineStr">
        <is>
          <t>Credit</t>
        </is>
      </c>
      <c r="D909" s="72" t="inlineStr">
        <is>
          <t>Reg</t>
        </is>
      </c>
      <c r="E909" s="72" t="inlineStr">
        <is>
          <t>Bal</t>
        </is>
      </c>
      <c r="F909" s="12" t="n">
        <v>1</v>
      </c>
      <c r="G909" s="12" t="n">
        <v>1</v>
      </c>
      <c r="H909" s="72" t="n"/>
      <c r="I909" s="72" t="n"/>
      <c r="J909" s="72" t="n"/>
      <c r="K909" s="72" t="inlineStr">
        <is>
          <t>3303-2135</t>
        </is>
      </c>
      <c r="L909" s="72" t="inlineStr">
        <is>
          <t>Cash Flow</t>
        </is>
      </c>
    </row>
    <row r="910">
      <c r="A910" s="72" t="inlineStr">
        <is>
          <t>3303-2135</t>
        </is>
      </c>
      <c r="B910" s="72" t="inlineStr">
        <is>
          <t>ICMC DRE STORSAFE MEMBER TOTAL</t>
        </is>
      </c>
      <c r="C910" s="72" t="inlineStr">
        <is>
          <t>Credit</t>
        </is>
      </c>
      <c r="D910" s="72" t="inlineStr">
        <is>
          <t>Tot</t>
        </is>
      </c>
      <c r="E910" s="72" t="inlineStr">
        <is>
          <t>Bal</t>
        </is>
      </c>
      <c r="F910" s="12" t="n">
        <v>0</v>
      </c>
      <c r="G910" s="12" t="n">
        <v>1</v>
      </c>
      <c r="H910" s="72" t="n"/>
      <c r="I910" s="72" t="n"/>
      <c r="J910" s="72" t="n"/>
      <c r="K910" s="72" t="inlineStr">
        <is>
          <t>3890-0000</t>
        </is>
      </c>
      <c r="L910" s="72" t="n"/>
    </row>
    <row r="911">
      <c r="A911" s="72" t="inlineStr">
        <is>
          <t>3303-2136</t>
        </is>
      </c>
      <c r="B911" s="72" t="inlineStr">
        <is>
          <t>EP Storsafe Contribution</t>
        </is>
      </c>
      <c r="C911" s="72" t="inlineStr">
        <is>
          <t>Credit</t>
        </is>
      </c>
      <c r="D911" s="72" t="inlineStr">
        <is>
          <t>Reg</t>
        </is>
      </c>
      <c r="E911" s="72" t="inlineStr">
        <is>
          <t>Bal</t>
        </is>
      </c>
      <c r="F911" s="12" t="n">
        <v>1</v>
      </c>
      <c r="G911" s="12" t="n">
        <v>2</v>
      </c>
      <c r="H911" s="72" t="n"/>
      <c r="I911" s="72" t="n"/>
      <c r="J911" s="72" t="n"/>
      <c r="K911" s="72" t="inlineStr">
        <is>
          <t>3303-2138</t>
        </is>
      </c>
      <c r="L911" s="72" t="inlineStr">
        <is>
          <t>Cash Flow</t>
        </is>
      </c>
    </row>
    <row r="912">
      <c r="A912" s="72" t="inlineStr">
        <is>
          <t>3303-2137</t>
        </is>
      </c>
      <c r="B912" s="72" t="inlineStr">
        <is>
          <t>EP Storsafe Distribution</t>
        </is>
      </c>
      <c r="C912" s="72" t="inlineStr">
        <is>
          <t>Credit</t>
        </is>
      </c>
      <c r="D912" s="72" t="inlineStr">
        <is>
          <t>Reg</t>
        </is>
      </c>
      <c r="E912" s="72" t="inlineStr">
        <is>
          <t>Bal</t>
        </is>
      </c>
      <c r="F912" s="12" t="n">
        <v>1</v>
      </c>
      <c r="G912" s="12" t="n">
        <v>1</v>
      </c>
      <c r="H912" s="72" t="n"/>
      <c r="I912" s="72" t="n"/>
      <c r="J912" s="72" t="n"/>
      <c r="K912" s="72" t="inlineStr">
        <is>
          <t>3303-2138</t>
        </is>
      </c>
      <c r="L912" s="72" t="inlineStr">
        <is>
          <t>Cash Flow</t>
        </is>
      </c>
    </row>
    <row r="913">
      <c r="A913" s="72" t="inlineStr">
        <is>
          <t>3303-2138</t>
        </is>
      </c>
      <c r="B913" s="72" t="inlineStr">
        <is>
          <t>EP STORSAFE TOTAL</t>
        </is>
      </c>
      <c r="C913" s="72" t="inlineStr">
        <is>
          <t>Credit</t>
        </is>
      </c>
      <c r="D913" s="72" t="inlineStr">
        <is>
          <t>Tot</t>
        </is>
      </c>
      <c r="E913" s="72" t="inlineStr">
        <is>
          <t>Bal</t>
        </is>
      </c>
      <c r="F913" s="12" t="n">
        <v>0</v>
      </c>
      <c r="G913" s="12" t="n">
        <v>1</v>
      </c>
      <c r="H913" s="72" t="n"/>
      <c r="I913" s="72" t="n"/>
      <c r="J913" s="72" t="n"/>
      <c r="K913" s="72" t="inlineStr">
        <is>
          <t>3890-0000</t>
        </is>
      </c>
      <c r="L913" s="72" t="n"/>
    </row>
    <row r="914">
      <c r="A914" s="72" t="inlineStr">
        <is>
          <t>3303-2139</t>
        </is>
      </c>
      <c r="B914" s="72" t="inlineStr">
        <is>
          <t>Jason Stringer Contribution</t>
        </is>
      </c>
      <c r="C914" s="72" t="inlineStr">
        <is>
          <t>Credit</t>
        </is>
      </c>
      <c r="D914" s="72" t="inlineStr">
        <is>
          <t>Reg</t>
        </is>
      </c>
      <c r="E914" s="72" t="inlineStr">
        <is>
          <t>Bal</t>
        </is>
      </c>
      <c r="F914" s="12" t="n">
        <v>1</v>
      </c>
      <c r="G914" s="12" t="n">
        <v>2</v>
      </c>
      <c r="H914" s="72" t="n"/>
      <c r="I914" s="72" t="n"/>
      <c r="J914" s="72" t="n"/>
      <c r="K914" s="72" t="inlineStr">
        <is>
          <t>3303-2141</t>
        </is>
      </c>
      <c r="L914" s="72" t="inlineStr">
        <is>
          <t>Cash Flow</t>
        </is>
      </c>
    </row>
    <row r="915">
      <c r="A915" s="72" t="inlineStr">
        <is>
          <t>3303-2140</t>
        </is>
      </c>
      <c r="B915" s="72" t="inlineStr">
        <is>
          <t>Jason Stringer Distribution</t>
        </is>
      </c>
      <c r="C915" s="72" t="inlineStr">
        <is>
          <t>Credit</t>
        </is>
      </c>
      <c r="D915" s="72" t="inlineStr">
        <is>
          <t>Reg</t>
        </is>
      </c>
      <c r="E915" s="72" t="inlineStr">
        <is>
          <t>Bal</t>
        </is>
      </c>
      <c r="F915" s="12" t="n">
        <v>1</v>
      </c>
      <c r="G915" s="12" t="n">
        <v>1</v>
      </c>
      <c r="H915" s="72" t="n"/>
      <c r="I915" s="72" t="n"/>
      <c r="J915" s="72" t="n"/>
      <c r="K915" s="72" t="inlineStr">
        <is>
          <t>3303-2141</t>
        </is>
      </c>
      <c r="L915" s="72" t="inlineStr">
        <is>
          <t>Cash Flow</t>
        </is>
      </c>
    </row>
    <row r="916">
      <c r="A916" s="72" t="inlineStr">
        <is>
          <t>3303-2141</t>
        </is>
      </c>
      <c r="B916" s="72" t="inlineStr">
        <is>
          <t>JASON STRINGER TOTAL</t>
        </is>
      </c>
      <c r="C916" s="72" t="inlineStr">
        <is>
          <t>Credit</t>
        </is>
      </c>
      <c r="D916" s="72" t="inlineStr">
        <is>
          <t>Tot</t>
        </is>
      </c>
      <c r="E916" s="72" t="inlineStr">
        <is>
          <t>Bal</t>
        </is>
      </c>
      <c r="F916" s="12" t="n">
        <v>0</v>
      </c>
      <c r="G916" s="12" t="n">
        <v>1</v>
      </c>
      <c r="H916" s="72" t="n"/>
      <c r="I916" s="72" t="n"/>
      <c r="J916" s="72" t="n"/>
      <c r="K916" s="72" t="inlineStr">
        <is>
          <t>3890-0000</t>
        </is>
      </c>
      <c r="L916" s="72" t="n"/>
    </row>
    <row r="917">
      <c r="A917" s="72" t="inlineStr">
        <is>
          <t>3303-2142</t>
        </is>
      </c>
      <c r="B917" s="72" t="inlineStr">
        <is>
          <t>Marc Polizzi Contribution</t>
        </is>
      </c>
      <c r="C917" s="72" t="inlineStr">
        <is>
          <t>Credit</t>
        </is>
      </c>
      <c r="D917" s="72" t="inlineStr">
        <is>
          <t>Reg</t>
        </is>
      </c>
      <c r="E917" s="72" t="inlineStr">
        <is>
          <t>Bal</t>
        </is>
      </c>
      <c r="F917" s="12" t="n">
        <v>1</v>
      </c>
      <c r="G917" s="12" t="n">
        <v>2</v>
      </c>
      <c r="H917" s="72" t="n"/>
      <c r="I917" s="72" t="n"/>
      <c r="J917" s="72" t="n"/>
      <c r="K917" s="72" t="inlineStr">
        <is>
          <t>3303-2144</t>
        </is>
      </c>
      <c r="L917" s="72" t="inlineStr">
        <is>
          <t>Cash Flow</t>
        </is>
      </c>
    </row>
    <row r="918">
      <c r="A918" s="72" t="inlineStr">
        <is>
          <t>3303-2143</t>
        </is>
      </c>
      <c r="B918" s="72" t="inlineStr">
        <is>
          <t>Marc Polizzi Distribution</t>
        </is>
      </c>
      <c r="C918" s="72" t="inlineStr">
        <is>
          <t>Credit</t>
        </is>
      </c>
      <c r="D918" s="72" t="inlineStr">
        <is>
          <t>Reg</t>
        </is>
      </c>
      <c r="E918" s="72" t="inlineStr">
        <is>
          <t>Bal</t>
        </is>
      </c>
      <c r="F918" s="12" t="n">
        <v>1</v>
      </c>
      <c r="G918" s="12" t="n">
        <v>1</v>
      </c>
      <c r="H918" s="72" t="n"/>
      <c r="I918" s="72" t="n"/>
      <c r="J918" s="72" t="n"/>
      <c r="K918" s="72" t="inlineStr">
        <is>
          <t>3303-2144</t>
        </is>
      </c>
      <c r="L918" s="72" t="inlineStr">
        <is>
          <t>Cash Flow</t>
        </is>
      </c>
    </row>
    <row r="919">
      <c r="A919" s="72" t="inlineStr">
        <is>
          <t>3303-2144</t>
        </is>
      </c>
      <c r="B919" s="72" t="inlineStr">
        <is>
          <t>MARC POLIZZI TOTAL</t>
        </is>
      </c>
      <c r="C919" s="72" t="inlineStr">
        <is>
          <t>Credit</t>
        </is>
      </c>
      <c r="D919" s="72" t="inlineStr">
        <is>
          <t>Tot</t>
        </is>
      </c>
      <c r="E919" s="72" t="inlineStr">
        <is>
          <t>Bal</t>
        </is>
      </c>
      <c r="F919" s="12" t="n">
        <v>0</v>
      </c>
      <c r="G919" s="12" t="n">
        <v>1</v>
      </c>
      <c r="H919" s="72" t="n"/>
      <c r="I919" s="72" t="n"/>
      <c r="J919" s="72" t="n"/>
      <c r="K919" s="72" t="inlineStr">
        <is>
          <t>3890-0000</t>
        </is>
      </c>
      <c r="L919" s="72" t="n"/>
    </row>
    <row r="920">
      <c r="A920" s="72" t="inlineStr">
        <is>
          <t>3303-2145</t>
        </is>
      </c>
      <c r="B920" s="72" t="inlineStr">
        <is>
          <t>Doug Sharfstein Contribution</t>
        </is>
      </c>
      <c r="C920" s="72" t="inlineStr">
        <is>
          <t>Credit</t>
        </is>
      </c>
      <c r="D920" s="72" t="inlineStr">
        <is>
          <t>Reg</t>
        </is>
      </c>
      <c r="E920" s="72" t="inlineStr">
        <is>
          <t>Bal</t>
        </is>
      </c>
      <c r="F920" s="12" t="n">
        <v>1</v>
      </c>
      <c r="G920" s="12" t="n">
        <v>2</v>
      </c>
      <c r="H920" s="72" t="n"/>
      <c r="I920" s="72" t="n"/>
      <c r="J920" s="72" t="n"/>
      <c r="K920" s="72" t="inlineStr">
        <is>
          <t>3303-2147</t>
        </is>
      </c>
      <c r="L920" s="72" t="inlineStr">
        <is>
          <t>Cash Flow</t>
        </is>
      </c>
    </row>
    <row r="921">
      <c r="A921" s="72" t="inlineStr">
        <is>
          <t>3303-2146</t>
        </is>
      </c>
      <c r="B921" s="72" t="inlineStr">
        <is>
          <t>Doug Sharfstein Distribution</t>
        </is>
      </c>
      <c r="C921" s="72" t="inlineStr">
        <is>
          <t>Credit</t>
        </is>
      </c>
      <c r="D921" s="72" t="inlineStr">
        <is>
          <t>Reg</t>
        </is>
      </c>
      <c r="E921" s="72" t="inlineStr">
        <is>
          <t>Bal</t>
        </is>
      </c>
      <c r="F921" s="12" t="n">
        <v>1</v>
      </c>
      <c r="G921" s="12" t="n">
        <v>1</v>
      </c>
      <c r="H921" s="72" t="n"/>
      <c r="I921" s="72" t="n"/>
      <c r="J921" s="72" t="n"/>
      <c r="K921" s="72" t="inlineStr">
        <is>
          <t>3303-2147</t>
        </is>
      </c>
      <c r="L921" s="72" t="inlineStr">
        <is>
          <t>Cash Flow</t>
        </is>
      </c>
    </row>
    <row r="922">
      <c r="A922" s="72" t="inlineStr">
        <is>
          <t>3303-2147</t>
        </is>
      </c>
      <c r="B922" s="72" t="inlineStr">
        <is>
          <t>DOUG SHARFSTEIN TOTAL</t>
        </is>
      </c>
      <c r="C922" s="72" t="inlineStr">
        <is>
          <t>Credit</t>
        </is>
      </c>
      <c r="D922" s="72" t="inlineStr">
        <is>
          <t>Tot</t>
        </is>
      </c>
      <c r="E922" s="72" t="inlineStr">
        <is>
          <t>Bal</t>
        </is>
      </c>
      <c r="F922" s="12" t="n">
        <v>0</v>
      </c>
      <c r="G922" s="12" t="n">
        <v>1</v>
      </c>
      <c r="H922" s="72" t="n"/>
      <c r="I922" s="72" t="n"/>
      <c r="J922" s="72" t="n"/>
      <c r="K922" s="72" t="inlineStr">
        <is>
          <t>3890-0000</t>
        </is>
      </c>
      <c r="L922" s="72" t="n"/>
    </row>
    <row r="923">
      <c r="A923" s="72" t="inlineStr">
        <is>
          <t>3303-2148</t>
        </is>
      </c>
      <c r="B923" s="72" t="inlineStr">
        <is>
          <t>Noel Williams Contribution</t>
        </is>
      </c>
      <c r="C923" s="72" t="inlineStr">
        <is>
          <t>Credit</t>
        </is>
      </c>
      <c r="D923" s="72" t="inlineStr">
        <is>
          <t>Reg</t>
        </is>
      </c>
      <c r="E923" s="72" t="inlineStr">
        <is>
          <t>Bal</t>
        </is>
      </c>
      <c r="F923" s="12" t="n">
        <v>1</v>
      </c>
      <c r="G923" s="12" t="n">
        <v>2</v>
      </c>
      <c r="H923" s="72" t="n"/>
      <c r="I923" s="72" t="n"/>
      <c r="J923" s="72" t="n"/>
      <c r="K923" s="72" t="inlineStr">
        <is>
          <t>3303-2150</t>
        </is>
      </c>
      <c r="L923" s="72" t="inlineStr">
        <is>
          <t>Cash Flow</t>
        </is>
      </c>
    </row>
    <row r="924">
      <c r="A924" s="72" t="inlineStr">
        <is>
          <t>3303-2149</t>
        </is>
      </c>
      <c r="B924" s="72" t="inlineStr">
        <is>
          <t>Noel Williams Distribution</t>
        </is>
      </c>
      <c r="C924" s="72" t="inlineStr">
        <is>
          <t>Credit</t>
        </is>
      </c>
      <c r="D924" s="72" t="inlineStr">
        <is>
          <t>Reg</t>
        </is>
      </c>
      <c r="E924" s="72" t="inlineStr">
        <is>
          <t>Bal</t>
        </is>
      </c>
      <c r="F924" s="12" t="n">
        <v>1</v>
      </c>
      <c r="G924" s="12" t="n">
        <v>1</v>
      </c>
      <c r="H924" s="72" t="n"/>
      <c r="I924" s="72" t="n"/>
      <c r="J924" s="72" t="n"/>
      <c r="K924" s="72" t="inlineStr">
        <is>
          <t>3303-2150</t>
        </is>
      </c>
      <c r="L924" s="72" t="inlineStr">
        <is>
          <t>Cash Flow</t>
        </is>
      </c>
    </row>
    <row r="925">
      <c r="A925" s="72" t="inlineStr">
        <is>
          <t>3303-2150</t>
        </is>
      </c>
      <c r="B925" s="72" t="inlineStr">
        <is>
          <t>NOEL WILLIAMS TOTAL</t>
        </is>
      </c>
      <c r="C925" s="72" t="inlineStr">
        <is>
          <t>Credit</t>
        </is>
      </c>
      <c r="D925" s="72" t="inlineStr">
        <is>
          <t>Tot</t>
        </is>
      </c>
      <c r="E925" s="72" t="inlineStr">
        <is>
          <t>Bal</t>
        </is>
      </c>
      <c r="F925" s="12" t="n">
        <v>0</v>
      </c>
      <c r="G925" s="12" t="n">
        <v>1</v>
      </c>
      <c r="H925" s="72" t="n"/>
      <c r="I925" s="72" t="n"/>
      <c r="J925" s="72" t="n"/>
      <c r="K925" s="72" t="inlineStr">
        <is>
          <t>3890-0000</t>
        </is>
      </c>
      <c r="L925" s="72" t="n"/>
    </row>
    <row r="926">
      <c r="A926" s="72" t="inlineStr">
        <is>
          <t>3303-2151</t>
        </is>
      </c>
      <c r="B926" s="72" t="inlineStr">
        <is>
          <t>Storsafe DRE JV Contribution</t>
        </is>
      </c>
      <c r="C926" s="72" t="inlineStr">
        <is>
          <t>Credit</t>
        </is>
      </c>
      <c r="D926" s="72" t="inlineStr">
        <is>
          <t>Reg</t>
        </is>
      </c>
      <c r="E926" s="72" t="inlineStr">
        <is>
          <t>Bal</t>
        </is>
      </c>
      <c r="F926" s="12" t="n">
        <v>1</v>
      </c>
      <c r="G926" s="12" t="n">
        <v>2</v>
      </c>
      <c r="H926" s="72" t="n"/>
      <c r="I926" s="72" t="n"/>
      <c r="J926" s="72" t="n"/>
      <c r="K926" s="72" t="inlineStr">
        <is>
          <t>3303-2153</t>
        </is>
      </c>
      <c r="L926" s="72" t="inlineStr">
        <is>
          <t>Cash Flow</t>
        </is>
      </c>
    </row>
    <row r="927">
      <c r="A927" s="72" t="inlineStr">
        <is>
          <t>3303-2152</t>
        </is>
      </c>
      <c r="B927" s="72" t="inlineStr">
        <is>
          <t>Storsafe DRE JV Distribution</t>
        </is>
      </c>
      <c r="C927" s="72" t="inlineStr">
        <is>
          <t>Credit</t>
        </is>
      </c>
      <c r="D927" s="72" t="inlineStr">
        <is>
          <t>Reg</t>
        </is>
      </c>
      <c r="E927" s="72" t="inlineStr">
        <is>
          <t>Bal</t>
        </is>
      </c>
      <c r="F927" s="12" t="n">
        <v>1</v>
      </c>
      <c r="G927" s="12" t="n">
        <v>1</v>
      </c>
      <c r="H927" s="72" t="n"/>
      <c r="I927" s="72" t="n"/>
      <c r="J927" s="72" t="n"/>
      <c r="K927" s="72" t="inlineStr">
        <is>
          <t>3303-2153</t>
        </is>
      </c>
      <c r="L927" s="72" t="inlineStr">
        <is>
          <t>Cash Flow</t>
        </is>
      </c>
    </row>
    <row r="928">
      <c r="A928" s="72" t="inlineStr">
        <is>
          <t>3303-2153</t>
        </is>
      </c>
      <c r="B928" s="72" t="inlineStr">
        <is>
          <t>STORSAFE DRE JV TOTAL</t>
        </is>
      </c>
      <c r="C928" s="72" t="inlineStr">
        <is>
          <t>Credit</t>
        </is>
      </c>
      <c r="D928" s="72" t="inlineStr">
        <is>
          <t>Tot</t>
        </is>
      </c>
      <c r="E928" s="72" t="inlineStr">
        <is>
          <t>Bal</t>
        </is>
      </c>
      <c r="F928" s="12" t="n">
        <v>0</v>
      </c>
      <c r="G928" s="12" t="n">
        <v>1</v>
      </c>
      <c r="H928" s="72" t="n"/>
      <c r="I928" s="72" t="n"/>
      <c r="J928" s="72" t="n"/>
      <c r="K928" s="72" t="inlineStr">
        <is>
          <t>3890-0000</t>
        </is>
      </c>
      <c r="L928" s="72" t="n"/>
    </row>
    <row r="929">
      <c r="A929" s="72" t="inlineStr">
        <is>
          <t>3303-2154</t>
        </is>
      </c>
      <c r="B929" s="72" t="inlineStr">
        <is>
          <t>Ginnifer and Jeff Maydew Contribution</t>
        </is>
      </c>
      <c r="C929" s="72" t="inlineStr">
        <is>
          <t>Credit</t>
        </is>
      </c>
      <c r="D929" s="72" t="inlineStr">
        <is>
          <t>Reg</t>
        </is>
      </c>
      <c r="E929" s="72" t="inlineStr">
        <is>
          <t>Bal</t>
        </is>
      </c>
      <c r="F929" s="12" t="n">
        <v>1</v>
      </c>
      <c r="G929" s="12" t="n">
        <v>2</v>
      </c>
      <c r="H929" s="72" t="n"/>
      <c r="I929" s="72" t="n"/>
      <c r="J929" s="72" t="n"/>
      <c r="K929" s="72" t="inlineStr">
        <is>
          <t>3303-2156</t>
        </is>
      </c>
      <c r="L929" s="72" t="inlineStr">
        <is>
          <t>Cash Flow</t>
        </is>
      </c>
    </row>
    <row r="930">
      <c r="A930" s="72" t="inlineStr">
        <is>
          <t>3303-2155</t>
        </is>
      </c>
      <c r="B930" s="72" t="inlineStr">
        <is>
          <t>Ginnifer and Jeff Maydew Distribution</t>
        </is>
      </c>
      <c r="C930" s="72" t="inlineStr">
        <is>
          <t>Credit</t>
        </is>
      </c>
      <c r="D930" s="72" t="inlineStr">
        <is>
          <t>Reg</t>
        </is>
      </c>
      <c r="E930" s="72" t="inlineStr">
        <is>
          <t>Bal</t>
        </is>
      </c>
      <c r="F930" s="12" t="n">
        <v>1</v>
      </c>
      <c r="G930" s="12" t="n">
        <v>1</v>
      </c>
      <c r="H930" s="72" t="n"/>
      <c r="I930" s="72" t="n"/>
      <c r="J930" s="72" t="n"/>
      <c r="K930" s="72" t="inlineStr">
        <is>
          <t>3303-2156</t>
        </is>
      </c>
      <c r="L930" s="72" t="inlineStr">
        <is>
          <t>Cash Flow</t>
        </is>
      </c>
    </row>
    <row r="931">
      <c r="A931" s="72" t="inlineStr">
        <is>
          <t>3303-2156</t>
        </is>
      </c>
      <c r="B931" s="72" t="inlineStr">
        <is>
          <t>GINNIFER and JEFF MAYDEW TOTAL</t>
        </is>
      </c>
      <c r="C931" s="72" t="inlineStr">
        <is>
          <t>Credit</t>
        </is>
      </c>
      <c r="D931" s="72" t="inlineStr">
        <is>
          <t>Tot</t>
        </is>
      </c>
      <c r="E931" s="72" t="inlineStr">
        <is>
          <t>Bal</t>
        </is>
      </c>
      <c r="F931" s="12" t="n">
        <v>0</v>
      </c>
      <c r="G931" s="12" t="n">
        <v>1</v>
      </c>
      <c r="H931" s="72" t="n"/>
      <c r="I931" s="72" t="n"/>
      <c r="J931" s="72" t="n"/>
      <c r="K931" s="72" t="inlineStr">
        <is>
          <t>3890-0000</t>
        </is>
      </c>
      <c r="L931" s="72" t="n"/>
    </row>
    <row r="932">
      <c r="A932" s="72" t="inlineStr">
        <is>
          <t>3303-2157</t>
        </is>
      </c>
      <c r="B932" s="72" t="inlineStr">
        <is>
          <t>Robert Teverbaugh and Stephen Donart Contribution</t>
        </is>
      </c>
      <c r="C932" s="72" t="inlineStr">
        <is>
          <t>Credit</t>
        </is>
      </c>
      <c r="D932" s="72" t="inlineStr">
        <is>
          <t>Reg</t>
        </is>
      </c>
      <c r="E932" s="72" t="inlineStr">
        <is>
          <t>Bal</t>
        </is>
      </c>
      <c r="F932" s="12" t="n">
        <v>1</v>
      </c>
      <c r="G932" s="12" t="n">
        <v>2</v>
      </c>
      <c r="H932" s="72" t="n"/>
      <c r="I932" s="72" t="n"/>
      <c r="J932" s="72" t="n"/>
      <c r="K932" s="72" t="inlineStr">
        <is>
          <t>3303-2159</t>
        </is>
      </c>
      <c r="L932" s="72" t="inlineStr">
        <is>
          <t>Cash Flow</t>
        </is>
      </c>
    </row>
    <row r="933">
      <c r="A933" s="72" t="inlineStr">
        <is>
          <t>3303-2158</t>
        </is>
      </c>
      <c r="B933" s="72" t="inlineStr">
        <is>
          <t>Robert Teverbaugh and Stephen Donart Distribution</t>
        </is>
      </c>
      <c r="C933" s="72" t="inlineStr">
        <is>
          <t>Credit</t>
        </is>
      </c>
      <c r="D933" s="72" t="inlineStr">
        <is>
          <t>Reg</t>
        </is>
      </c>
      <c r="E933" s="72" t="inlineStr">
        <is>
          <t>Bal</t>
        </is>
      </c>
      <c r="F933" s="12" t="n">
        <v>1</v>
      </c>
      <c r="G933" s="12" t="n">
        <v>1</v>
      </c>
      <c r="H933" s="72" t="n"/>
      <c r="I933" s="72" t="n"/>
      <c r="J933" s="72" t="n"/>
      <c r="K933" s="72" t="inlineStr">
        <is>
          <t>3303-2159</t>
        </is>
      </c>
      <c r="L933" s="72" t="inlineStr">
        <is>
          <t>Cash Flow</t>
        </is>
      </c>
    </row>
    <row r="934">
      <c r="A934" s="72" t="inlineStr">
        <is>
          <t>3303-2159</t>
        </is>
      </c>
      <c r="B934" s="72" t="inlineStr">
        <is>
          <t>ROBERT TEVERBAUGH and STEPHEN DONART TOTAL</t>
        </is>
      </c>
      <c r="C934" s="72" t="inlineStr">
        <is>
          <t>Credit</t>
        </is>
      </c>
      <c r="D934" s="72" t="inlineStr">
        <is>
          <t>Tot</t>
        </is>
      </c>
      <c r="E934" s="72" t="inlineStr">
        <is>
          <t>Bal</t>
        </is>
      </c>
      <c r="F934" s="12" t="n">
        <v>0</v>
      </c>
      <c r="G934" s="12" t="n">
        <v>1</v>
      </c>
      <c r="H934" s="72" t="n"/>
      <c r="I934" s="72" t="n"/>
      <c r="J934" s="72" t="n"/>
      <c r="K934" s="72" t="inlineStr">
        <is>
          <t>3890-0000</t>
        </is>
      </c>
      <c r="L934" s="72" t="n"/>
    </row>
    <row r="935">
      <c r="A935" s="72" t="inlineStr">
        <is>
          <t>3303-2160</t>
        </is>
      </c>
      <c r="B935" s="72" t="inlineStr">
        <is>
          <t>Storsafe DRE JV 2 Contribution</t>
        </is>
      </c>
      <c r="C935" s="72" t="inlineStr">
        <is>
          <t>Credit</t>
        </is>
      </c>
      <c r="D935" s="72" t="inlineStr">
        <is>
          <t>Reg</t>
        </is>
      </c>
      <c r="E935" s="72" t="inlineStr">
        <is>
          <t>Bal</t>
        </is>
      </c>
      <c r="F935" s="12" t="n">
        <v>1</v>
      </c>
      <c r="G935" s="12" t="n">
        <v>2</v>
      </c>
      <c r="H935" s="72" t="n"/>
      <c r="I935" s="72" t="n"/>
      <c r="J935" s="72" t="n"/>
      <c r="K935" s="72" t="inlineStr">
        <is>
          <t>3303-2162</t>
        </is>
      </c>
      <c r="L935" s="72" t="inlineStr">
        <is>
          <t>Cash Flow</t>
        </is>
      </c>
    </row>
    <row r="936">
      <c r="A936" s="72" t="inlineStr">
        <is>
          <t>3303-2161</t>
        </is>
      </c>
      <c r="B936" s="72" t="inlineStr">
        <is>
          <t>Storsafe DRE JV 2 Distribution</t>
        </is>
      </c>
      <c r="C936" s="72" t="inlineStr">
        <is>
          <t>Credit</t>
        </is>
      </c>
      <c r="D936" s="72" t="inlineStr">
        <is>
          <t>Reg</t>
        </is>
      </c>
      <c r="E936" s="72" t="inlineStr">
        <is>
          <t>Bal</t>
        </is>
      </c>
      <c r="F936" s="12" t="n">
        <v>1</v>
      </c>
      <c r="G936" s="12" t="n">
        <v>1</v>
      </c>
      <c r="H936" s="72" t="n"/>
      <c r="I936" s="72" t="n"/>
      <c r="J936" s="72" t="n"/>
      <c r="K936" s="72" t="inlineStr">
        <is>
          <t>3303-2162</t>
        </is>
      </c>
      <c r="L936" s="72" t="inlineStr">
        <is>
          <t>Cash Flow</t>
        </is>
      </c>
    </row>
    <row r="937">
      <c r="A937" s="72" t="inlineStr">
        <is>
          <t>3303-2162</t>
        </is>
      </c>
      <c r="B937" s="72" t="inlineStr">
        <is>
          <t>STORSAFE DRE JV 2 TOTAL</t>
        </is>
      </c>
      <c r="C937" s="72" t="inlineStr">
        <is>
          <t>Credit</t>
        </is>
      </c>
      <c r="D937" s="72" t="inlineStr">
        <is>
          <t>Tot</t>
        </is>
      </c>
      <c r="E937" s="72" t="inlineStr">
        <is>
          <t>Bal</t>
        </is>
      </c>
      <c r="F937" s="12" t="n">
        <v>0</v>
      </c>
      <c r="G937" s="12" t="n">
        <v>1</v>
      </c>
      <c r="H937" s="72" t="n"/>
      <c r="I937" s="72" t="n"/>
      <c r="J937" s="72" t="n"/>
      <c r="K937" s="72" t="inlineStr">
        <is>
          <t>3890-0000</t>
        </is>
      </c>
      <c r="L937" s="72" t="n"/>
    </row>
    <row r="938">
      <c r="A938" s="72" t="inlineStr">
        <is>
          <t>3303-2163</t>
        </is>
      </c>
      <c r="B938" s="72" t="inlineStr">
        <is>
          <t>EP Storsafe 2 Contribution</t>
        </is>
      </c>
      <c r="C938" s="72" t="inlineStr">
        <is>
          <t>Credit</t>
        </is>
      </c>
      <c r="D938" s="72" t="inlineStr">
        <is>
          <t>Reg</t>
        </is>
      </c>
      <c r="E938" s="72" t="inlineStr">
        <is>
          <t>Bal</t>
        </is>
      </c>
      <c r="F938" s="12" t="n">
        <v>1</v>
      </c>
      <c r="G938" s="12" t="n">
        <v>2</v>
      </c>
      <c r="H938" s="72" t="n"/>
      <c r="I938" s="72" t="n"/>
      <c r="J938" s="72" t="n"/>
      <c r="K938" s="72" t="inlineStr">
        <is>
          <t>3303-2165</t>
        </is>
      </c>
      <c r="L938" s="72" t="inlineStr">
        <is>
          <t>Cash Flow</t>
        </is>
      </c>
    </row>
    <row r="939">
      <c r="A939" s="72" t="inlineStr">
        <is>
          <t>3303-2164</t>
        </is>
      </c>
      <c r="B939" s="72" t="inlineStr">
        <is>
          <t>EP Storsafe 2 Distribution</t>
        </is>
      </c>
      <c r="C939" s="72" t="inlineStr">
        <is>
          <t>Credit</t>
        </is>
      </c>
      <c r="D939" s="72" t="inlineStr">
        <is>
          <t>Reg</t>
        </is>
      </c>
      <c r="E939" s="72" t="inlineStr">
        <is>
          <t>Bal</t>
        </is>
      </c>
      <c r="F939" s="12" t="n">
        <v>1</v>
      </c>
      <c r="G939" s="12" t="n">
        <v>1</v>
      </c>
      <c r="H939" s="72" t="n"/>
      <c r="I939" s="72" t="n"/>
      <c r="J939" s="72" t="n"/>
      <c r="K939" s="72" t="inlineStr">
        <is>
          <t>3303-2165</t>
        </is>
      </c>
      <c r="L939" s="72" t="inlineStr">
        <is>
          <t>Cash Flow</t>
        </is>
      </c>
    </row>
    <row r="940">
      <c r="A940" s="72" t="inlineStr">
        <is>
          <t>3303-2165</t>
        </is>
      </c>
      <c r="B940" s="72" t="inlineStr">
        <is>
          <t>EP STORSAFE 2 TOTAL</t>
        </is>
      </c>
      <c r="C940" s="72" t="inlineStr">
        <is>
          <t>Credit</t>
        </is>
      </c>
      <c r="D940" s="72" t="inlineStr">
        <is>
          <t>Tot</t>
        </is>
      </c>
      <c r="E940" s="72" t="inlineStr">
        <is>
          <t>Bal</t>
        </is>
      </c>
      <c r="F940" s="12" t="n">
        <v>0</v>
      </c>
      <c r="G940" s="12" t="n">
        <v>1</v>
      </c>
      <c r="H940" s="72" t="n"/>
      <c r="I940" s="72" t="n"/>
      <c r="J940" s="72" t="n"/>
      <c r="K940" s="72" t="inlineStr">
        <is>
          <t>3890-0000</t>
        </is>
      </c>
      <c r="L940" s="72" t="n"/>
    </row>
    <row r="941">
      <c r="A941" s="72" t="inlineStr">
        <is>
          <t>3303-2166</t>
        </is>
      </c>
      <c r="B941" s="72" t="inlineStr">
        <is>
          <t>DRE Storsafe 2.0 Contribution</t>
        </is>
      </c>
      <c r="C941" s="72" t="inlineStr">
        <is>
          <t>Credit</t>
        </is>
      </c>
      <c r="D941" s="72" t="inlineStr">
        <is>
          <t>Reg</t>
        </is>
      </c>
      <c r="E941" s="72" t="inlineStr">
        <is>
          <t>Bal</t>
        </is>
      </c>
      <c r="F941" s="12" t="n">
        <v>1</v>
      </c>
      <c r="G941" s="12" t="n">
        <v>2</v>
      </c>
      <c r="H941" s="72" t="n"/>
      <c r="I941" s="72" t="n"/>
      <c r="J941" s="72" t="n"/>
      <c r="K941" s="72" t="inlineStr">
        <is>
          <t>3303-2168</t>
        </is>
      </c>
      <c r="L941" s="72" t="inlineStr">
        <is>
          <t>Cash Flow</t>
        </is>
      </c>
    </row>
    <row r="942">
      <c r="A942" s="72" t="inlineStr">
        <is>
          <t>3303-2167</t>
        </is>
      </c>
      <c r="B942" s="72" t="inlineStr">
        <is>
          <t>DRE Storsafe 2.0 Distribution</t>
        </is>
      </c>
      <c r="C942" s="72" t="inlineStr">
        <is>
          <t>Credit</t>
        </is>
      </c>
      <c r="D942" s="72" t="inlineStr">
        <is>
          <t>Reg</t>
        </is>
      </c>
      <c r="E942" s="72" t="inlineStr">
        <is>
          <t>Bal</t>
        </is>
      </c>
      <c r="F942" s="12" t="n">
        <v>1</v>
      </c>
      <c r="G942" s="12" t="n">
        <v>1</v>
      </c>
      <c r="H942" s="72" t="n"/>
      <c r="I942" s="72" t="n"/>
      <c r="J942" s="72" t="n"/>
      <c r="K942" s="72" t="inlineStr">
        <is>
          <t>3303-2168</t>
        </is>
      </c>
      <c r="L942" s="72" t="inlineStr">
        <is>
          <t>Cash Flow</t>
        </is>
      </c>
    </row>
    <row r="943">
      <c r="A943" s="72" t="inlineStr">
        <is>
          <t>3303-2168</t>
        </is>
      </c>
      <c r="B943" s="72" t="inlineStr">
        <is>
          <t>DRE STORSAFE 2.0 LLC TOTAL</t>
        </is>
      </c>
      <c r="C943" s="72" t="inlineStr">
        <is>
          <t>Credit</t>
        </is>
      </c>
      <c r="D943" s="72" t="inlineStr">
        <is>
          <t>Tot</t>
        </is>
      </c>
      <c r="E943" s="72" t="inlineStr">
        <is>
          <t>Bal</t>
        </is>
      </c>
      <c r="F943" s="12" t="n">
        <v>0</v>
      </c>
      <c r="G943" s="12" t="n">
        <v>1</v>
      </c>
      <c r="H943" s="72" t="n"/>
      <c r="I943" s="72" t="n"/>
      <c r="J943" s="72" t="n"/>
      <c r="K943" s="72" t="inlineStr">
        <is>
          <t>3890-0000</t>
        </is>
      </c>
      <c r="L943" s="72" t="n"/>
    </row>
    <row r="944">
      <c r="A944" s="72" t="inlineStr">
        <is>
          <t>3303-2169</t>
        </is>
      </c>
      <c r="B944" s="72" t="inlineStr">
        <is>
          <t>Legacy Community Housing Corp Contribution</t>
        </is>
      </c>
      <c r="C944" s="72" t="inlineStr">
        <is>
          <t>Credit</t>
        </is>
      </c>
      <c r="D944" s="72" t="inlineStr">
        <is>
          <t>Reg</t>
        </is>
      </c>
      <c r="E944" s="72" t="inlineStr">
        <is>
          <t>Bal</t>
        </is>
      </c>
      <c r="F944" s="12" t="n">
        <v>1</v>
      </c>
      <c r="G944" s="12" t="n">
        <v>2</v>
      </c>
      <c r="H944" s="72" t="n"/>
      <c r="I944" s="72" t="n"/>
      <c r="J944" s="72" t="n"/>
      <c r="K944" s="72" t="inlineStr">
        <is>
          <t>3303-2171</t>
        </is>
      </c>
      <c r="L944" s="72" t="inlineStr">
        <is>
          <t>Cash Flow</t>
        </is>
      </c>
    </row>
    <row r="945">
      <c r="A945" s="72" t="inlineStr">
        <is>
          <t>3303-2170</t>
        </is>
      </c>
      <c r="B945" s="72" t="inlineStr">
        <is>
          <t>Legacy Community Housing Corp Distribution</t>
        </is>
      </c>
      <c r="C945" s="72" t="inlineStr">
        <is>
          <t>Credit</t>
        </is>
      </c>
      <c r="D945" s="72" t="inlineStr">
        <is>
          <t>Reg</t>
        </is>
      </c>
      <c r="E945" s="72" t="inlineStr">
        <is>
          <t>Bal</t>
        </is>
      </c>
      <c r="F945" s="12" t="n">
        <v>1</v>
      </c>
      <c r="G945" s="12" t="n">
        <v>1</v>
      </c>
      <c r="H945" s="72" t="n"/>
      <c r="I945" s="72" t="n"/>
      <c r="J945" s="72" t="n"/>
      <c r="K945" s="72" t="inlineStr">
        <is>
          <t>3303-2171</t>
        </is>
      </c>
      <c r="L945" s="72" t="inlineStr">
        <is>
          <t>Cash Flow</t>
        </is>
      </c>
    </row>
    <row r="946">
      <c r="A946" s="72" t="inlineStr">
        <is>
          <t>3303-2171</t>
        </is>
      </c>
      <c r="B946" s="72" t="inlineStr">
        <is>
          <t>LEGACY COMMUNITY HOUSING CORP TOTAL</t>
        </is>
      </c>
      <c r="C946" s="72" t="inlineStr">
        <is>
          <t>Credit</t>
        </is>
      </c>
      <c r="D946" s="72" t="inlineStr">
        <is>
          <t>Tot</t>
        </is>
      </c>
      <c r="E946" s="72" t="inlineStr">
        <is>
          <t>Bal</t>
        </is>
      </c>
      <c r="F946" s="12" t="n">
        <v>0</v>
      </c>
      <c r="G946" s="12" t="n">
        <v>1</v>
      </c>
      <c r="H946" s="72" t="n"/>
      <c r="I946" s="72" t="n"/>
      <c r="J946" s="72" t="n"/>
      <c r="K946" s="72" t="inlineStr">
        <is>
          <t>3890-0000</t>
        </is>
      </c>
      <c r="L946" s="72" t="n"/>
    </row>
    <row r="947">
      <c r="A947" s="72" t="inlineStr">
        <is>
          <t>3303-2172</t>
        </is>
      </c>
      <c r="B947" s="72" t="inlineStr">
        <is>
          <t>Brent Sobol Contribution</t>
        </is>
      </c>
      <c r="C947" s="72" t="inlineStr">
        <is>
          <t>Credit</t>
        </is>
      </c>
      <c r="D947" s="72" t="inlineStr">
        <is>
          <t>Reg</t>
        </is>
      </c>
      <c r="E947" s="72" t="inlineStr">
        <is>
          <t>Bal</t>
        </is>
      </c>
      <c r="F947" s="12" t="n">
        <v>1</v>
      </c>
      <c r="G947" s="12" t="n">
        <v>2</v>
      </c>
      <c r="H947" s="72" t="n"/>
      <c r="I947" s="72" t="n"/>
      <c r="J947" s="72" t="n"/>
      <c r="K947" s="72" t="inlineStr">
        <is>
          <t>3303-2174</t>
        </is>
      </c>
      <c r="L947" s="72" t="inlineStr">
        <is>
          <t>Cash Flow</t>
        </is>
      </c>
    </row>
    <row r="948">
      <c r="A948" s="72" t="inlineStr">
        <is>
          <t>3303-2173</t>
        </is>
      </c>
      <c r="B948" s="72" t="inlineStr">
        <is>
          <t>Brent Sobol Distribution</t>
        </is>
      </c>
      <c r="C948" s="72" t="inlineStr">
        <is>
          <t>Credit</t>
        </is>
      </c>
      <c r="D948" s="72" t="inlineStr">
        <is>
          <t>Reg</t>
        </is>
      </c>
      <c r="E948" s="72" t="inlineStr">
        <is>
          <t>Bal</t>
        </is>
      </c>
      <c r="F948" s="12" t="n">
        <v>1</v>
      </c>
      <c r="G948" s="12" t="n">
        <v>1</v>
      </c>
      <c r="H948" s="72" t="n"/>
      <c r="I948" s="72" t="n"/>
      <c r="J948" s="72" t="n"/>
      <c r="K948" s="72" t="inlineStr">
        <is>
          <t>3303-2174</t>
        </is>
      </c>
      <c r="L948" s="72" t="inlineStr">
        <is>
          <t>Cash Flow</t>
        </is>
      </c>
    </row>
    <row r="949">
      <c r="A949" s="72" t="inlineStr">
        <is>
          <t>3303-2174</t>
        </is>
      </c>
      <c r="B949" s="72" t="inlineStr">
        <is>
          <t>BRENT SOBOL TOTAL</t>
        </is>
      </c>
      <c r="C949" s="72" t="inlineStr">
        <is>
          <t>Credit</t>
        </is>
      </c>
      <c r="D949" s="72" t="inlineStr">
        <is>
          <t>Tot</t>
        </is>
      </c>
      <c r="E949" s="72" t="inlineStr">
        <is>
          <t>Bal</t>
        </is>
      </c>
      <c r="F949" s="12" t="n">
        <v>0</v>
      </c>
      <c r="G949" s="12" t="n">
        <v>1</v>
      </c>
      <c r="H949" s="72" t="n"/>
      <c r="I949" s="72" t="n"/>
      <c r="J949" s="72" t="n"/>
      <c r="K949" s="72" t="inlineStr">
        <is>
          <t>3890-0000</t>
        </is>
      </c>
      <c r="L949" s="72" t="n"/>
    </row>
    <row r="950">
      <c r="A950" s="72" t="inlineStr">
        <is>
          <t>3303-2175</t>
        </is>
      </c>
      <c r="B950" s="72" t="inlineStr">
        <is>
          <t>Bradley S. M. Dworkin Revocable Trust dated 9-5-2002 Contrib</t>
        </is>
      </c>
      <c r="C950" s="72" t="inlineStr">
        <is>
          <t>Credit</t>
        </is>
      </c>
      <c r="D950" s="72" t="inlineStr">
        <is>
          <t>Reg</t>
        </is>
      </c>
      <c r="E950" s="72" t="inlineStr">
        <is>
          <t>Bal</t>
        </is>
      </c>
      <c r="F950" s="12" t="n">
        <v>1</v>
      </c>
      <c r="G950" s="12" t="n">
        <v>2</v>
      </c>
      <c r="H950" s="72" t="n"/>
      <c r="I950" s="72" t="n"/>
      <c r="J950" s="72" t="n"/>
      <c r="K950" s="72" t="inlineStr">
        <is>
          <t>3303-2177</t>
        </is>
      </c>
      <c r="L950" s="72" t="inlineStr">
        <is>
          <t>Cash Flow</t>
        </is>
      </c>
    </row>
    <row r="951">
      <c r="A951" s="72" t="inlineStr">
        <is>
          <t>3303-2176</t>
        </is>
      </c>
      <c r="B951" s="72" t="inlineStr">
        <is>
          <t>Bradley S. M. Dworkin Revocable Trust dated 9-5-2002 Distrib</t>
        </is>
      </c>
      <c r="C951" s="72" t="inlineStr">
        <is>
          <t>Credit</t>
        </is>
      </c>
      <c r="D951" s="72" t="inlineStr">
        <is>
          <t>Reg</t>
        </is>
      </c>
      <c r="E951" s="72" t="inlineStr">
        <is>
          <t>Bal</t>
        </is>
      </c>
      <c r="F951" s="12" t="n">
        <v>1</v>
      </c>
      <c r="G951" s="12" t="n">
        <v>1</v>
      </c>
      <c r="H951" s="72" t="n"/>
      <c r="I951" s="72" t="n"/>
      <c r="J951" s="72" t="n"/>
      <c r="K951" s="72" t="inlineStr">
        <is>
          <t>3303-2177</t>
        </is>
      </c>
      <c r="L951" s="72" t="inlineStr">
        <is>
          <t>Cash Flow</t>
        </is>
      </c>
    </row>
    <row r="952">
      <c r="A952" s="72" t="inlineStr">
        <is>
          <t>3303-2177</t>
        </is>
      </c>
      <c r="B952" s="72" t="inlineStr">
        <is>
          <t>BRADLEY S. M. DWORKIN REVOCABLE TRUST DATED 9-5-2002 TOTAL</t>
        </is>
      </c>
      <c r="C952" s="72" t="inlineStr">
        <is>
          <t>Credit</t>
        </is>
      </c>
      <c r="D952" s="72" t="inlineStr">
        <is>
          <t>Tot</t>
        </is>
      </c>
      <c r="E952" s="72" t="inlineStr">
        <is>
          <t>Bal</t>
        </is>
      </c>
      <c r="F952" s="12" t="n">
        <v>0</v>
      </c>
      <c r="G952" s="12" t="n">
        <v>1</v>
      </c>
      <c r="H952" s="72" t="n"/>
      <c r="I952" s="72" t="n"/>
      <c r="J952" s="72" t="n"/>
      <c r="K952" s="72" t="inlineStr">
        <is>
          <t>3890-0000</t>
        </is>
      </c>
      <c r="L952" s="72" t="n"/>
    </row>
    <row r="953">
      <c r="A953" s="72" t="inlineStr">
        <is>
          <t>3303-2178</t>
        </is>
      </c>
      <c r="B953" s="72" t="inlineStr">
        <is>
          <t>Mitze Amoroso Contribution</t>
        </is>
      </c>
      <c r="C953" s="72" t="inlineStr">
        <is>
          <t>Credit</t>
        </is>
      </c>
      <c r="D953" s="72" t="inlineStr">
        <is>
          <t>Reg</t>
        </is>
      </c>
      <c r="E953" s="72" t="inlineStr">
        <is>
          <t>Bal</t>
        </is>
      </c>
      <c r="F953" s="12" t="n">
        <v>1</v>
      </c>
      <c r="G953" s="12" t="n">
        <v>2</v>
      </c>
      <c r="H953" s="72" t="n"/>
      <c r="I953" s="72" t="n"/>
      <c r="J953" s="72" t="n"/>
      <c r="K953" s="72" t="inlineStr">
        <is>
          <t>3303-2180</t>
        </is>
      </c>
      <c r="L953" s="72" t="inlineStr">
        <is>
          <t>Cash Flow</t>
        </is>
      </c>
    </row>
    <row r="954">
      <c r="A954" s="72" t="inlineStr">
        <is>
          <t>3303-2179</t>
        </is>
      </c>
      <c r="B954" s="72" t="inlineStr">
        <is>
          <t>Mitze Amoroso Distribution</t>
        </is>
      </c>
      <c r="C954" s="72" t="inlineStr">
        <is>
          <t>Credit</t>
        </is>
      </c>
      <c r="D954" s="72" t="inlineStr">
        <is>
          <t>Reg</t>
        </is>
      </c>
      <c r="E954" s="72" t="inlineStr">
        <is>
          <t>Bal</t>
        </is>
      </c>
      <c r="F954" s="12" t="n">
        <v>1</v>
      </c>
      <c r="G954" s="12" t="n">
        <v>1</v>
      </c>
      <c r="H954" s="72" t="n"/>
      <c r="I954" s="72" t="n"/>
      <c r="J954" s="72" t="n"/>
      <c r="K954" s="72" t="inlineStr">
        <is>
          <t>3303-2180</t>
        </is>
      </c>
      <c r="L954" s="72" t="inlineStr">
        <is>
          <t>Cash Flow</t>
        </is>
      </c>
    </row>
    <row r="955">
      <c r="A955" s="72" t="inlineStr">
        <is>
          <t>3303-2180</t>
        </is>
      </c>
      <c r="B955" s="72" t="inlineStr">
        <is>
          <t>MITZE AMOROSO TOTAL</t>
        </is>
      </c>
      <c r="C955" s="72" t="inlineStr">
        <is>
          <t>Credit</t>
        </is>
      </c>
      <c r="D955" s="72" t="inlineStr">
        <is>
          <t>Tot</t>
        </is>
      </c>
      <c r="E955" s="72" t="inlineStr">
        <is>
          <t>Bal</t>
        </is>
      </c>
      <c r="F955" s="12" t="n">
        <v>0</v>
      </c>
      <c r="G955" s="12" t="n">
        <v>1</v>
      </c>
      <c r="H955" s="72" t="n"/>
      <c r="I955" s="72" t="n"/>
      <c r="J955" s="72" t="n"/>
      <c r="K955" s="72" t="inlineStr">
        <is>
          <t>3890-0000</t>
        </is>
      </c>
      <c r="L955" s="72" t="n"/>
    </row>
    <row r="956">
      <c r="A956" s="72" t="inlineStr">
        <is>
          <t>3303-2181</t>
        </is>
      </c>
      <c r="B956" s="72" t="inlineStr">
        <is>
          <t>Kelli Kosmatka Contribution</t>
        </is>
      </c>
      <c r="C956" s="72" t="inlineStr">
        <is>
          <t>Credit</t>
        </is>
      </c>
      <c r="D956" s="72" t="inlineStr">
        <is>
          <t>Reg</t>
        </is>
      </c>
      <c r="E956" s="72" t="inlineStr">
        <is>
          <t>Bal</t>
        </is>
      </c>
      <c r="F956" s="12" t="n">
        <v>1</v>
      </c>
      <c r="G956" s="12" t="n">
        <v>2</v>
      </c>
      <c r="H956" s="72" t="n"/>
      <c r="I956" s="72" t="n"/>
      <c r="J956" s="72" t="n"/>
      <c r="K956" s="72" t="inlineStr">
        <is>
          <t>3303-2183</t>
        </is>
      </c>
      <c r="L956" s="72" t="inlineStr">
        <is>
          <t>Cash Flow</t>
        </is>
      </c>
    </row>
    <row r="957">
      <c r="A957" s="72" t="inlineStr">
        <is>
          <t>3303-2182</t>
        </is>
      </c>
      <c r="B957" s="72" t="inlineStr">
        <is>
          <t>Kelli Kosmatka Distribution</t>
        </is>
      </c>
      <c r="C957" s="72" t="inlineStr">
        <is>
          <t>Credit</t>
        </is>
      </c>
      <c r="D957" s="72" t="inlineStr">
        <is>
          <t>Reg</t>
        </is>
      </c>
      <c r="E957" s="72" t="inlineStr">
        <is>
          <t>Bal</t>
        </is>
      </c>
      <c r="F957" s="12" t="n">
        <v>1</v>
      </c>
      <c r="G957" s="12" t="n">
        <v>1</v>
      </c>
      <c r="H957" s="72" t="n"/>
      <c r="I957" s="72" t="n"/>
      <c r="J957" s="72" t="n"/>
      <c r="K957" s="72" t="inlineStr">
        <is>
          <t>3303-2183</t>
        </is>
      </c>
      <c r="L957" s="72" t="inlineStr">
        <is>
          <t>Cash Flow</t>
        </is>
      </c>
    </row>
    <row r="958">
      <c r="A958" s="72" t="inlineStr">
        <is>
          <t>3303-2183</t>
        </is>
      </c>
      <c r="B958" s="72" t="inlineStr">
        <is>
          <t>KELLI KOSMATKA TOTAL</t>
        </is>
      </c>
      <c r="C958" s="72" t="inlineStr">
        <is>
          <t>Credit</t>
        </is>
      </c>
      <c r="D958" s="72" t="inlineStr">
        <is>
          <t>Tot</t>
        </is>
      </c>
      <c r="E958" s="72" t="inlineStr">
        <is>
          <t>Bal</t>
        </is>
      </c>
      <c r="F958" s="12" t="n">
        <v>0</v>
      </c>
      <c r="G958" s="12" t="n">
        <v>1</v>
      </c>
      <c r="H958" s="72" t="n"/>
      <c r="I958" s="72" t="n"/>
      <c r="J958" s="72" t="n"/>
      <c r="K958" s="72" t="inlineStr">
        <is>
          <t>3890-0000</t>
        </is>
      </c>
      <c r="L958" s="72" t="n"/>
    </row>
    <row r="959">
      <c r="A959" s="72" t="inlineStr">
        <is>
          <t>3303-2184</t>
        </is>
      </c>
      <c r="B959" s="72" t="inlineStr">
        <is>
          <t>Ruta Susinskas Contribution</t>
        </is>
      </c>
      <c r="C959" s="72" t="inlineStr">
        <is>
          <t>Credit</t>
        </is>
      </c>
      <c r="D959" s="72" t="inlineStr">
        <is>
          <t>Reg</t>
        </is>
      </c>
      <c r="E959" s="72" t="inlineStr">
        <is>
          <t>Bal</t>
        </is>
      </c>
      <c r="F959" s="12" t="n">
        <v>1</v>
      </c>
      <c r="G959" s="12" t="n">
        <v>2</v>
      </c>
      <c r="H959" s="72" t="n"/>
      <c r="I959" s="72" t="n"/>
      <c r="J959" s="72" t="n"/>
      <c r="K959" s="72" t="inlineStr">
        <is>
          <t>3303-2186</t>
        </is>
      </c>
      <c r="L959" s="72" t="inlineStr">
        <is>
          <t>Cash Flow</t>
        </is>
      </c>
    </row>
    <row r="960">
      <c r="A960" s="72" t="inlineStr">
        <is>
          <t>3303-2185</t>
        </is>
      </c>
      <c r="B960" s="72" t="inlineStr">
        <is>
          <t>Ruta Susinskas Distribution</t>
        </is>
      </c>
      <c r="C960" s="72" t="inlineStr">
        <is>
          <t>Credit</t>
        </is>
      </c>
      <c r="D960" s="72" t="inlineStr">
        <is>
          <t>Reg</t>
        </is>
      </c>
      <c r="E960" s="72" t="inlineStr">
        <is>
          <t>Bal</t>
        </is>
      </c>
      <c r="F960" s="12" t="n">
        <v>1</v>
      </c>
      <c r="G960" s="12" t="n">
        <v>1</v>
      </c>
      <c r="H960" s="72" t="n"/>
      <c r="I960" s="72" t="n"/>
      <c r="J960" s="72" t="n"/>
      <c r="K960" s="72" t="inlineStr">
        <is>
          <t>3303-2186</t>
        </is>
      </c>
      <c r="L960" s="72" t="inlineStr">
        <is>
          <t>Cash Flow</t>
        </is>
      </c>
    </row>
    <row r="961">
      <c r="A961" s="72" t="inlineStr">
        <is>
          <t>3303-2186</t>
        </is>
      </c>
      <c r="B961" s="72" t="inlineStr">
        <is>
          <t>RUTA SUSINSKAS TOTAL</t>
        </is>
      </c>
      <c r="C961" s="72" t="inlineStr">
        <is>
          <t>Credit</t>
        </is>
      </c>
      <c r="D961" s="72" t="inlineStr">
        <is>
          <t>Tot</t>
        </is>
      </c>
      <c r="E961" s="72" t="inlineStr">
        <is>
          <t>Bal</t>
        </is>
      </c>
      <c r="F961" s="12" t="n">
        <v>0</v>
      </c>
      <c r="G961" s="12" t="n">
        <v>1</v>
      </c>
      <c r="H961" s="72" t="n"/>
      <c r="I961" s="72" t="n"/>
      <c r="J961" s="72" t="n"/>
      <c r="K961" s="72" t="inlineStr">
        <is>
          <t>3890-0000</t>
        </is>
      </c>
      <c r="L961" s="72" t="n"/>
    </row>
    <row r="962">
      <c r="A962" s="72" t="inlineStr">
        <is>
          <t>3303-2187</t>
        </is>
      </c>
      <c r="B962" s="72" t="inlineStr">
        <is>
          <t>Steve Goodman Contribution</t>
        </is>
      </c>
      <c r="C962" s="72" t="inlineStr">
        <is>
          <t>Credit</t>
        </is>
      </c>
      <c r="D962" s="72" t="inlineStr">
        <is>
          <t>Reg</t>
        </is>
      </c>
      <c r="E962" s="72" t="inlineStr">
        <is>
          <t>Bal</t>
        </is>
      </c>
      <c r="F962" s="12" t="n">
        <v>1</v>
      </c>
      <c r="G962" s="12" t="n">
        <v>2</v>
      </c>
      <c r="H962" s="72" t="n"/>
      <c r="I962" s="72" t="n"/>
      <c r="J962" s="72" t="n"/>
      <c r="K962" s="72" t="inlineStr">
        <is>
          <t>3303-2189</t>
        </is>
      </c>
      <c r="L962" s="72" t="inlineStr">
        <is>
          <t>Cash Flow</t>
        </is>
      </c>
    </row>
    <row r="963">
      <c r="A963" s="72" t="inlineStr">
        <is>
          <t>3303-2188</t>
        </is>
      </c>
      <c r="B963" s="72" t="inlineStr">
        <is>
          <t>Steve Goodman Distribution</t>
        </is>
      </c>
      <c r="C963" s="72" t="inlineStr">
        <is>
          <t>Credit</t>
        </is>
      </c>
      <c r="D963" s="72" t="inlineStr">
        <is>
          <t>Reg</t>
        </is>
      </c>
      <c r="E963" s="72" t="inlineStr">
        <is>
          <t>Bal</t>
        </is>
      </c>
      <c r="F963" s="12" t="n">
        <v>1</v>
      </c>
      <c r="G963" s="12" t="n">
        <v>1</v>
      </c>
      <c r="H963" s="72" t="n"/>
      <c r="I963" s="72" t="n"/>
      <c r="J963" s="72" t="n"/>
      <c r="K963" s="72" t="inlineStr">
        <is>
          <t>3303-2189</t>
        </is>
      </c>
      <c r="L963" s="72" t="inlineStr">
        <is>
          <t>Cash Flow</t>
        </is>
      </c>
    </row>
    <row r="964">
      <c r="A964" s="72" t="inlineStr">
        <is>
          <t>3303-2189</t>
        </is>
      </c>
      <c r="B964" s="72" t="inlineStr">
        <is>
          <t>STEVE GOODMAN TOTAL</t>
        </is>
      </c>
      <c r="C964" s="72" t="inlineStr">
        <is>
          <t>Credit</t>
        </is>
      </c>
      <c r="D964" s="72" t="inlineStr">
        <is>
          <t>Tot</t>
        </is>
      </c>
      <c r="E964" s="72" t="inlineStr">
        <is>
          <t>Bal</t>
        </is>
      </c>
      <c r="F964" s="12" t="n">
        <v>0</v>
      </c>
      <c r="G964" s="12" t="n">
        <v>1</v>
      </c>
      <c r="H964" s="72" t="n"/>
      <c r="I964" s="72" t="n"/>
      <c r="J964" s="72" t="n"/>
      <c r="K964" s="72" t="inlineStr">
        <is>
          <t>3890-0000</t>
        </is>
      </c>
      <c r="L964" s="72" t="n"/>
    </row>
    <row r="965">
      <c r="A965" s="72" t="inlineStr">
        <is>
          <t>3303-2190</t>
        </is>
      </c>
      <c r="B965" s="72" t="inlineStr">
        <is>
          <t>Balduf Enterprises LLC Contribution</t>
        </is>
      </c>
      <c r="C965" s="72" t="inlineStr">
        <is>
          <t>Credit</t>
        </is>
      </c>
      <c r="D965" s="72" t="inlineStr">
        <is>
          <t>Reg</t>
        </is>
      </c>
      <c r="E965" s="72" t="inlineStr">
        <is>
          <t>Bal</t>
        </is>
      </c>
      <c r="F965" s="12" t="n">
        <v>1</v>
      </c>
      <c r="G965" s="12" t="n">
        <v>2</v>
      </c>
      <c r="H965" s="72" t="n"/>
      <c r="I965" s="72" t="n"/>
      <c r="J965" s="72" t="n"/>
      <c r="K965" s="72" t="inlineStr">
        <is>
          <t>3303-2192</t>
        </is>
      </c>
      <c r="L965" s="72" t="inlineStr">
        <is>
          <t>Cash Flow</t>
        </is>
      </c>
    </row>
    <row r="966">
      <c r="A966" s="72" t="inlineStr">
        <is>
          <t>3303-2191</t>
        </is>
      </c>
      <c r="B966" s="72" t="inlineStr">
        <is>
          <t>Balduf Enterprises LLC Distribution</t>
        </is>
      </c>
      <c r="C966" s="72" t="inlineStr">
        <is>
          <t>Credit</t>
        </is>
      </c>
      <c r="D966" s="72" t="inlineStr">
        <is>
          <t>Reg</t>
        </is>
      </c>
      <c r="E966" s="72" t="inlineStr">
        <is>
          <t>Bal</t>
        </is>
      </c>
      <c r="F966" s="12" t="n">
        <v>1</v>
      </c>
      <c r="G966" s="12" t="n">
        <v>1</v>
      </c>
      <c r="H966" s="72" t="n"/>
      <c r="I966" s="72" t="n"/>
      <c r="J966" s="72" t="n"/>
      <c r="K966" s="72" t="inlineStr">
        <is>
          <t>3303-2192</t>
        </is>
      </c>
      <c r="L966" s="72" t="inlineStr">
        <is>
          <t>Cash Flow</t>
        </is>
      </c>
    </row>
    <row r="967">
      <c r="A967" s="72" t="inlineStr">
        <is>
          <t>3303-2192</t>
        </is>
      </c>
      <c r="B967" s="72" t="inlineStr">
        <is>
          <t>BALDUF ENTERPRISES LLC TOTAL</t>
        </is>
      </c>
      <c r="C967" s="72" t="inlineStr">
        <is>
          <t>Credit</t>
        </is>
      </c>
      <c r="D967" s="72" t="inlineStr">
        <is>
          <t>Tot</t>
        </is>
      </c>
      <c r="E967" s="72" t="inlineStr">
        <is>
          <t>Bal</t>
        </is>
      </c>
      <c r="F967" s="12" t="n">
        <v>0</v>
      </c>
      <c r="G967" s="12" t="n">
        <v>1</v>
      </c>
      <c r="H967" s="72" t="n"/>
      <c r="I967" s="72" t="n"/>
      <c r="J967" s="72" t="n"/>
      <c r="K967" s="72" t="inlineStr">
        <is>
          <t>3890-0000</t>
        </is>
      </c>
      <c r="L967" s="72" t="n"/>
    </row>
    <row r="968">
      <c r="A968" s="72" t="inlineStr">
        <is>
          <t>3303-2193</t>
        </is>
      </c>
      <c r="B968" s="72" t="inlineStr">
        <is>
          <t>Lionshare Enterprises LLC Contribution</t>
        </is>
      </c>
      <c r="C968" s="72" t="inlineStr">
        <is>
          <t>Credit</t>
        </is>
      </c>
      <c r="D968" s="72" t="inlineStr">
        <is>
          <t>Reg</t>
        </is>
      </c>
      <c r="E968" s="72" t="inlineStr">
        <is>
          <t>Bal</t>
        </is>
      </c>
      <c r="F968" s="12" t="n">
        <v>1</v>
      </c>
      <c r="G968" s="12" t="n">
        <v>2</v>
      </c>
      <c r="H968" s="72" t="n"/>
      <c r="I968" s="72" t="n"/>
      <c r="J968" s="72" t="n"/>
      <c r="K968" s="72" t="inlineStr">
        <is>
          <t>3303-2196</t>
        </is>
      </c>
      <c r="L968" s="72" t="inlineStr">
        <is>
          <t>Cash Flow</t>
        </is>
      </c>
    </row>
    <row r="969">
      <c r="A969" s="72" t="inlineStr">
        <is>
          <t>3303-2194</t>
        </is>
      </c>
      <c r="B969" s="72" t="inlineStr">
        <is>
          <t>Lionshare Enterprises LLC Distrbution</t>
        </is>
      </c>
      <c r="C969" s="72" t="inlineStr">
        <is>
          <t>Credit</t>
        </is>
      </c>
      <c r="D969" s="72" t="inlineStr">
        <is>
          <t>Reg</t>
        </is>
      </c>
      <c r="E969" s="72" t="inlineStr">
        <is>
          <t>Bal</t>
        </is>
      </c>
      <c r="F969" s="12" t="n">
        <v>1</v>
      </c>
      <c r="G969" s="12" t="n">
        <v>1</v>
      </c>
      <c r="H969" s="72" t="n"/>
      <c r="I969" s="72" t="n"/>
      <c r="J969" s="72" t="n"/>
      <c r="K969" s="72" t="inlineStr">
        <is>
          <t>3303-2196</t>
        </is>
      </c>
      <c r="L969" s="72" t="inlineStr">
        <is>
          <t>Cash Flow</t>
        </is>
      </c>
    </row>
    <row r="970">
      <c r="A970" s="72" t="inlineStr">
        <is>
          <t>3303-2195</t>
        </is>
      </c>
      <c r="B970" s="72" t="inlineStr">
        <is>
          <t>DO NOT USE</t>
        </is>
      </c>
      <c r="C970" s="72" t="inlineStr">
        <is>
          <t>Debit</t>
        </is>
      </c>
      <c r="D970" s="72" t="inlineStr">
        <is>
          <t>Reg</t>
        </is>
      </c>
      <c r="E970" s="72" t="inlineStr">
        <is>
          <t>Inc</t>
        </is>
      </c>
      <c r="F970" s="12" t="n">
        <v>0</v>
      </c>
      <c r="G970" s="12" t="n">
        <v>1</v>
      </c>
      <c r="H970" s="72" t="n"/>
      <c r="I970" s="72" t="n"/>
      <c r="J970" s="72" t="n"/>
      <c r="K970" s="72" t="n"/>
      <c r="L970" s="72" t="inlineStr">
        <is>
          <t>Exclude</t>
        </is>
      </c>
    </row>
    <row r="971">
      <c r="A971" s="72" t="inlineStr">
        <is>
          <t>3303-2196</t>
        </is>
      </c>
      <c r="B971" s="72" t="inlineStr">
        <is>
          <t>LIONSHARE ENTERPRISES LLC TOTAL</t>
        </is>
      </c>
      <c r="C971" s="72" t="inlineStr">
        <is>
          <t>Credit</t>
        </is>
      </c>
      <c r="D971" s="72" t="inlineStr">
        <is>
          <t>Tot</t>
        </is>
      </c>
      <c r="E971" s="72" t="inlineStr">
        <is>
          <t>Bal</t>
        </is>
      </c>
      <c r="F971" s="12" t="n">
        <v>0</v>
      </c>
      <c r="G971" s="12" t="n">
        <v>1</v>
      </c>
      <c r="H971" s="72" t="n"/>
      <c r="I971" s="72" t="n"/>
      <c r="J971" s="72" t="n"/>
      <c r="K971" s="72" t="inlineStr">
        <is>
          <t>3890-0000</t>
        </is>
      </c>
      <c r="L971" s="72" t="n"/>
    </row>
    <row r="972">
      <c r="A972" s="72" t="inlineStr">
        <is>
          <t>3303-2197</t>
        </is>
      </c>
      <c r="B972" s="72" t="inlineStr">
        <is>
          <t>Marcin Jakubowski Contribution</t>
        </is>
      </c>
      <c r="C972" s="72" t="inlineStr">
        <is>
          <t>Credit</t>
        </is>
      </c>
      <c r="D972" s="72" t="inlineStr">
        <is>
          <t>Reg</t>
        </is>
      </c>
      <c r="E972" s="72" t="inlineStr">
        <is>
          <t>Bal</t>
        </is>
      </c>
      <c r="F972" s="12" t="n">
        <v>1</v>
      </c>
      <c r="G972" s="12" t="n">
        <v>2</v>
      </c>
      <c r="H972" s="72" t="n"/>
      <c r="I972" s="72" t="n"/>
      <c r="J972" s="72" t="n"/>
      <c r="K972" s="72" t="inlineStr">
        <is>
          <t>3303-2199</t>
        </is>
      </c>
      <c r="L972" s="72" t="inlineStr">
        <is>
          <t>Cash Flow</t>
        </is>
      </c>
    </row>
    <row r="973">
      <c r="A973" s="72" t="inlineStr">
        <is>
          <t>3303-2198</t>
        </is>
      </c>
      <c r="B973" s="72" t="inlineStr">
        <is>
          <t>Marcin Jakubowski Distribution</t>
        </is>
      </c>
      <c r="C973" s="72" t="inlineStr">
        <is>
          <t>Credit</t>
        </is>
      </c>
      <c r="D973" s="72" t="inlineStr">
        <is>
          <t>Reg</t>
        </is>
      </c>
      <c r="E973" s="72" t="inlineStr">
        <is>
          <t>Bal</t>
        </is>
      </c>
      <c r="F973" s="12" t="n">
        <v>1</v>
      </c>
      <c r="G973" s="12" t="n">
        <v>1</v>
      </c>
      <c r="H973" s="72" t="n"/>
      <c r="I973" s="72" t="n"/>
      <c r="J973" s="72" t="n"/>
      <c r="K973" s="72" t="inlineStr">
        <is>
          <t>3303-2199</t>
        </is>
      </c>
      <c r="L973" s="72" t="inlineStr">
        <is>
          <t>Cash Flow</t>
        </is>
      </c>
    </row>
    <row r="974">
      <c r="A974" s="72" t="inlineStr">
        <is>
          <t>3303-2199</t>
        </is>
      </c>
      <c r="B974" s="72" t="inlineStr">
        <is>
          <t>MARCIN JAKUBOWSKI TOTAL</t>
        </is>
      </c>
      <c r="C974" s="72" t="inlineStr">
        <is>
          <t>Credit</t>
        </is>
      </c>
      <c r="D974" s="72" t="inlineStr">
        <is>
          <t>Tot</t>
        </is>
      </c>
      <c r="E974" s="72" t="inlineStr">
        <is>
          <t>Bal</t>
        </is>
      </c>
      <c r="F974" s="12" t="n">
        <v>0</v>
      </c>
      <c r="G974" s="12" t="n">
        <v>1</v>
      </c>
      <c r="H974" s="72" t="n"/>
      <c r="I974" s="72" t="n"/>
      <c r="J974" s="72" t="n"/>
      <c r="K974" s="72" t="inlineStr">
        <is>
          <t>3890-0000</t>
        </is>
      </c>
      <c r="L974" s="72" t="n"/>
    </row>
    <row r="975">
      <c r="A975" s="72" t="inlineStr">
        <is>
          <t>3303-2200</t>
        </is>
      </c>
      <c r="B975" s="72" t="inlineStr">
        <is>
          <t>Adam Wroblewski Contribution</t>
        </is>
      </c>
      <c r="C975" s="72" t="inlineStr">
        <is>
          <t>Credit</t>
        </is>
      </c>
      <c r="D975" s="72" t="inlineStr">
        <is>
          <t>Reg</t>
        </is>
      </c>
      <c r="E975" s="72" t="inlineStr">
        <is>
          <t>Bal</t>
        </is>
      </c>
      <c r="F975" s="12" t="n">
        <v>1</v>
      </c>
      <c r="G975" s="12" t="n">
        <v>2</v>
      </c>
      <c r="H975" s="72" t="n"/>
      <c r="I975" s="72" t="n"/>
      <c r="J975" s="72" t="n"/>
      <c r="K975" s="72" t="inlineStr">
        <is>
          <t>3303-2202</t>
        </is>
      </c>
      <c r="L975" s="72" t="inlineStr">
        <is>
          <t>Cash Flow</t>
        </is>
      </c>
    </row>
    <row r="976">
      <c r="A976" s="72" t="inlineStr">
        <is>
          <t>3303-2201</t>
        </is>
      </c>
      <c r="B976" s="72" t="inlineStr">
        <is>
          <t>Adam Wroblewski Distribution</t>
        </is>
      </c>
      <c r="C976" s="72" t="inlineStr">
        <is>
          <t>Credit</t>
        </is>
      </c>
      <c r="D976" s="72" t="inlineStr">
        <is>
          <t>Reg</t>
        </is>
      </c>
      <c r="E976" s="72" t="inlineStr">
        <is>
          <t>Bal</t>
        </is>
      </c>
      <c r="F976" s="12" t="n">
        <v>1</v>
      </c>
      <c r="G976" s="12" t="n">
        <v>1</v>
      </c>
      <c r="H976" s="72" t="n"/>
      <c r="I976" s="72" t="n"/>
      <c r="J976" s="72" t="n"/>
      <c r="K976" s="72" t="inlineStr">
        <is>
          <t>3303-2202</t>
        </is>
      </c>
      <c r="L976" s="72" t="inlineStr">
        <is>
          <t>Cash Flow</t>
        </is>
      </c>
    </row>
    <row r="977">
      <c r="A977" s="72" t="inlineStr">
        <is>
          <t>3303-2202</t>
        </is>
      </c>
      <c r="B977" s="72" t="inlineStr">
        <is>
          <t>ADAM WROBLEWSKI TOTAL</t>
        </is>
      </c>
      <c r="C977" s="72" t="inlineStr">
        <is>
          <t>Credit</t>
        </is>
      </c>
      <c r="D977" s="72" t="inlineStr">
        <is>
          <t>Tot</t>
        </is>
      </c>
      <c r="E977" s="72" t="inlineStr">
        <is>
          <t>Bal</t>
        </is>
      </c>
      <c r="F977" s="12" t="n">
        <v>0</v>
      </c>
      <c r="G977" s="12" t="n">
        <v>1</v>
      </c>
      <c r="H977" s="72" t="n"/>
      <c r="I977" s="72" t="n"/>
      <c r="J977" s="72" t="n"/>
      <c r="K977" s="72" t="inlineStr">
        <is>
          <t>3890-0000</t>
        </is>
      </c>
      <c r="L977" s="72" t="n"/>
    </row>
    <row r="978">
      <c r="A978" s="72" t="inlineStr">
        <is>
          <t>3303-2203</t>
        </is>
      </c>
      <c r="B978" s="72" t="inlineStr">
        <is>
          <t>Abby Polin Contribution</t>
        </is>
      </c>
      <c r="C978" s="72" t="inlineStr">
        <is>
          <t>Credit</t>
        </is>
      </c>
      <c r="D978" s="72" t="inlineStr">
        <is>
          <t>Reg</t>
        </is>
      </c>
      <c r="E978" s="72" t="inlineStr">
        <is>
          <t>Bal</t>
        </is>
      </c>
      <c r="F978" s="12" t="n">
        <v>1</v>
      </c>
      <c r="G978" s="12" t="n">
        <v>2</v>
      </c>
      <c r="H978" s="72" t="n"/>
      <c r="I978" s="72" t="n"/>
      <c r="J978" s="72" t="n"/>
      <c r="K978" s="72" t="inlineStr">
        <is>
          <t>3303-2205</t>
        </is>
      </c>
      <c r="L978" s="72" t="inlineStr">
        <is>
          <t>Cash Flow</t>
        </is>
      </c>
    </row>
    <row r="979">
      <c r="A979" s="72" t="inlineStr">
        <is>
          <t>3303-2204</t>
        </is>
      </c>
      <c r="B979" s="72" t="inlineStr">
        <is>
          <t>Abby Polin Distribution</t>
        </is>
      </c>
      <c r="C979" s="72" t="inlineStr">
        <is>
          <t>Credit</t>
        </is>
      </c>
      <c r="D979" s="72" t="inlineStr">
        <is>
          <t>Reg</t>
        </is>
      </c>
      <c r="E979" s="72" t="inlineStr">
        <is>
          <t>Bal</t>
        </is>
      </c>
      <c r="F979" s="12" t="n">
        <v>1</v>
      </c>
      <c r="G979" s="12" t="n">
        <v>1</v>
      </c>
      <c r="H979" s="72" t="n"/>
      <c r="I979" s="72" t="n"/>
      <c r="J979" s="72" t="n"/>
      <c r="K979" s="72" t="inlineStr">
        <is>
          <t>3303-2205</t>
        </is>
      </c>
      <c r="L979" s="72" t="inlineStr">
        <is>
          <t>Cash Flow</t>
        </is>
      </c>
    </row>
    <row r="980">
      <c r="A980" s="72" t="inlineStr">
        <is>
          <t>3303-2205</t>
        </is>
      </c>
      <c r="B980" s="72" t="inlineStr">
        <is>
          <t>ABBY POLIN TOTAL</t>
        </is>
      </c>
      <c r="C980" s="72" t="inlineStr">
        <is>
          <t>Credit</t>
        </is>
      </c>
      <c r="D980" s="72" t="inlineStr">
        <is>
          <t>Tot</t>
        </is>
      </c>
      <c r="E980" s="72" t="inlineStr">
        <is>
          <t>Bal</t>
        </is>
      </c>
      <c r="F980" s="12" t="n">
        <v>0</v>
      </c>
      <c r="G980" s="12" t="n">
        <v>1</v>
      </c>
      <c r="H980" s="72" t="n"/>
      <c r="I980" s="72" t="n"/>
      <c r="J980" s="72" t="n"/>
      <c r="K980" s="72" t="inlineStr">
        <is>
          <t>3890-0000</t>
        </is>
      </c>
      <c r="L980" s="72" t="n"/>
    </row>
    <row r="981">
      <c r="A981" s="72" t="inlineStr">
        <is>
          <t>3303-2206</t>
        </is>
      </c>
      <c r="B981" s="72" t="inlineStr">
        <is>
          <t>Emily Reisler Contribution</t>
        </is>
      </c>
      <c r="C981" s="72" t="inlineStr">
        <is>
          <t>Credit</t>
        </is>
      </c>
      <c r="D981" s="72" t="inlineStr">
        <is>
          <t>Reg</t>
        </is>
      </c>
      <c r="E981" s="72" t="inlineStr">
        <is>
          <t>Bal</t>
        </is>
      </c>
      <c r="F981" s="12" t="n">
        <v>1</v>
      </c>
      <c r="G981" s="12" t="n">
        <v>2</v>
      </c>
      <c r="H981" s="72" t="n"/>
      <c r="I981" s="72" t="n"/>
      <c r="J981" s="72" t="n"/>
      <c r="K981" s="72" t="inlineStr">
        <is>
          <t>3303-2208</t>
        </is>
      </c>
      <c r="L981" s="72" t="inlineStr">
        <is>
          <t>Cash Flow</t>
        </is>
      </c>
    </row>
    <row r="982">
      <c r="A982" s="72" t="inlineStr">
        <is>
          <t>3303-2207</t>
        </is>
      </c>
      <c r="B982" s="72" t="inlineStr">
        <is>
          <t>Emily Reisler Distribution</t>
        </is>
      </c>
      <c r="C982" s="72" t="inlineStr">
        <is>
          <t>Credit</t>
        </is>
      </c>
      <c r="D982" s="72" t="inlineStr">
        <is>
          <t>Reg</t>
        </is>
      </c>
      <c r="E982" s="72" t="inlineStr">
        <is>
          <t>Bal</t>
        </is>
      </c>
      <c r="F982" s="12" t="n">
        <v>1</v>
      </c>
      <c r="G982" s="12" t="n">
        <v>1</v>
      </c>
      <c r="H982" s="72" t="n"/>
      <c r="I982" s="72" t="n"/>
      <c r="J982" s="72" t="n"/>
      <c r="K982" s="72" t="inlineStr">
        <is>
          <t>3303-2208</t>
        </is>
      </c>
      <c r="L982" s="72" t="inlineStr">
        <is>
          <t>Cash Flow</t>
        </is>
      </c>
    </row>
    <row r="983">
      <c r="A983" s="72" t="inlineStr">
        <is>
          <t>3303-2208</t>
        </is>
      </c>
      <c r="B983" s="72" t="inlineStr">
        <is>
          <t>EMILY REISLER TOTAL</t>
        </is>
      </c>
      <c r="C983" s="72" t="inlineStr">
        <is>
          <t>Credit</t>
        </is>
      </c>
      <c r="D983" s="72" t="inlineStr">
        <is>
          <t>Tot</t>
        </is>
      </c>
      <c r="E983" s="72" t="inlineStr">
        <is>
          <t>Bal</t>
        </is>
      </c>
      <c r="F983" s="12" t="n">
        <v>0</v>
      </c>
      <c r="G983" s="12" t="n">
        <v>1</v>
      </c>
      <c r="H983" s="72" t="n"/>
      <c r="I983" s="72" t="n"/>
      <c r="J983" s="72" t="n"/>
      <c r="K983" s="72" t="inlineStr">
        <is>
          <t>3890-0000</t>
        </is>
      </c>
      <c r="L983" s="72" t="n"/>
    </row>
    <row r="984">
      <c r="A984" s="72" t="inlineStr">
        <is>
          <t>3303-2209</t>
        </is>
      </c>
      <c r="B984" s="72" t="inlineStr">
        <is>
          <t>Mark Harris Contribution</t>
        </is>
      </c>
      <c r="C984" s="72" t="inlineStr">
        <is>
          <t>Credit</t>
        </is>
      </c>
      <c r="D984" s="72" t="inlineStr">
        <is>
          <t>Reg</t>
        </is>
      </c>
      <c r="E984" s="72" t="inlineStr">
        <is>
          <t>Bal</t>
        </is>
      </c>
      <c r="F984" s="12" t="n">
        <v>1</v>
      </c>
      <c r="G984" s="12" t="n">
        <v>2</v>
      </c>
      <c r="H984" s="72" t="n"/>
      <c r="I984" s="72" t="n"/>
      <c r="J984" s="72" t="n"/>
      <c r="K984" s="72" t="inlineStr">
        <is>
          <t>3303-2211</t>
        </is>
      </c>
      <c r="L984" s="72" t="inlineStr">
        <is>
          <t>Cash Flow</t>
        </is>
      </c>
    </row>
    <row r="985">
      <c r="A985" s="72" t="inlineStr">
        <is>
          <t>3303-2210</t>
        </is>
      </c>
      <c r="B985" s="72" t="inlineStr">
        <is>
          <t>Mark Harris Distribution</t>
        </is>
      </c>
      <c r="C985" s="72" t="inlineStr">
        <is>
          <t>Credit</t>
        </is>
      </c>
      <c r="D985" s="72" t="inlineStr">
        <is>
          <t>Reg</t>
        </is>
      </c>
      <c r="E985" s="72" t="inlineStr">
        <is>
          <t>Bal</t>
        </is>
      </c>
      <c r="F985" s="12" t="n">
        <v>1</v>
      </c>
      <c r="G985" s="12" t="n">
        <v>1</v>
      </c>
      <c r="H985" s="72" t="n"/>
      <c r="I985" s="72" t="n"/>
      <c r="J985" s="72" t="n"/>
      <c r="K985" s="72" t="inlineStr">
        <is>
          <t>3303-2211</t>
        </is>
      </c>
      <c r="L985" s="72" t="inlineStr">
        <is>
          <t>Cash Flow</t>
        </is>
      </c>
    </row>
    <row r="986">
      <c r="A986" s="72" t="inlineStr">
        <is>
          <t>3303-2211</t>
        </is>
      </c>
      <c r="B986" s="72" t="inlineStr">
        <is>
          <t>MARK HARRIS TOTAL</t>
        </is>
      </c>
      <c r="C986" s="72" t="inlineStr">
        <is>
          <t>Credit</t>
        </is>
      </c>
      <c r="D986" s="72" t="inlineStr">
        <is>
          <t>Tot</t>
        </is>
      </c>
      <c r="E986" s="72" t="inlineStr">
        <is>
          <t>Bal</t>
        </is>
      </c>
      <c r="F986" s="12" t="n">
        <v>0</v>
      </c>
      <c r="G986" s="12" t="n">
        <v>1</v>
      </c>
      <c r="H986" s="72" t="n"/>
      <c r="I986" s="72" t="n"/>
      <c r="J986" s="72" t="n"/>
      <c r="K986" s="72" t="inlineStr">
        <is>
          <t>3890-0000</t>
        </is>
      </c>
      <c r="L986" s="72" t="n"/>
    </row>
    <row r="987">
      <c r="A987" s="72" t="inlineStr">
        <is>
          <t>3303-2212</t>
        </is>
      </c>
      <c r="B987" s="72" t="inlineStr">
        <is>
          <t>Hirize Inc Contribution</t>
        </is>
      </c>
      <c r="C987" s="72" t="inlineStr">
        <is>
          <t>Credit</t>
        </is>
      </c>
      <c r="D987" s="72" t="inlineStr">
        <is>
          <t>Reg</t>
        </is>
      </c>
      <c r="E987" s="72" t="inlineStr">
        <is>
          <t>Bal</t>
        </is>
      </c>
      <c r="F987" s="12" t="n">
        <v>1</v>
      </c>
      <c r="G987" s="12" t="n">
        <v>2</v>
      </c>
      <c r="H987" s="72" t="n"/>
      <c r="I987" s="72" t="n"/>
      <c r="J987" s="72" t="n"/>
      <c r="K987" s="72" t="inlineStr">
        <is>
          <t>3303-2214</t>
        </is>
      </c>
      <c r="L987" s="72" t="inlineStr">
        <is>
          <t>Cash Flow</t>
        </is>
      </c>
    </row>
    <row r="988">
      <c r="A988" s="72" t="inlineStr">
        <is>
          <t>3303-2213</t>
        </is>
      </c>
      <c r="B988" s="72" t="inlineStr">
        <is>
          <t>Hirize Inc Distribution</t>
        </is>
      </c>
      <c r="C988" s="72" t="inlineStr">
        <is>
          <t>Credit</t>
        </is>
      </c>
      <c r="D988" s="72" t="inlineStr">
        <is>
          <t>Reg</t>
        </is>
      </c>
      <c r="E988" s="72" t="inlineStr">
        <is>
          <t>Bal</t>
        </is>
      </c>
      <c r="F988" s="12" t="n">
        <v>1</v>
      </c>
      <c r="G988" s="12" t="n">
        <v>1</v>
      </c>
      <c r="H988" s="72" t="n"/>
      <c r="I988" s="72" t="n"/>
      <c r="J988" s="72" t="n"/>
      <c r="K988" s="72" t="inlineStr">
        <is>
          <t>3303-2214</t>
        </is>
      </c>
      <c r="L988" s="72" t="inlineStr">
        <is>
          <t>Cash Flow</t>
        </is>
      </c>
    </row>
    <row r="989">
      <c r="A989" s="72" t="inlineStr">
        <is>
          <t>3303-2214</t>
        </is>
      </c>
      <c r="B989" s="72" t="inlineStr">
        <is>
          <t>HIRIZE INC TOTAL</t>
        </is>
      </c>
      <c r="C989" s="72" t="inlineStr">
        <is>
          <t>Credit</t>
        </is>
      </c>
      <c r="D989" s="72" t="inlineStr">
        <is>
          <t>Tot</t>
        </is>
      </c>
      <c r="E989" s="72" t="inlineStr">
        <is>
          <t>Bal</t>
        </is>
      </c>
      <c r="F989" s="12" t="n">
        <v>0</v>
      </c>
      <c r="G989" s="12" t="n">
        <v>1</v>
      </c>
      <c r="H989" s="72" t="n"/>
      <c r="I989" s="72" t="n"/>
      <c r="J989" s="72" t="n"/>
      <c r="K989" s="72" t="inlineStr">
        <is>
          <t>3890-0000</t>
        </is>
      </c>
      <c r="L989" s="72" t="n"/>
    </row>
    <row r="990">
      <c r="A990" s="72" t="inlineStr">
        <is>
          <t>3303-2215</t>
        </is>
      </c>
      <c r="B990" s="72" t="inlineStr">
        <is>
          <t>Iracema Almeida Contribution</t>
        </is>
      </c>
      <c r="C990" s="72" t="inlineStr">
        <is>
          <t>Credit</t>
        </is>
      </c>
      <c r="D990" s="72" t="inlineStr">
        <is>
          <t>Reg</t>
        </is>
      </c>
      <c r="E990" s="72" t="inlineStr">
        <is>
          <t>Bal</t>
        </is>
      </c>
      <c r="F990" s="12" t="n">
        <v>1</v>
      </c>
      <c r="G990" s="12" t="n">
        <v>2</v>
      </c>
      <c r="H990" s="72" t="n"/>
      <c r="I990" s="72" t="n"/>
      <c r="J990" s="72" t="n"/>
      <c r="K990" s="72" t="inlineStr">
        <is>
          <t>3303-2217</t>
        </is>
      </c>
      <c r="L990" s="72" t="inlineStr">
        <is>
          <t>Cash Flow</t>
        </is>
      </c>
    </row>
    <row r="991">
      <c r="A991" s="72" t="inlineStr">
        <is>
          <t>3303-2216</t>
        </is>
      </c>
      <c r="B991" s="72" t="inlineStr">
        <is>
          <t>Iracema Almeida Distribution</t>
        </is>
      </c>
      <c r="C991" s="72" t="inlineStr">
        <is>
          <t>Credit</t>
        </is>
      </c>
      <c r="D991" s="72" t="inlineStr">
        <is>
          <t>Reg</t>
        </is>
      </c>
      <c r="E991" s="72" t="inlineStr">
        <is>
          <t>Bal</t>
        </is>
      </c>
      <c r="F991" s="12" t="n">
        <v>1</v>
      </c>
      <c r="G991" s="12" t="n">
        <v>1</v>
      </c>
      <c r="H991" s="72" t="n"/>
      <c r="I991" s="72" t="n"/>
      <c r="J991" s="72" t="n"/>
      <c r="K991" s="72" t="inlineStr">
        <is>
          <t>3303-2217</t>
        </is>
      </c>
      <c r="L991" s="72" t="inlineStr">
        <is>
          <t>Cash Flow</t>
        </is>
      </c>
    </row>
    <row r="992">
      <c r="A992" s="72" t="inlineStr">
        <is>
          <t>3303-2217</t>
        </is>
      </c>
      <c r="B992" s="72" t="inlineStr">
        <is>
          <t>IRACEMA ALMEIDA TOTAL</t>
        </is>
      </c>
      <c r="C992" s="72" t="inlineStr">
        <is>
          <t>Credit</t>
        </is>
      </c>
      <c r="D992" s="72" t="inlineStr">
        <is>
          <t>Tot</t>
        </is>
      </c>
      <c r="E992" s="72" t="inlineStr">
        <is>
          <t>Bal</t>
        </is>
      </c>
      <c r="F992" s="12" t="n">
        <v>0</v>
      </c>
      <c r="G992" s="12" t="n">
        <v>1</v>
      </c>
      <c r="H992" s="72" t="n"/>
      <c r="I992" s="72" t="n"/>
      <c r="J992" s="72" t="n"/>
      <c r="K992" s="72" t="inlineStr">
        <is>
          <t>3890-0000</t>
        </is>
      </c>
      <c r="L992" s="72" t="n"/>
    </row>
    <row r="993">
      <c r="A993" s="72" t="inlineStr">
        <is>
          <t>3303-2218</t>
        </is>
      </c>
      <c r="B993" s="72" t="inlineStr">
        <is>
          <t>Stephen and Lorre Johnson Contribution</t>
        </is>
      </c>
      <c r="C993" s="72" t="inlineStr">
        <is>
          <t>Credit</t>
        </is>
      </c>
      <c r="D993" s="72" t="inlineStr">
        <is>
          <t>Reg</t>
        </is>
      </c>
      <c r="E993" s="72" t="inlineStr">
        <is>
          <t>Bal</t>
        </is>
      </c>
      <c r="F993" s="12" t="n">
        <v>1</v>
      </c>
      <c r="G993" s="12" t="n">
        <v>2</v>
      </c>
      <c r="H993" s="72" t="n"/>
      <c r="I993" s="72" t="n"/>
      <c r="J993" s="72" t="n"/>
      <c r="K993" s="72" t="inlineStr">
        <is>
          <t>3303-2220</t>
        </is>
      </c>
      <c r="L993" s="72" t="inlineStr">
        <is>
          <t>Cash Flow</t>
        </is>
      </c>
    </row>
    <row r="994">
      <c r="A994" s="72" t="inlineStr">
        <is>
          <t>3303-2219</t>
        </is>
      </c>
      <c r="B994" s="72" t="inlineStr">
        <is>
          <t>Stephen and Lorre Johnson Distribution</t>
        </is>
      </c>
      <c r="C994" s="72" t="inlineStr">
        <is>
          <t>Credit</t>
        </is>
      </c>
      <c r="D994" s="72" t="inlineStr">
        <is>
          <t>Reg</t>
        </is>
      </c>
      <c r="E994" s="72" t="inlineStr">
        <is>
          <t>Bal</t>
        </is>
      </c>
      <c r="F994" s="12" t="n">
        <v>1</v>
      </c>
      <c r="G994" s="12" t="n">
        <v>1</v>
      </c>
      <c r="H994" s="72" t="n"/>
      <c r="I994" s="72" t="n"/>
      <c r="J994" s="72" t="n"/>
      <c r="K994" s="72" t="inlineStr">
        <is>
          <t>3303-2220</t>
        </is>
      </c>
      <c r="L994" s="72" t="inlineStr">
        <is>
          <t>Cash Flow</t>
        </is>
      </c>
    </row>
    <row r="995">
      <c r="A995" s="72" t="inlineStr">
        <is>
          <t>3303-2220</t>
        </is>
      </c>
      <c r="B995" s="72" t="inlineStr">
        <is>
          <t>STEPHEN AND LORRE JOHNSON TOTAL</t>
        </is>
      </c>
      <c r="C995" s="72" t="inlineStr">
        <is>
          <t>Credit</t>
        </is>
      </c>
      <c r="D995" s="72" t="inlineStr">
        <is>
          <t>Tot</t>
        </is>
      </c>
      <c r="E995" s="72" t="inlineStr">
        <is>
          <t>Bal</t>
        </is>
      </c>
      <c r="F995" s="12" t="n">
        <v>0</v>
      </c>
      <c r="G995" s="12" t="n">
        <v>1</v>
      </c>
      <c r="H995" s="72" t="n"/>
      <c r="I995" s="72" t="n"/>
      <c r="J995" s="72" t="n"/>
      <c r="K995" s="72" t="inlineStr">
        <is>
          <t>3890-0000</t>
        </is>
      </c>
      <c r="L995" s="72" t="n"/>
    </row>
    <row r="996">
      <c r="A996" s="72" t="inlineStr">
        <is>
          <t>3303-2221</t>
        </is>
      </c>
      <c r="B996" s="72" t="inlineStr">
        <is>
          <t>Ross Parker Contribution</t>
        </is>
      </c>
      <c r="C996" s="72" t="inlineStr">
        <is>
          <t>Credit</t>
        </is>
      </c>
      <c r="D996" s="72" t="inlineStr">
        <is>
          <t>Reg</t>
        </is>
      </c>
      <c r="E996" s="72" t="inlineStr">
        <is>
          <t>Bal</t>
        </is>
      </c>
      <c r="F996" s="12" t="n">
        <v>1</v>
      </c>
      <c r="G996" s="12" t="n">
        <v>2</v>
      </c>
      <c r="H996" s="72" t="n"/>
      <c r="I996" s="72" t="n"/>
      <c r="J996" s="72" t="n"/>
      <c r="K996" s="72" t="inlineStr">
        <is>
          <t>3303-2223</t>
        </is>
      </c>
      <c r="L996" s="72" t="inlineStr">
        <is>
          <t>Cash Flow</t>
        </is>
      </c>
    </row>
    <row r="997">
      <c r="A997" s="72" t="inlineStr">
        <is>
          <t>3303-2222</t>
        </is>
      </c>
      <c r="B997" s="72" t="inlineStr">
        <is>
          <t>Ross Parker Distribution</t>
        </is>
      </c>
      <c r="C997" s="72" t="inlineStr">
        <is>
          <t>Credit</t>
        </is>
      </c>
      <c r="D997" s="72" t="inlineStr">
        <is>
          <t>Reg</t>
        </is>
      </c>
      <c r="E997" s="72" t="inlineStr">
        <is>
          <t>Bal</t>
        </is>
      </c>
      <c r="F997" s="12" t="n">
        <v>1</v>
      </c>
      <c r="G997" s="12" t="n">
        <v>1</v>
      </c>
      <c r="H997" s="72" t="n"/>
      <c r="I997" s="72" t="n"/>
      <c r="J997" s="72" t="n"/>
      <c r="K997" s="72" t="inlineStr">
        <is>
          <t>3303-2223</t>
        </is>
      </c>
      <c r="L997" s="72" t="inlineStr">
        <is>
          <t>Cash Flow</t>
        </is>
      </c>
    </row>
    <row r="998">
      <c r="A998" s="72" t="inlineStr">
        <is>
          <t>3303-2223</t>
        </is>
      </c>
      <c r="B998" s="72" t="inlineStr">
        <is>
          <t>ROSS PARKER TOTAL</t>
        </is>
      </c>
      <c r="C998" s="72" t="inlineStr">
        <is>
          <t>Credit</t>
        </is>
      </c>
      <c r="D998" s="72" t="inlineStr">
        <is>
          <t>Tot</t>
        </is>
      </c>
      <c r="E998" s="72" t="inlineStr">
        <is>
          <t>Bal</t>
        </is>
      </c>
      <c r="F998" s="12" t="n">
        <v>0</v>
      </c>
      <c r="G998" s="12" t="n">
        <v>1</v>
      </c>
      <c r="H998" s="72" t="n"/>
      <c r="I998" s="72" t="n"/>
      <c r="J998" s="72" t="n"/>
      <c r="K998" s="72" t="inlineStr">
        <is>
          <t>3890-0000</t>
        </is>
      </c>
      <c r="L998" s="72" t="n"/>
    </row>
    <row r="999">
      <c r="A999" s="72" t="inlineStr">
        <is>
          <t>3303-2224</t>
        </is>
      </c>
      <c r="B999" s="72" t="inlineStr">
        <is>
          <t>EP Lexington Contribution</t>
        </is>
      </c>
      <c r="C999" s="72" t="inlineStr">
        <is>
          <t>Credit</t>
        </is>
      </c>
      <c r="D999" s="72" t="inlineStr">
        <is>
          <t>Reg</t>
        </is>
      </c>
      <c r="E999" s="72" t="inlineStr">
        <is>
          <t>Bal</t>
        </is>
      </c>
      <c r="F999" s="12" t="n">
        <v>1</v>
      </c>
      <c r="G999" s="12" t="n">
        <v>2</v>
      </c>
      <c r="H999" s="72" t="n"/>
      <c r="I999" s="72" t="n"/>
      <c r="J999" s="72" t="n"/>
      <c r="K999" s="72" t="inlineStr">
        <is>
          <t>3303-2226</t>
        </is>
      </c>
      <c r="L999" s="72" t="inlineStr">
        <is>
          <t>Cash Flow</t>
        </is>
      </c>
    </row>
    <row r="1000">
      <c r="A1000" s="72" t="inlineStr">
        <is>
          <t>3303-2225</t>
        </is>
      </c>
      <c r="B1000" s="72" t="inlineStr">
        <is>
          <t>EP Lexington Distribution</t>
        </is>
      </c>
      <c r="C1000" s="72" t="inlineStr">
        <is>
          <t>Credit</t>
        </is>
      </c>
      <c r="D1000" s="72" t="inlineStr">
        <is>
          <t>Reg</t>
        </is>
      </c>
      <c r="E1000" s="72" t="inlineStr">
        <is>
          <t>Bal</t>
        </is>
      </c>
      <c r="F1000" s="12" t="n">
        <v>1</v>
      </c>
      <c r="G1000" s="12" t="n">
        <v>1</v>
      </c>
      <c r="H1000" s="72" t="n"/>
      <c r="I1000" s="72" t="n"/>
      <c r="J1000" s="72" t="n"/>
      <c r="K1000" s="72" t="inlineStr">
        <is>
          <t>3303-2226</t>
        </is>
      </c>
      <c r="L1000" s="72" t="inlineStr">
        <is>
          <t>Cash Flow</t>
        </is>
      </c>
    </row>
    <row r="1001">
      <c r="A1001" s="72" t="inlineStr">
        <is>
          <t>3303-2226</t>
        </is>
      </c>
      <c r="B1001" s="72" t="inlineStr">
        <is>
          <t>EP LEXINGTON TOTAL</t>
        </is>
      </c>
      <c r="C1001" s="72" t="inlineStr">
        <is>
          <t>Credit</t>
        </is>
      </c>
      <c r="D1001" s="72" t="inlineStr">
        <is>
          <t>Tot</t>
        </is>
      </c>
      <c r="E1001" s="72" t="inlineStr">
        <is>
          <t>Bal</t>
        </is>
      </c>
      <c r="F1001" s="12" t="n">
        <v>0</v>
      </c>
      <c r="G1001" s="12" t="n">
        <v>1</v>
      </c>
      <c r="H1001" s="72" t="n"/>
      <c r="I1001" s="72" t="n"/>
      <c r="J1001" s="72" t="n"/>
      <c r="K1001" s="72" t="inlineStr">
        <is>
          <t>3890-0000</t>
        </is>
      </c>
      <c r="L1001" s="72" t="n"/>
    </row>
    <row r="1002">
      <c r="A1002" s="72" t="inlineStr">
        <is>
          <t>3400-0000</t>
        </is>
      </c>
      <c r="B1002" s="72" t="inlineStr">
        <is>
          <t>Owner Draw</t>
        </is>
      </c>
      <c r="C1002" s="72" t="inlineStr">
        <is>
          <t>Credit</t>
        </is>
      </c>
      <c r="D1002" s="72" t="inlineStr">
        <is>
          <t>Reg</t>
        </is>
      </c>
      <c r="E1002" s="72" t="inlineStr">
        <is>
          <t>Bal</t>
        </is>
      </c>
      <c r="F1002" s="12" t="n">
        <v>1</v>
      </c>
      <c r="G1002" s="12" t="n">
        <v>1</v>
      </c>
      <c r="H1002" s="72" t="n"/>
      <c r="I1002" s="72" t="n"/>
      <c r="J1002" s="72" t="n"/>
      <c r="K1002" s="72" t="inlineStr">
        <is>
          <t>3890-0000</t>
        </is>
      </c>
      <c r="L1002" s="72" t="inlineStr">
        <is>
          <t>Cash Flow</t>
        </is>
      </c>
    </row>
    <row r="1003">
      <c r="A1003" s="72" t="inlineStr">
        <is>
          <t>3410-0000</t>
        </is>
      </c>
      <c r="B1003" s="72" t="inlineStr">
        <is>
          <t>Prior Years Draw</t>
        </is>
      </c>
      <c r="C1003" s="72" t="inlineStr">
        <is>
          <t>Credit</t>
        </is>
      </c>
      <c r="D1003" s="72" t="inlineStr">
        <is>
          <t>Reg</t>
        </is>
      </c>
      <c r="E1003" s="72" t="inlineStr">
        <is>
          <t>Bal</t>
        </is>
      </c>
      <c r="F1003" s="12" t="n">
        <v>1</v>
      </c>
      <c r="G1003" s="12" t="n">
        <v>1</v>
      </c>
      <c r="H1003" s="72" t="n"/>
      <c r="I1003" s="72" t="n"/>
      <c r="J1003" s="72" t="n"/>
      <c r="K1003" s="72" t="inlineStr">
        <is>
          <t>3890-0000</t>
        </is>
      </c>
      <c r="L1003" s="72" t="inlineStr">
        <is>
          <t>Cash Flow</t>
        </is>
      </c>
    </row>
    <row r="1004">
      <c r="A1004" s="72" t="inlineStr">
        <is>
          <t>3500-1000</t>
        </is>
      </c>
      <c r="B1004" s="72" t="inlineStr">
        <is>
          <t>MJP Partners Capital Account</t>
        </is>
      </c>
      <c r="C1004" s="72" t="inlineStr">
        <is>
          <t>Credit</t>
        </is>
      </c>
      <c r="D1004" s="72" t="inlineStr">
        <is>
          <t>Reg</t>
        </is>
      </c>
      <c r="E1004" s="72" t="inlineStr">
        <is>
          <t>Bal</t>
        </is>
      </c>
      <c r="F1004" s="12" t="n">
        <v>1</v>
      </c>
      <c r="G1004" s="12" t="n">
        <v>1</v>
      </c>
      <c r="H1004" s="72" t="n"/>
      <c r="I1004" s="72" t="n"/>
      <c r="J1004" s="72" t="n"/>
      <c r="K1004" s="72" t="inlineStr">
        <is>
          <t>3890-0000</t>
        </is>
      </c>
      <c r="L1004" s="72" t="inlineStr">
        <is>
          <t>Cash Flow</t>
        </is>
      </c>
    </row>
    <row r="1005">
      <c r="A1005" s="72" t="inlineStr">
        <is>
          <t>3500-2000</t>
        </is>
      </c>
      <c r="B1005" s="72" t="inlineStr">
        <is>
          <t>EP Acquisitions Capital Account</t>
        </is>
      </c>
      <c r="C1005" s="72" t="inlineStr">
        <is>
          <t>Credit</t>
        </is>
      </c>
      <c r="D1005" s="72" t="inlineStr">
        <is>
          <t>Reg</t>
        </is>
      </c>
      <c r="E1005" s="72" t="inlineStr">
        <is>
          <t>Bal</t>
        </is>
      </c>
      <c r="F1005" s="12" t="n">
        <v>1</v>
      </c>
      <c r="G1005" s="12" t="n">
        <v>1</v>
      </c>
      <c r="H1005" s="72" t="n"/>
      <c r="I1005" s="72" t="n"/>
      <c r="J1005" s="72" t="n"/>
      <c r="K1005" s="72" t="inlineStr">
        <is>
          <t>3890-0000</t>
        </is>
      </c>
      <c r="L1005" s="72" t="inlineStr">
        <is>
          <t>Cash Flow</t>
        </is>
      </c>
    </row>
    <row r="1006">
      <c r="A1006" s="72" t="inlineStr">
        <is>
          <t>3500-3000</t>
        </is>
      </c>
      <c r="B1006" s="72" t="inlineStr">
        <is>
          <t>EP Acquisitions II Capital</t>
        </is>
      </c>
      <c r="C1006" s="72" t="inlineStr">
        <is>
          <t>Credit</t>
        </is>
      </c>
      <c r="D1006" s="72" t="inlineStr">
        <is>
          <t>Reg</t>
        </is>
      </c>
      <c r="E1006" s="72" t="inlineStr">
        <is>
          <t>Bal</t>
        </is>
      </c>
      <c r="F1006" s="12" t="n">
        <v>1</v>
      </c>
      <c r="G1006" s="12" t="n">
        <v>1</v>
      </c>
      <c r="H1006" s="72" t="n"/>
      <c r="I1006" s="72" t="n"/>
      <c r="J1006" s="72" t="n"/>
      <c r="K1006" s="72" t="inlineStr">
        <is>
          <t>3890-0000</t>
        </is>
      </c>
      <c r="L1006" s="72" t="inlineStr">
        <is>
          <t>Cash Flow</t>
        </is>
      </c>
    </row>
    <row r="1007">
      <c r="A1007" s="72" t="inlineStr">
        <is>
          <t>3500-4000</t>
        </is>
      </c>
      <c r="B1007" s="72" t="inlineStr">
        <is>
          <t>Affiliated Florida Operations Capital Account</t>
        </is>
      </c>
      <c r="C1007" s="72" t="inlineStr">
        <is>
          <t>Credit</t>
        </is>
      </c>
      <c r="D1007" s="72" t="inlineStr">
        <is>
          <t>Reg</t>
        </is>
      </c>
      <c r="E1007" s="72" t="inlineStr">
        <is>
          <t>Bal</t>
        </is>
      </c>
      <c r="F1007" s="12" t="n">
        <v>1</v>
      </c>
      <c r="G1007" s="12" t="n">
        <v>1</v>
      </c>
      <c r="H1007" s="72" t="n"/>
      <c r="I1007" s="72" t="n"/>
      <c r="J1007" s="72" t="n"/>
      <c r="K1007" s="72" t="inlineStr">
        <is>
          <t>3890-0000</t>
        </is>
      </c>
      <c r="L1007" s="72" t="inlineStr">
        <is>
          <t>Cash Flow</t>
        </is>
      </c>
    </row>
    <row r="1008">
      <c r="A1008" s="72" t="inlineStr">
        <is>
          <t>3600-0000</t>
        </is>
      </c>
      <c r="B1008" s="72" t="inlineStr">
        <is>
          <t>Suspense</t>
        </is>
      </c>
      <c r="C1008" s="72" t="inlineStr">
        <is>
          <t>Credit</t>
        </is>
      </c>
      <c r="D1008" s="72" t="inlineStr">
        <is>
          <t>Reg</t>
        </is>
      </c>
      <c r="E1008" s="72" t="inlineStr">
        <is>
          <t>Bal</t>
        </is>
      </c>
      <c r="F1008" s="12" t="n">
        <v>1</v>
      </c>
      <c r="G1008" s="12" t="n">
        <v>1</v>
      </c>
      <c r="H1008" s="72" t="n"/>
      <c r="I1008" s="72" t="n"/>
      <c r="J1008" s="72" t="n"/>
      <c r="K1008" s="72" t="inlineStr">
        <is>
          <t>3890-0000</t>
        </is>
      </c>
      <c r="L1008" s="72" t="inlineStr">
        <is>
          <t>Cash Flow</t>
        </is>
      </c>
    </row>
    <row r="1009">
      <c r="A1009" s="72" t="inlineStr">
        <is>
          <t>3800-0000</t>
        </is>
      </c>
      <c r="B1009" s="72" t="inlineStr">
        <is>
          <t>Retained Earnings</t>
        </is>
      </c>
      <c r="C1009" s="72" t="inlineStr">
        <is>
          <t>Credit</t>
        </is>
      </c>
      <c r="D1009" s="72" t="inlineStr">
        <is>
          <t>Reg</t>
        </is>
      </c>
      <c r="E1009" s="72" t="inlineStr">
        <is>
          <t>Bal</t>
        </is>
      </c>
      <c r="F1009" s="12" t="n">
        <v>1</v>
      </c>
      <c r="G1009" s="12" t="n">
        <v>2</v>
      </c>
      <c r="H1009" s="72" t="n"/>
      <c r="I1009" s="72" t="n"/>
      <c r="J1009" s="72" t="n"/>
      <c r="K1009" s="72" t="inlineStr">
        <is>
          <t>3890-0000</t>
        </is>
      </c>
      <c r="L1009" s="72" t="n"/>
    </row>
    <row r="1010">
      <c r="A1010" s="72" t="inlineStr">
        <is>
          <t>3810-0000</t>
        </is>
      </c>
      <c r="B1010" s="72" t="inlineStr">
        <is>
          <t>Prior Years Retained Earnings</t>
        </is>
      </c>
      <c r="C1010" s="72" t="inlineStr">
        <is>
          <t>Credit</t>
        </is>
      </c>
      <c r="D1010" s="72" t="inlineStr">
        <is>
          <t>Reg</t>
        </is>
      </c>
      <c r="E1010" s="72" t="inlineStr">
        <is>
          <t>Bal</t>
        </is>
      </c>
      <c r="F1010" s="12" t="n">
        <v>1</v>
      </c>
      <c r="G1010" s="12" t="n">
        <v>1</v>
      </c>
      <c r="H1010" s="72" t="n"/>
      <c r="I1010" s="72" t="n"/>
      <c r="J1010" s="72" t="n"/>
      <c r="K1010" s="72" t="inlineStr">
        <is>
          <t>3890-0000</t>
        </is>
      </c>
      <c r="L1010" s="72" t="inlineStr">
        <is>
          <t>Cash Flow</t>
        </is>
      </c>
    </row>
    <row r="1011">
      <c r="A1011" s="72" t="inlineStr">
        <is>
          <t>3890-0000</t>
        </is>
      </c>
      <c r="B1011" s="72" t="inlineStr">
        <is>
          <t>TOTAL CAPITAL</t>
        </is>
      </c>
      <c r="C1011" s="72" t="inlineStr">
        <is>
          <t>Credit</t>
        </is>
      </c>
      <c r="D1011" s="72" t="inlineStr">
        <is>
          <t>Tot</t>
        </is>
      </c>
      <c r="E1011" s="72" t="inlineStr">
        <is>
          <t>Bal</t>
        </is>
      </c>
      <c r="F1011" s="12" t="n">
        <v>2</v>
      </c>
      <c r="G1011" s="12" t="n">
        <v>1</v>
      </c>
      <c r="H1011" s="72" t="n"/>
      <c r="I1011" s="72" t="n"/>
      <c r="J1011" s="72" t="n"/>
      <c r="K1011" s="72" t="inlineStr">
        <is>
          <t>3990-0000</t>
        </is>
      </c>
      <c r="L1011" s="72" t="n"/>
    </row>
    <row r="1012">
      <c r="A1012" s="72" t="inlineStr">
        <is>
          <t>3890-0001</t>
        </is>
      </c>
      <c r="B1012" s="72" t="inlineStr">
        <is>
          <t>Reserve Contribution</t>
        </is>
      </c>
      <c r="C1012" s="72" t="inlineStr">
        <is>
          <t>Credit</t>
        </is>
      </c>
      <c r="D1012" s="72" t="inlineStr">
        <is>
          <t>Reg</t>
        </is>
      </c>
      <c r="E1012" s="72" t="inlineStr">
        <is>
          <t>Bal</t>
        </is>
      </c>
      <c r="F1012" s="12" t="n">
        <v>1</v>
      </c>
      <c r="G1012" s="12" t="n">
        <v>1</v>
      </c>
      <c r="H1012" s="72" t="n"/>
      <c r="I1012" s="72" t="n"/>
      <c r="J1012" s="72" t="n"/>
      <c r="K1012" s="72" t="n"/>
      <c r="L1012" s="72" t="inlineStr">
        <is>
          <t>Cash Flow</t>
        </is>
      </c>
    </row>
    <row r="1013">
      <c r="A1013" s="72" t="inlineStr">
        <is>
          <t>3890-0002</t>
        </is>
      </c>
      <c r="B1013" s="72" t="inlineStr">
        <is>
          <t>Reserve Distribution</t>
        </is>
      </c>
      <c r="C1013" s="72" t="inlineStr">
        <is>
          <t>Credit</t>
        </is>
      </c>
      <c r="D1013" s="72" t="inlineStr">
        <is>
          <t>Reg</t>
        </is>
      </c>
      <c r="E1013" s="72" t="inlineStr">
        <is>
          <t>Bal</t>
        </is>
      </c>
      <c r="F1013" s="12" t="n">
        <v>1</v>
      </c>
      <c r="G1013" s="12" t="n">
        <v>1</v>
      </c>
      <c r="H1013" s="72" t="n"/>
      <c r="I1013" s="72" t="n"/>
      <c r="J1013" s="72" t="n"/>
      <c r="K1013" s="72" t="n"/>
      <c r="L1013" s="72" t="inlineStr">
        <is>
          <t>Cash Flow</t>
        </is>
      </c>
    </row>
    <row r="1014">
      <c r="A1014" s="72" t="inlineStr">
        <is>
          <t>3990-0000</t>
        </is>
      </c>
      <c r="B1014" s="72" t="inlineStr">
        <is>
          <t>TOTAL LIABILITIES AND CAPITAL</t>
        </is>
      </c>
      <c r="C1014" s="72" t="inlineStr">
        <is>
          <t>Credit</t>
        </is>
      </c>
      <c r="D1014" s="72" t="inlineStr">
        <is>
          <t>Tot</t>
        </is>
      </c>
      <c r="E1014" s="72" t="inlineStr">
        <is>
          <t>Bal</t>
        </is>
      </c>
      <c r="F1014" s="12" t="n">
        <v>3</v>
      </c>
      <c r="G1014" s="12" t="n">
        <v>2</v>
      </c>
      <c r="H1014" s="72" t="n"/>
      <c r="I1014" s="72" t="n"/>
      <c r="J1014" s="72" t="n"/>
      <c r="K1014" s="72" t="inlineStr">
        <is>
          <t>9990-0000</t>
        </is>
      </c>
      <c r="L1014" s="72" t="n"/>
    </row>
    <row r="1015">
      <c r="A1015" s="72" t="inlineStr">
        <is>
          <t>4000-0000</t>
        </is>
      </c>
      <c r="B1015" s="72" t="inlineStr">
        <is>
          <t>INCOME</t>
        </is>
      </c>
      <c r="C1015" s="72" t="inlineStr">
        <is>
          <t>Credit</t>
        </is>
      </c>
      <c r="D1015" s="72" t="inlineStr">
        <is>
          <t>Head</t>
        </is>
      </c>
      <c r="E1015" s="72" t="inlineStr">
        <is>
          <t>Inc</t>
        </is>
      </c>
      <c r="F1015" s="12" t="n">
        <v>1</v>
      </c>
      <c r="G1015" s="12" t="n">
        <v>1</v>
      </c>
      <c r="H1015" s="72" t="n"/>
      <c r="I1015" s="72" t="n"/>
      <c r="J1015" s="72" t="n"/>
      <c r="K1015" s="72" t="n"/>
      <c r="L1015" s="72" t="n"/>
    </row>
    <row r="1016">
      <c r="A1016" s="72" t="inlineStr">
        <is>
          <t>4100-0000</t>
        </is>
      </c>
      <c r="B1016" s="72" t="inlineStr">
        <is>
          <t>RENT INCOME</t>
        </is>
      </c>
      <c r="C1016" s="72" t="inlineStr">
        <is>
          <t>Credit</t>
        </is>
      </c>
      <c r="D1016" s="72" t="inlineStr">
        <is>
          <t>Head</t>
        </is>
      </c>
      <c r="E1016" s="72" t="inlineStr">
        <is>
          <t>Inc</t>
        </is>
      </c>
      <c r="F1016" s="12" t="n">
        <v>4</v>
      </c>
      <c r="G1016" s="12" t="n">
        <v>2</v>
      </c>
      <c r="H1016" s="72" t="n"/>
      <c r="I1016" s="72" t="n"/>
      <c r="J1016" s="72" t="n"/>
      <c r="K1016" s="72" t="n"/>
      <c r="L1016" s="72" t="n"/>
    </row>
    <row r="1017">
      <c r="A1017" s="72" t="inlineStr">
        <is>
          <t>4300-0000</t>
        </is>
      </c>
      <c r="B1017" s="72" t="inlineStr">
        <is>
          <t>Gross Potential Rent</t>
        </is>
      </c>
      <c r="C1017" s="72" t="inlineStr">
        <is>
          <t>Credit</t>
        </is>
      </c>
      <c r="D1017" s="72" t="inlineStr">
        <is>
          <t>Reg</t>
        </is>
      </c>
      <c r="E1017" s="72" t="inlineStr">
        <is>
          <t>Inc</t>
        </is>
      </c>
      <c r="F1017" s="12" t="n">
        <v>8</v>
      </c>
      <c r="G1017" s="12" t="n">
        <v>1</v>
      </c>
      <c r="H1017" s="72" t="n"/>
      <c r="I1017" s="72" t="n"/>
      <c r="J1017" s="72" t="n"/>
      <c r="K1017" s="72" t="inlineStr">
        <is>
          <t>4990-0000</t>
        </is>
      </c>
      <c r="L1017" s="72" t="n"/>
    </row>
    <row r="1018">
      <c r="A1018" s="72" t="inlineStr">
        <is>
          <t>4400-0000</t>
        </is>
      </c>
      <c r="B1018" s="72" t="inlineStr">
        <is>
          <t>Assessment</t>
        </is>
      </c>
      <c r="C1018" s="72" t="inlineStr">
        <is>
          <t>Credit</t>
        </is>
      </c>
      <c r="D1018" s="72" t="inlineStr">
        <is>
          <t>Reg</t>
        </is>
      </c>
      <c r="E1018" s="72" t="inlineStr">
        <is>
          <t>Inc</t>
        </is>
      </c>
      <c r="F1018" s="12" t="n">
        <v>8</v>
      </c>
      <c r="G1018" s="12" t="n">
        <v>1</v>
      </c>
      <c r="H1018" s="72" t="n"/>
      <c r="I1018" s="72" t="n"/>
      <c r="J1018" s="72" t="n"/>
      <c r="K1018" s="72" t="inlineStr">
        <is>
          <t>4990-0000</t>
        </is>
      </c>
      <c r="L1018" s="72" t="inlineStr">
        <is>
          <t>Comm., LateFee</t>
        </is>
      </c>
    </row>
    <row r="1019">
      <c r="A1019" s="72" t="inlineStr">
        <is>
          <t>4450-0000</t>
        </is>
      </c>
      <c r="B1019" s="72" t="inlineStr">
        <is>
          <t>Special Assessment</t>
        </is>
      </c>
      <c r="C1019" s="72" t="inlineStr">
        <is>
          <t>Credit</t>
        </is>
      </c>
      <c r="D1019" s="72" t="inlineStr">
        <is>
          <t>Reg</t>
        </is>
      </c>
      <c r="E1019" s="72" t="inlineStr">
        <is>
          <t>Inc</t>
        </is>
      </c>
      <c r="F1019" s="12" t="n">
        <v>8</v>
      </c>
      <c r="G1019" s="12" t="n">
        <v>1</v>
      </c>
      <c r="H1019" s="72" t="n"/>
      <c r="I1019" s="72" t="n"/>
      <c r="J1019" s="72" t="n"/>
      <c r="K1019" s="72" t="inlineStr">
        <is>
          <t>4990-0000</t>
        </is>
      </c>
      <c r="L1019" s="72" t="n"/>
    </row>
    <row r="1020">
      <c r="A1020" s="72" t="inlineStr">
        <is>
          <t>4450-0001</t>
        </is>
      </c>
      <c r="B1020" s="72" t="inlineStr">
        <is>
          <t>Surcharge to Lease Fee</t>
        </is>
      </c>
      <c r="C1020" s="72" t="inlineStr">
        <is>
          <t>Credit</t>
        </is>
      </c>
      <c r="D1020" s="72" t="inlineStr">
        <is>
          <t>Reg</t>
        </is>
      </c>
      <c r="E1020" s="72" t="inlineStr">
        <is>
          <t>Inc</t>
        </is>
      </c>
      <c r="F1020" s="12" t="n">
        <v>8</v>
      </c>
      <c r="G1020" s="12" t="n">
        <v>1</v>
      </c>
      <c r="H1020" s="72" t="n"/>
      <c r="I1020" s="72" t="n"/>
      <c r="J1020" s="72" t="n"/>
      <c r="K1020" s="72" t="inlineStr">
        <is>
          <t>4990-0000</t>
        </is>
      </c>
      <c r="L1020" s="72" t="n"/>
    </row>
    <row r="1021">
      <c r="A1021" s="72" t="inlineStr">
        <is>
          <t>4500-0000</t>
        </is>
      </c>
      <c r="B1021" s="72" t="inlineStr">
        <is>
          <t>Rent</t>
        </is>
      </c>
      <c r="C1021" s="72" t="inlineStr">
        <is>
          <t>Credit</t>
        </is>
      </c>
      <c r="D1021" s="72" t="inlineStr">
        <is>
          <t>Reg</t>
        </is>
      </c>
      <c r="E1021" s="72" t="inlineStr">
        <is>
          <t>Inc</t>
        </is>
      </c>
      <c r="F1021" s="12" t="n">
        <v>8</v>
      </c>
      <c r="G1021" s="12" t="n">
        <v>1</v>
      </c>
      <c r="H1021" s="72" t="n"/>
      <c r="I1021" s="72" t="n"/>
      <c r="J1021" s="72" t="n"/>
      <c r="K1021" s="72" t="inlineStr">
        <is>
          <t>4990-0000</t>
        </is>
      </c>
      <c r="L1021" s="72" t="inlineStr">
        <is>
          <t>Comm., LateFee</t>
        </is>
      </c>
    </row>
    <row r="1022">
      <c r="A1022" s="72" t="inlineStr">
        <is>
          <t>4500-0001</t>
        </is>
      </c>
      <c r="B1022" s="72" t="inlineStr">
        <is>
          <t>Rent Master Lease</t>
        </is>
      </c>
      <c r="C1022" s="72" t="inlineStr">
        <is>
          <t>Credit</t>
        </is>
      </c>
      <c r="D1022" s="72" t="inlineStr">
        <is>
          <t>Reg</t>
        </is>
      </c>
      <c r="E1022" s="72" t="inlineStr">
        <is>
          <t>Inc</t>
        </is>
      </c>
      <c r="F1022" s="12" t="n">
        <v>8</v>
      </c>
      <c r="G1022" s="12" t="n">
        <v>1</v>
      </c>
      <c r="H1022" s="72" t="n"/>
      <c r="I1022" s="72" t="n"/>
      <c r="J1022" s="72" t="n"/>
      <c r="K1022" s="72" t="inlineStr">
        <is>
          <t>4990-0000</t>
        </is>
      </c>
      <c r="L1022" s="72" t="inlineStr">
        <is>
          <t>Comm., LateFee</t>
        </is>
      </c>
    </row>
    <row r="1023">
      <c r="A1023" s="72" t="inlineStr">
        <is>
          <t>4500-0002</t>
        </is>
      </c>
      <c r="B1023" s="72" t="inlineStr">
        <is>
          <t>Bankruptcy 13 Repayment</t>
        </is>
      </c>
      <c r="C1023" s="72" t="inlineStr">
        <is>
          <t>Credit</t>
        </is>
      </c>
      <c r="D1023" s="72" t="inlineStr">
        <is>
          <t>Reg</t>
        </is>
      </c>
      <c r="E1023" s="72" t="inlineStr">
        <is>
          <t>Inc</t>
        </is>
      </c>
      <c r="F1023" s="12" t="n">
        <v>8</v>
      </c>
      <c r="G1023" s="12" t="n">
        <v>1</v>
      </c>
      <c r="H1023" s="72" t="n"/>
      <c r="I1023" s="72" t="n"/>
      <c r="J1023" s="72" t="n"/>
      <c r="K1023" s="72" t="inlineStr">
        <is>
          <t>4990-0000</t>
        </is>
      </c>
      <c r="L1023" s="72" t="n"/>
    </row>
    <row r="1024">
      <c r="A1024" s="72" t="inlineStr">
        <is>
          <t>4500-1000</t>
        </is>
      </c>
      <c r="B1024" s="72" t="inlineStr">
        <is>
          <t>Holdover Rent</t>
        </is>
      </c>
      <c r="C1024" s="72" t="inlineStr">
        <is>
          <t>Credit</t>
        </is>
      </c>
      <c r="D1024" s="72" t="inlineStr">
        <is>
          <t>Reg</t>
        </is>
      </c>
      <c r="E1024" s="72" t="inlineStr">
        <is>
          <t>Inc</t>
        </is>
      </c>
      <c r="F1024" s="12" t="n">
        <v>8</v>
      </c>
      <c r="G1024" s="12" t="n">
        <v>1</v>
      </c>
      <c r="H1024" s="72" t="n"/>
      <c r="I1024" s="72" t="n"/>
      <c r="J1024" s="72" t="n"/>
      <c r="K1024" s="72" t="inlineStr">
        <is>
          <t>4990-0000</t>
        </is>
      </c>
      <c r="L1024" s="72" t="n"/>
    </row>
    <row r="1025">
      <c r="A1025" s="72" t="inlineStr">
        <is>
          <t>4500-1001</t>
        </is>
      </c>
      <c r="B1025" s="72" t="inlineStr">
        <is>
          <t>Storage Rent</t>
        </is>
      </c>
      <c r="C1025" s="72" t="inlineStr">
        <is>
          <t>Credit</t>
        </is>
      </c>
      <c r="D1025" s="72" t="inlineStr">
        <is>
          <t>Reg</t>
        </is>
      </c>
      <c r="E1025" s="72" t="inlineStr">
        <is>
          <t>Inc</t>
        </is>
      </c>
      <c r="F1025" s="12" t="n">
        <v>8</v>
      </c>
      <c r="G1025" s="12" t="n">
        <v>1</v>
      </c>
      <c r="H1025" s="72" t="n"/>
      <c r="I1025" s="72" t="n"/>
      <c r="J1025" s="72" t="n"/>
      <c r="K1025" s="72" t="inlineStr">
        <is>
          <t>4990-0000</t>
        </is>
      </c>
      <c r="L1025" s="72" t="n"/>
    </row>
    <row r="1026">
      <c r="A1026" s="72" t="inlineStr">
        <is>
          <t>4500-1003</t>
        </is>
      </c>
      <c r="B1026" s="72" t="inlineStr">
        <is>
          <t>SFR Rental Income</t>
        </is>
      </c>
      <c r="C1026" s="72" t="inlineStr">
        <is>
          <t>Credit</t>
        </is>
      </c>
      <c r="D1026" s="72" t="inlineStr">
        <is>
          <t>Reg</t>
        </is>
      </c>
      <c r="E1026" s="72" t="inlineStr">
        <is>
          <t>Inc</t>
        </is>
      </c>
      <c r="F1026" s="12" t="n">
        <v>8</v>
      </c>
      <c r="G1026" s="12" t="n">
        <v>1</v>
      </c>
      <c r="H1026" s="72" t="n"/>
      <c r="I1026" s="72" t="n"/>
      <c r="J1026" s="72" t="n"/>
      <c r="K1026" s="72" t="inlineStr">
        <is>
          <t>4990-0000</t>
        </is>
      </c>
      <c r="L1026" s="72" t="n"/>
    </row>
    <row r="1027">
      <c r="A1027" s="72" t="inlineStr">
        <is>
          <t>4500-1004</t>
        </is>
      </c>
      <c r="B1027" s="72" t="inlineStr">
        <is>
          <t>Parking Space Rental</t>
        </is>
      </c>
      <c r="C1027" s="72" t="inlineStr">
        <is>
          <t>Credit</t>
        </is>
      </c>
      <c r="D1027" s="72" t="inlineStr">
        <is>
          <t>Reg</t>
        </is>
      </c>
      <c r="E1027" s="72" t="inlineStr">
        <is>
          <t>Inc</t>
        </is>
      </c>
      <c r="F1027" s="12" t="n">
        <v>8</v>
      </c>
      <c r="G1027" s="12" t="n">
        <v>1</v>
      </c>
      <c r="H1027" s="72" t="n"/>
      <c r="I1027" s="72" t="n"/>
      <c r="J1027" s="72" t="n"/>
      <c r="K1027" s="72" t="inlineStr">
        <is>
          <t>4990-0000</t>
        </is>
      </c>
      <c r="L1027" s="72" t="n"/>
    </row>
    <row r="1028">
      <c r="A1028" s="72" t="inlineStr">
        <is>
          <t>4501-0000</t>
        </is>
      </c>
      <c r="B1028" s="72" t="inlineStr">
        <is>
          <t>Rent Master Lease</t>
        </is>
      </c>
      <c r="C1028" s="72" t="inlineStr">
        <is>
          <t>Credit</t>
        </is>
      </c>
      <c r="D1028" s="72" t="inlineStr">
        <is>
          <t>Reg</t>
        </is>
      </c>
      <c r="E1028" s="72" t="inlineStr">
        <is>
          <t>Inc</t>
        </is>
      </c>
      <c r="F1028" s="12" t="n">
        <v>8</v>
      </c>
      <c r="G1028" s="12" t="n">
        <v>1</v>
      </c>
      <c r="H1028" s="72" t="n"/>
      <c r="I1028" s="72" t="n"/>
      <c r="J1028" s="72" t="n"/>
      <c r="K1028" s="72" t="inlineStr">
        <is>
          <t>4990-0000</t>
        </is>
      </c>
      <c r="L1028" s="72" t="inlineStr">
        <is>
          <t>Comm., LateFee</t>
        </is>
      </c>
    </row>
    <row r="1029">
      <c r="A1029" s="72" t="inlineStr">
        <is>
          <t>4600-0000</t>
        </is>
      </c>
      <c r="B1029" s="72" t="inlineStr">
        <is>
          <t>CHA Income</t>
        </is>
      </c>
      <c r="C1029" s="72" t="inlineStr">
        <is>
          <t>Credit</t>
        </is>
      </c>
      <c r="D1029" s="72" t="inlineStr">
        <is>
          <t>Reg</t>
        </is>
      </c>
      <c r="E1029" s="72" t="inlineStr">
        <is>
          <t>Inc</t>
        </is>
      </c>
      <c r="F1029" s="12" t="n">
        <v>8</v>
      </c>
      <c r="G1029" s="12" t="n">
        <v>1</v>
      </c>
      <c r="H1029" s="72" t="n"/>
      <c r="I1029" s="72" t="n"/>
      <c r="J1029" s="72" t="n"/>
      <c r="K1029" s="72" t="inlineStr">
        <is>
          <t>4990-0000</t>
        </is>
      </c>
      <c r="L1029" s="72" t="n"/>
    </row>
    <row r="1030">
      <c r="A1030" s="72" t="inlineStr">
        <is>
          <t>4600-1000</t>
        </is>
      </c>
      <c r="B1030" s="72" t="inlineStr">
        <is>
          <t>HUD Income</t>
        </is>
      </c>
      <c r="C1030" s="72" t="inlineStr">
        <is>
          <t>Credit</t>
        </is>
      </c>
      <c r="D1030" s="72" t="inlineStr">
        <is>
          <t>Reg</t>
        </is>
      </c>
      <c r="E1030" s="72" t="inlineStr">
        <is>
          <t>Inc</t>
        </is>
      </c>
      <c r="F1030" s="12" t="n">
        <v>8</v>
      </c>
      <c r="G1030" s="12" t="n">
        <v>1</v>
      </c>
      <c r="H1030" s="72" t="n"/>
      <c r="I1030" s="72" t="n"/>
      <c r="J1030" s="72" t="n"/>
      <c r="K1030" s="72" t="inlineStr">
        <is>
          <t>4990-0000</t>
        </is>
      </c>
      <c r="L1030" s="72" t="n"/>
    </row>
    <row r="1031">
      <c r="A1031" s="72" t="inlineStr">
        <is>
          <t>4710-0000</t>
        </is>
      </c>
      <c r="B1031" s="72" t="inlineStr">
        <is>
          <t>Less: Concessions</t>
        </is>
      </c>
      <c r="C1031" s="72" t="inlineStr">
        <is>
          <t>Credit</t>
        </is>
      </c>
      <c r="D1031" s="72" t="inlineStr">
        <is>
          <t>Reg</t>
        </is>
      </c>
      <c r="E1031" s="72" t="inlineStr">
        <is>
          <t>Inc</t>
        </is>
      </c>
      <c r="F1031" s="12" t="n">
        <v>8</v>
      </c>
      <c r="G1031" s="12" t="n">
        <v>1</v>
      </c>
      <c r="H1031" s="72" t="n"/>
      <c r="I1031" s="72" t="n"/>
      <c r="J1031" s="72" t="n"/>
      <c r="K1031" s="72" t="inlineStr">
        <is>
          <t>4990-0000</t>
        </is>
      </c>
      <c r="L1031" s="72" t="n"/>
    </row>
    <row r="1032">
      <c r="A1032" s="72" t="inlineStr">
        <is>
          <t>4710-0001</t>
        </is>
      </c>
      <c r="B1032" s="72" t="inlineStr">
        <is>
          <t>Less: Rent Abatement</t>
        </is>
      </c>
      <c r="C1032" s="72" t="inlineStr">
        <is>
          <t>Credit</t>
        </is>
      </c>
      <c r="D1032" s="72" t="inlineStr">
        <is>
          <t>Reg</t>
        </is>
      </c>
      <c r="E1032" s="72" t="inlineStr">
        <is>
          <t>Inc</t>
        </is>
      </c>
      <c r="F1032" s="12" t="n">
        <v>8</v>
      </c>
      <c r="G1032" s="12" t="n">
        <v>1</v>
      </c>
      <c r="H1032" s="72" t="n"/>
      <c r="I1032" s="72" t="n"/>
      <c r="J1032" s="72" t="n"/>
      <c r="K1032" s="72" t="inlineStr">
        <is>
          <t>4990-0000</t>
        </is>
      </c>
      <c r="L1032" s="72" t="n"/>
    </row>
    <row r="1033">
      <c r="A1033" s="72" t="inlineStr">
        <is>
          <t>4710-0002</t>
        </is>
      </c>
      <c r="B1033" s="72" t="inlineStr">
        <is>
          <t>Less: Owner Rent Agreement</t>
        </is>
      </c>
      <c r="C1033" s="72" t="inlineStr">
        <is>
          <t>Credit</t>
        </is>
      </c>
      <c r="D1033" s="72" t="inlineStr">
        <is>
          <t>Reg</t>
        </is>
      </c>
      <c r="E1033" s="72" t="inlineStr">
        <is>
          <t>Inc</t>
        </is>
      </c>
      <c r="F1033" s="12" t="n">
        <v>8</v>
      </c>
      <c r="G1033" s="12" t="n">
        <v>1</v>
      </c>
      <c r="H1033" s="72" t="n"/>
      <c r="I1033" s="72" t="n"/>
      <c r="J1033" s="72" t="n"/>
      <c r="K1033" s="72" t="inlineStr">
        <is>
          <t>4990-0000</t>
        </is>
      </c>
      <c r="L1033" s="72" t="n"/>
    </row>
    <row r="1034">
      <c r="A1034" s="72" t="inlineStr">
        <is>
          <t>4710-0003</t>
        </is>
      </c>
      <c r="B1034" s="72" t="inlineStr">
        <is>
          <t>Less: Storage Rent Abatement</t>
        </is>
      </c>
      <c r="C1034" s="72" t="inlineStr">
        <is>
          <t>Credit</t>
        </is>
      </c>
      <c r="D1034" s="72" t="inlineStr">
        <is>
          <t>Reg</t>
        </is>
      </c>
      <c r="E1034" s="72" t="inlineStr">
        <is>
          <t>Inc</t>
        </is>
      </c>
      <c r="F1034" s="12" t="n">
        <v>8</v>
      </c>
      <c r="G1034" s="12" t="n">
        <v>1</v>
      </c>
      <c r="H1034" s="72" t="n"/>
      <c r="I1034" s="72" t="n"/>
      <c r="J1034" s="72" t="n"/>
      <c r="K1034" s="72" t="inlineStr">
        <is>
          <t>4990-0000</t>
        </is>
      </c>
      <c r="L1034" s="72" t="n"/>
    </row>
    <row r="1035">
      <c r="A1035" s="72" t="inlineStr">
        <is>
          <t>4710-0004</t>
        </is>
      </c>
      <c r="B1035" s="72" t="inlineStr">
        <is>
          <t>Less: Owner Collected Rent</t>
        </is>
      </c>
      <c r="C1035" s="72" t="inlineStr">
        <is>
          <t>Credit</t>
        </is>
      </c>
      <c r="D1035" s="72" t="inlineStr">
        <is>
          <t>Reg</t>
        </is>
      </c>
      <c r="E1035" s="72" t="inlineStr">
        <is>
          <t>Inc</t>
        </is>
      </c>
      <c r="F1035" s="12" t="n">
        <v>8</v>
      </c>
      <c r="G1035" s="12" t="n">
        <v>1</v>
      </c>
      <c r="H1035" s="72" t="n"/>
      <c r="I1035" s="72" t="n"/>
      <c r="J1035" s="72" t="n"/>
      <c r="K1035" s="72" t="inlineStr">
        <is>
          <t>4990-0000</t>
        </is>
      </c>
      <c r="L1035" s="72" t="n"/>
    </row>
    <row r="1036">
      <c r="A1036" s="72" t="inlineStr">
        <is>
          <t>4710-0005</t>
        </is>
      </c>
      <c r="B1036" s="72" t="inlineStr">
        <is>
          <t>Rent Arrearage From Previous Owner</t>
        </is>
      </c>
      <c r="C1036" s="72" t="inlineStr">
        <is>
          <t>Credit</t>
        </is>
      </c>
      <c r="D1036" s="72" t="inlineStr">
        <is>
          <t>Reg</t>
        </is>
      </c>
      <c r="E1036" s="72" t="inlineStr">
        <is>
          <t>Inc</t>
        </is>
      </c>
      <c r="F1036" s="12" t="n">
        <v>8</v>
      </c>
      <c r="G1036" s="12" t="n">
        <v>1</v>
      </c>
      <c r="H1036" s="72" t="n"/>
      <c r="I1036" s="72" t="n"/>
      <c r="J1036" s="72" t="n"/>
      <c r="K1036" s="72" t="inlineStr">
        <is>
          <t>4990-0000</t>
        </is>
      </c>
      <c r="L1036" s="72" t="n"/>
    </row>
    <row r="1037">
      <c r="A1037" s="72" t="inlineStr">
        <is>
          <t>4710-0006</t>
        </is>
      </c>
      <c r="B1037" s="72" t="inlineStr">
        <is>
          <t>Bad Debt Write Off</t>
        </is>
      </c>
      <c r="C1037" s="72" t="inlineStr">
        <is>
          <t>Credit</t>
        </is>
      </c>
      <c r="D1037" s="72" t="inlineStr">
        <is>
          <t>Reg</t>
        </is>
      </c>
      <c r="E1037" s="72" t="inlineStr">
        <is>
          <t>Inc</t>
        </is>
      </c>
      <c r="F1037" s="12" t="n">
        <v>8</v>
      </c>
      <c r="G1037" s="12" t="n">
        <v>1</v>
      </c>
      <c r="H1037" s="72" t="n"/>
      <c r="I1037" s="72" t="n"/>
      <c r="J1037" s="72" t="n"/>
      <c r="K1037" s="72" t="inlineStr">
        <is>
          <t>4990-0000</t>
        </is>
      </c>
      <c r="L1037" s="72" t="n"/>
    </row>
    <row r="1038">
      <c r="A1038" s="72" t="inlineStr">
        <is>
          <t>4710-1000</t>
        </is>
      </c>
      <c r="B1038" s="72" t="inlineStr">
        <is>
          <t>Maintenance Rent Free Unit</t>
        </is>
      </c>
      <c r="C1038" s="72" t="inlineStr">
        <is>
          <t>Credit</t>
        </is>
      </c>
      <c r="D1038" s="72" t="inlineStr">
        <is>
          <t>Reg</t>
        </is>
      </c>
      <c r="E1038" s="72" t="inlineStr">
        <is>
          <t>Inc</t>
        </is>
      </c>
      <c r="F1038" s="12" t="n">
        <v>8</v>
      </c>
      <c r="G1038" s="12" t="n">
        <v>1</v>
      </c>
      <c r="H1038" s="72" t="n"/>
      <c r="I1038" s="72" t="n"/>
      <c r="J1038" s="72" t="n"/>
      <c r="K1038" s="72" t="inlineStr">
        <is>
          <t>4990-0000</t>
        </is>
      </c>
      <c r="L1038" s="72" t="n"/>
    </row>
    <row r="1039">
      <c r="A1039" s="72" t="inlineStr">
        <is>
          <t>4710-1001</t>
        </is>
      </c>
      <c r="B1039" s="72" t="inlineStr">
        <is>
          <t>Owner Rent Free Unit</t>
        </is>
      </c>
      <c r="C1039" s="72" t="inlineStr">
        <is>
          <t>Credit</t>
        </is>
      </c>
      <c r="D1039" s="72" t="inlineStr">
        <is>
          <t>Reg</t>
        </is>
      </c>
      <c r="E1039" s="72" t="inlineStr">
        <is>
          <t>Inc</t>
        </is>
      </c>
      <c r="F1039" s="12" t="n">
        <v>8</v>
      </c>
      <c r="G1039" s="12" t="n">
        <v>1</v>
      </c>
      <c r="H1039" s="72" t="n"/>
      <c r="I1039" s="72" t="n"/>
      <c r="J1039" s="72" t="n"/>
      <c r="K1039" s="72" t="inlineStr">
        <is>
          <t>4990-0000</t>
        </is>
      </c>
      <c r="L1039" s="72" t="n"/>
    </row>
    <row r="1040">
      <c r="A1040" s="72" t="inlineStr">
        <is>
          <t>4715-0000</t>
        </is>
      </c>
      <c r="B1040" s="72" t="inlineStr">
        <is>
          <t>Less: Sec Deposit Interest Paid to Tenant</t>
        </is>
      </c>
      <c r="C1040" s="72" t="inlineStr">
        <is>
          <t>Credit</t>
        </is>
      </c>
      <c r="D1040" s="72" t="inlineStr">
        <is>
          <t>Reg</t>
        </is>
      </c>
      <c r="E1040" s="72" t="inlineStr">
        <is>
          <t>Inc</t>
        </is>
      </c>
      <c r="F1040" s="12" t="n">
        <v>8</v>
      </c>
      <c r="G1040" s="12" t="n">
        <v>1</v>
      </c>
      <c r="H1040" s="72" t="n"/>
      <c r="I1040" s="72" t="n"/>
      <c r="J1040" s="72" t="n"/>
      <c r="K1040" s="72" t="inlineStr">
        <is>
          <t>4990-0000</t>
        </is>
      </c>
      <c r="L1040" s="72" t="n"/>
    </row>
    <row r="1041">
      <c r="A1041" s="72" t="inlineStr">
        <is>
          <t>4720-0000</t>
        </is>
      </c>
      <c r="B1041" s="72" t="inlineStr">
        <is>
          <t>Less: Delinquency</t>
        </is>
      </c>
      <c r="C1041" s="72" t="inlineStr">
        <is>
          <t>Credit</t>
        </is>
      </c>
      <c r="D1041" s="72" t="inlineStr">
        <is>
          <t>Reg</t>
        </is>
      </c>
      <c r="E1041" s="72" t="inlineStr">
        <is>
          <t>Inc</t>
        </is>
      </c>
      <c r="F1041" s="12" t="n">
        <v>8</v>
      </c>
      <c r="G1041" s="12" t="n">
        <v>1</v>
      </c>
      <c r="H1041" s="72" t="n"/>
      <c r="I1041" s="72" t="n"/>
      <c r="J1041" s="72" t="n"/>
      <c r="K1041" s="72" t="inlineStr">
        <is>
          <t>4990-0000</t>
        </is>
      </c>
      <c r="L1041" s="72" t="n"/>
    </row>
    <row r="1042">
      <c r="A1042" s="72" t="inlineStr">
        <is>
          <t>4730-0000</t>
        </is>
      </c>
      <c r="B1042" s="72" t="inlineStr">
        <is>
          <t>Less: Vacancy</t>
        </is>
      </c>
      <c r="C1042" s="72" t="inlineStr">
        <is>
          <t>Credit</t>
        </is>
      </c>
      <c r="D1042" s="72" t="inlineStr">
        <is>
          <t>Reg</t>
        </is>
      </c>
      <c r="E1042" s="72" t="inlineStr">
        <is>
          <t>Inc</t>
        </is>
      </c>
      <c r="F1042" s="12" t="n">
        <v>1</v>
      </c>
      <c r="G1042" s="12" t="n">
        <v>1</v>
      </c>
      <c r="H1042" s="72" t="n"/>
      <c r="I1042" s="72" t="n"/>
      <c r="J1042" s="72" t="n"/>
      <c r="K1042" s="72" t="inlineStr">
        <is>
          <t>4990-0000</t>
        </is>
      </c>
      <c r="L1042" s="72" t="n"/>
    </row>
    <row r="1043">
      <c r="A1043" s="72" t="inlineStr">
        <is>
          <t>4810-0000</t>
        </is>
      </c>
      <c r="B1043" s="72" t="inlineStr">
        <is>
          <t>Plus: Prepaid</t>
        </is>
      </c>
      <c r="C1043" s="72" t="inlineStr">
        <is>
          <t>Credit</t>
        </is>
      </c>
      <c r="D1043" s="72" t="inlineStr">
        <is>
          <t>Reg</t>
        </is>
      </c>
      <c r="E1043" s="72" t="inlineStr">
        <is>
          <t>Inc</t>
        </is>
      </c>
      <c r="F1043" s="12" t="n">
        <v>8</v>
      </c>
      <c r="G1043" s="12" t="n">
        <v>1</v>
      </c>
      <c r="H1043" s="72" t="n"/>
      <c r="I1043" s="72" t="inlineStr">
        <is>
          <t>4500-0000</t>
        </is>
      </c>
      <c r="J1043" s="72" t="n"/>
      <c r="K1043" s="72" t="inlineStr">
        <is>
          <t>4990-0000</t>
        </is>
      </c>
      <c r="L1043" s="72" t="inlineStr">
        <is>
          <t>Prepay</t>
        </is>
      </c>
    </row>
    <row r="1044">
      <c r="A1044" s="72" t="inlineStr">
        <is>
          <t>4820-0000</t>
        </is>
      </c>
      <c r="B1044" s="72" t="inlineStr">
        <is>
          <t>Plus: Last Month in Advance</t>
        </is>
      </c>
      <c r="C1044" s="72" t="inlineStr">
        <is>
          <t>Credit</t>
        </is>
      </c>
      <c r="D1044" s="72" t="inlineStr">
        <is>
          <t>Reg</t>
        </is>
      </c>
      <c r="E1044" s="72" t="inlineStr">
        <is>
          <t>Inc</t>
        </is>
      </c>
      <c r="F1044" s="12" t="n">
        <v>8</v>
      </c>
      <c r="G1044" s="12" t="n">
        <v>2</v>
      </c>
      <c r="H1044" s="72" t="n"/>
      <c r="I1044" s="72" t="n"/>
      <c r="J1044" s="72" t="n"/>
      <c r="K1044" s="72" t="inlineStr">
        <is>
          <t>4990-0000</t>
        </is>
      </c>
      <c r="L1044" s="72" t="inlineStr">
        <is>
          <t>Comm.</t>
        </is>
      </c>
    </row>
    <row r="1045">
      <c r="A1045" s="72" t="inlineStr">
        <is>
          <t>4990-0000</t>
        </is>
      </c>
      <c r="B1045" s="72" t="inlineStr">
        <is>
          <t>NET RENT INCOME</t>
        </is>
      </c>
      <c r="C1045" s="72" t="inlineStr">
        <is>
          <t>Credit</t>
        </is>
      </c>
      <c r="D1045" s="72" t="inlineStr">
        <is>
          <t>Tot</t>
        </is>
      </c>
      <c r="E1045" s="72" t="inlineStr">
        <is>
          <t>Inc</t>
        </is>
      </c>
      <c r="F1045" s="12" t="n">
        <v>12</v>
      </c>
      <c r="G1045" s="12" t="n">
        <v>1</v>
      </c>
      <c r="H1045" s="72" t="n"/>
      <c r="I1045" s="72" t="n"/>
      <c r="J1045" s="72" t="n"/>
      <c r="K1045" s="72" t="inlineStr">
        <is>
          <t>5990-0000</t>
        </is>
      </c>
      <c r="L1045" s="72" t="n"/>
    </row>
    <row r="1046">
      <c r="A1046" s="72" t="inlineStr">
        <is>
          <t>5000-0000</t>
        </is>
      </c>
      <c r="B1046" s="72" t="inlineStr">
        <is>
          <t>ANCILLARY INCOME</t>
        </is>
      </c>
      <c r="C1046" s="72" t="inlineStr">
        <is>
          <t>Credit</t>
        </is>
      </c>
      <c r="D1046" s="72" t="inlineStr">
        <is>
          <t>Head</t>
        </is>
      </c>
      <c r="E1046" s="72" t="inlineStr">
        <is>
          <t>Inc</t>
        </is>
      </c>
      <c r="F1046" s="12" t="n">
        <v>4</v>
      </c>
      <c r="G1046" s="12" t="n">
        <v>2</v>
      </c>
      <c r="H1046" s="72" t="n"/>
      <c r="I1046" s="72" t="n"/>
      <c r="J1046" s="72" t="n"/>
      <c r="K1046" s="72" t="inlineStr">
        <is>
          <t>5000-1000</t>
        </is>
      </c>
      <c r="L1046" s="72" t="n"/>
    </row>
    <row r="1047">
      <c r="A1047" s="72" t="inlineStr">
        <is>
          <t>5000-0001</t>
        </is>
      </c>
      <c r="B1047" s="72" t="inlineStr">
        <is>
          <t>Merchandise Income</t>
        </is>
      </c>
      <c r="C1047" s="72" t="inlineStr">
        <is>
          <t>Credit</t>
        </is>
      </c>
      <c r="D1047" s="72" t="inlineStr">
        <is>
          <t>Reg</t>
        </is>
      </c>
      <c r="E1047" s="72" t="inlineStr">
        <is>
          <t>Inc</t>
        </is>
      </c>
      <c r="F1047" s="12" t="n">
        <v>8</v>
      </c>
      <c r="G1047" s="12" t="n">
        <v>1</v>
      </c>
      <c r="H1047" s="72" t="n"/>
      <c r="I1047" s="72" t="n"/>
      <c r="J1047" s="72" t="n"/>
      <c r="K1047" s="72" t="inlineStr">
        <is>
          <t>5000-0003</t>
        </is>
      </c>
      <c r="L1047" s="72" t="n"/>
    </row>
    <row r="1048">
      <c r="A1048" s="72" t="inlineStr">
        <is>
          <t>5000-0002</t>
        </is>
      </c>
      <c r="B1048" s="72" t="inlineStr">
        <is>
          <t>Merchandise COGS</t>
        </is>
      </c>
      <c r="C1048" s="72" t="inlineStr">
        <is>
          <t>Credit</t>
        </is>
      </c>
      <c r="D1048" s="72" t="inlineStr">
        <is>
          <t>Reg</t>
        </is>
      </c>
      <c r="E1048" s="72" t="inlineStr">
        <is>
          <t>Inc</t>
        </is>
      </c>
      <c r="F1048" s="12" t="n">
        <v>8</v>
      </c>
      <c r="G1048" s="12" t="n">
        <v>1</v>
      </c>
      <c r="H1048" s="72" t="n"/>
      <c r="I1048" s="72" t="n"/>
      <c r="J1048" s="72" t="n"/>
      <c r="K1048" s="72" t="inlineStr">
        <is>
          <t>5000-0003</t>
        </is>
      </c>
      <c r="L1048" s="72" t="n"/>
    </row>
    <row r="1049">
      <c r="A1049" s="72" t="inlineStr">
        <is>
          <t>5000-0003</t>
        </is>
      </c>
      <c r="B1049" s="72" t="inlineStr">
        <is>
          <t>Net Merchandise Sales</t>
        </is>
      </c>
      <c r="C1049" s="72" t="inlineStr">
        <is>
          <t>Credit</t>
        </is>
      </c>
      <c r="D1049" s="72" t="inlineStr">
        <is>
          <t>Tot</t>
        </is>
      </c>
      <c r="E1049" s="72" t="inlineStr">
        <is>
          <t>Inc</t>
        </is>
      </c>
      <c r="F1049" s="12" t="n">
        <v>12</v>
      </c>
      <c r="G1049" s="12" t="n">
        <v>1</v>
      </c>
      <c r="H1049" s="72" t="n"/>
      <c r="I1049" s="72" t="n"/>
      <c r="J1049" s="72" t="n"/>
      <c r="K1049" s="72" t="inlineStr">
        <is>
          <t>5000-1000</t>
        </is>
      </c>
      <c r="L1049" s="72" t="n"/>
    </row>
    <row r="1050">
      <c r="A1050" s="72" t="inlineStr">
        <is>
          <t>5000-0010</t>
        </is>
      </c>
      <c r="B1050" s="72" t="inlineStr">
        <is>
          <t>Tenant Protection Income</t>
        </is>
      </c>
      <c r="C1050" s="72" t="inlineStr">
        <is>
          <t>Credit</t>
        </is>
      </c>
      <c r="D1050" s="72" t="inlineStr">
        <is>
          <t>Reg</t>
        </is>
      </c>
      <c r="E1050" s="72" t="inlineStr">
        <is>
          <t>Inc</t>
        </is>
      </c>
      <c r="F1050" s="12" t="n">
        <v>8</v>
      </c>
      <c r="G1050" s="12" t="n">
        <v>1</v>
      </c>
      <c r="H1050" s="72" t="n"/>
      <c r="I1050" s="72" t="n"/>
      <c r="J1050" s="72" t="n"/>
      <c r="K1050" s="72" t="inlineStr">
        <is>
          <t>5000-0012</t>
        </is>
      </c>
      <c r="L1050" s="72" t="n"/>
    </row>
    <row r="1051">
      <c r="A1051" s="72" t="inlineStr">
        <is>
          <t>5000-0011</t>
        </is>
      </c>
      <c r="B1051" s="72" t="inlineStr">
        <is>
          <t>Tenant Protection COGS</t>
        </is>
      </c>
      <c r="C1051" s="72" t="inlineStr">
        <is>
          <t>Credit</t>
        </is>
      </c>
      <c r="D1051" s="72" t="inlineStr">
        <is>
          <t>Reg</t>
        </is>
      </c>
      <c r="E1051" s="72" t="inlineStr">
        <is>
          <t>Inc</t>
        </is>
      </c>
      <c r="F1051" s="12" t="n">
        <v>8</v>
      </c>
      <c r="G1051" s="12" t="n">
        <v>1</v>
      </c>
      <c r="H1051" s="72" t="n"/>
      <c r="I1051" s="72" t="n"/>
      <c r="J1051" s="72" t="n"/>
      <c r="K1051" s="72" t="inlineStr">
        <is>
          <t>5000-0012</t>
        </is>
      </c>
      <c r="L1051" s="72" t="n"/>
    </row>
    <row r="1052">
      <c r="A1052" s="72" t="inlineStr">
        <is>
          <t>5000-0012</t>
        </is>
      </c>
      <c r="B1052" s="72" t="inlineStr">
        <is>
          <t>Net Tenant Protection Income</t>
        </is>
      </c>
      <c r="C1052" s="72" t="inlineStr">
        <is>
          <t>Credit</t>
        </is>
      </c>
      <c r="D1052" s="72" t="inlineStr">
        <is>
          <t>Tot</t>
        </is>
      </c>
      <c r="E1052" s="72" t="inlineStr">
        <is>
          <t>Inc</t>
        </is>
      </c>
      <c r="F1052" s="12" t="n">
        <v>12</v>
      </c>
      <c r="G1052" s="12" t="n">
        <v>1</v>
      </c>
      <c r="H1052" s="72" t="n"/>
      <c r="I1052" s="72" t="n"/>
      <c r="J1052" s="72" t="n"/>
      <c r="K1052" s="72" t="inlineStr">
        <is>
          <t>5000-1000</t>
        </is>
      </c>
      <c r="L1052" s="72" t="n"/>
    </row>
    <row r="1053">
      <c r="A1053" s="72" t="inlineStr">
        <is>
          <t>5000-1000</t>
        </is>
      </c>
      <c r="B1053" s="72" t="inlineStr">
        <is>
          <t>TOTAL ANCILLARY INCOME</t>
        </is>
      </c>
      <c r="C1053" s="72" t="inlineStr">
        <is>
          <t>Credit</t>
        </is>
      </c>
      <c r="D1053" s="72" t="inlineStr">
        <is>
          <t>Tot</t>
        </is>
      </c>
      <c r="E1053" s="72" t="inlineStr">
        <is>
          <t>Inc</t>
        </is>
      </c>
      <c r="F1053" s="12" t="n">
        <v>12</v>
      </c>
      <c r="G1053" s="12" t="n">
        <v>1</v>
      </c>
      <c r="H1053" s="72" t="n"/>
      <c r="I1053" s="72" t="n"/>
      <c r="J1053" s="72" t="n"/>
      <c r="K1053" s="72" t="inlineStr">
        <is>
          <t>5990-0000</t>
        </is>
      </c>
      <c r="L1053" s="72" t="n"/>
    </row>
    <row r="1054">
      <c r="A1054" s="72" t="inlineStr">
        <is>
          <t>5100-0000</t>
        </is>
      </c>
      <c r="B1054" s="72" t="inlineStr">
        <is>
          <t>EXPENSE REIMBURSEMENT</t>
        </is>
      </c>
      <c r="C1054" s="72" t="inlineStr">
        <is>
          <t>Credit</t>
        </is>
      </c>
      <c r="D1054" s="72" t="inlineStr">
        <is>
          <t>Head</t>
        </is>
      </c>
      <c r="E1054" s="72" t="inlineStr">
        <is>
          <t>Inc</t>
        </is>
      </c>
      <c r="F1054" s="12" t="n">
        <v>4</v>
      </c>
      <c r="G1054" s="12" t="n">
        <v>2</v>
      </c>
      <c r="H1054" s="72" t="n"/>
      <c r="I1054" s="72" t="n"/>
      <c r="J1054" s="72" t="n"/>
      <c r="K1054" s="72" t="n"/>
      <c r="L1054" s="72" t="n"/>
    </row>
    <row r="1055">
      <c r="A1055" s="72" t="inlineStr">
        <is>
          <t>5110-0000</t>
        </is>
      </c>
      <c r="B1055" s="72" t="inlineStr">
        <is>
          <t>Passthru Improvements TI</t>
        </is>
      </c>
      <c r="C1055" s="72" t="inlineStr">
        <is>
          <t>Credit</t>
        </is>
      </c>
      <c r="D1055" s="72" t="inlineStr">
        <is>
          <t>Reg</t>
        </is>
      </c>
      <c r="E1055" s="72" t="inlineStr">
        <is>
          <t>Inc</t>
        </is>
      </c>
      <c r="F1055" s="12" t="n">
        <v>8</v>
      </c>
      <c r="G1055" s="12" t="n">
        <v>1</v>
      </c>
      <c r="H1055" s="72" t="n"/>
      <c r="I1055" s="72" t="n"/>
      <c r="J1055" s="72" t="n"/>
      <c r="K1055" s="72" t="inlineStr">
        <is>
          <t>5490-0000</t>
        </is>
      </c>
      <c r="L1055" s="72" t="n"/>
    </row>
    <row r="1056">
      <c r="A1056" s="72" t="inlineStr">
        <is>
          <t>5200-0000</t>
        </is>
      </c>
      <c r="B1056" s="72" t="inlineStr">
        <is>
          <t>Passthru Maintenance</t>
        </is>
      </c>
      <c r="C1056" s="72" t="inlineStr">
        <is>
          <t>Credit</t>
        </is>
      </c>
      <c r="D1056" s="72" t="inlineStr">
        <is>
          <t>Reg</t>
        </is>
      </c>
      <c r="E1056" s="72" t="inlineStr">
        <is>
          <t>Inc</t>
        </is>
      </c>
      <c r="F1056" s="12" t="n">
        <v>8</v>
      </c>
      <c r="G1056" s="12" t="n">
        <v>1</v>
      </c>
      <c r="H1056" s="72" t="n"/>
      <c r="I1056" s="72" t="n"/>
      <c r="J1056" s="72" t="n"/>
      <c r="K1056" s="72" t="inlineStr">
        <is>
          <t>5490-0000</t>
        </is>
      </c>
      <c r="L1056" s="72" t="n"/>
    </row>
    <row r="1057">
      <c r="A1057" s="72" t="inlineStr">
        <is>
          <t>5210-0000</t>
        </is>
      </c>
      <c r="B1057" s="72" t="inlineStr">
        <is>
          <t>Passthru Repairs and Maintenance</t>
        </is>
      </c>
      <c r="C1057" s="72" t="inlineStr">
        <is>
          <t>Credit</t>
        </is>
      </c>
      <c r="D1057" s="72" t="inlineStr">
        <is>
          <t>Reg</t>
        </is>
      </c>
      <c r="E1057" s="72" t="inlineStr">
        <is>
          <t>Inc</t>
        </is>
      </c>
      <c r="F1057" s="12" t="n">
        <v>8</v>
      </c>
      <c r="G1057" s="12" t="n">
        <v>1</v>
      </c>
      <c r="H1057" s="72" t="n"/>
      <c r="I1057" s="72" t="n"/>
      <c r="J1057" s="72" t="n"/>
      <c r="K1057" s="72" t="inlineStr">
        <is>
          <t>5490-0000</t>
        </is>
      </c>
      <c r="L1057" s="72" t="n"/>
    </row>
    <row r="1058">
      <c r="A1058" s="72" t="inlineStr">
        <is>
          <t>5212-0000</t>
        </is>
      </c>
      <c r="B1058" s="72" t="inlineStr">
        <is>
          <t>Passthru Supplies Repairs and Maintenance</t>
        </is>
      </c>
      <c r="C1058" s="72" t="inlineStr">
        <is>
          <t>Credit</t>
        </is>
      </c>
      <c r="D1058" s="72" t="inlineStr">
        <is>
          <t>Reg</t>
        </is>
      </c>
      <c r="E1058" s="72" t="inlineStr">
        <is>
          <t>Inc</t>
        </is>
      </c>
      <c r="F1058" s="12" t="n">
        <v>8</v>
      </c>
      <c r="G1058" s="12" t="n">
        <v>1</v>
      </c>
      <c r="H1058" s="72" t="n"/>
      <c r="I1058" s="72" t="n"/>
      <c r="J1058" s="72" t="n"/>
      <c r="K1058" s="72" t="inlineStr">
        <is>
          <t>5490-0000</t>
        </is>
      </c>
      <c r="L1058" s="72" t="n"/>
    </row>
    <row r="1059">
      <c r="A1059" s="72" t="inlineStr">
        <is>
          <t>5215-0000</t>
        </is>
      </c>
      <c r="B1059" s="72" t="inlineStr">
        <is>
          <t>Passthru Legal fees</t>
        </is>
      </c>
      <c r="C1059" s="72" t="inlineStr">
        <is>
          <t>Credit</t>
        </is>
      </c>
      <c r="D1059" s="72" t="inlineStr">
        <is>
          <t>Reg</t>
        </is>
      </c>
      <c r="E1059" s="72" t="inlineStr">
        <is>
          <t>Inc</t>
        </is>
      </c>
      <c r="F1059" s="12" t="n">
        <v>8</v>
      </c>
      <c r="G1059" s="12" t="n">
        <v>1</v>
      </c>
      <c r="H1059" s="72" t="n"/>
      <c r="I1059" s="72" t="n"/>
      <c r="J1059" s="72" t="n"/>
      <c r="K1059" s="72" t="inlineStr">
        <is>
          <t>5490-0000</t>
        </is>
      </c>
      <c r="L1059" s="72" t="n"/>
    </row>
    <row r="1060">
      <c r="A1060" s="72" t="inlineStr">
        <is>
          <t>5217-0000</t>
        </is>
      </c>
      <c r="B1060" s="72" t="inlineStr">
        <is>
          <t>Passthru Fees, Dues, Licenses and Permits</t>
        </is>
      </c>
      <c r="C1060" s="72" t="inlineStr">
        <is>
          <t>Credit</t>
        </is>
      </c>
      <c r="D1060" s="72" t="inlineStr">
        <is>
          <t>Reg</t>
        </is>
      </c>
      <c r="E1060" s="72" t="inlineStr">
        <is>
          <t>Inc</t>
        </is>
      </c>
      <c r="F1060" s="12" t="n">
        <v>8</v>
      </c>
      <c r="G1060" s="12" t="n">
        <v>1</v>
      </c>
      <c r="H1060" s="72" t="n"/>
      <c r="I1060" s="72" t="n"/>
      <c r="J1060" s="72" t="n"/>
      <c r="K1060" s="72" t="inlineStr">
        <is>
          <t>5490-0000</t>
        </is>
      </c>
      <c r="L1060" s="72" t="n"/>
    </row>
    <row r="1061">
      <c r="A1061" s="72" t="inlineStr">
        <is>
          <t>5218-0000</t>
        </is>
      </c>
      <c r="B1061" s="72" t="inlineStr">
        <is>
          <t>Passthru Workers Compensation</t>
        </is>
      </c>
      <c r="C1061" s="72" t="inlineStr">
        <is>
          <t>Credit</t>
        </is>
      </c>
      <c r="D1061" s="72" t="inlineStr">
        <is>
          <t>Reg</t>
        </is>
      </c>
      <c r="E1061" s="72" t="inlineStr">
        <is>
          <t>Inc</t>
        </is>
      </c>
      <c r="F1061" s="12" t="n">
        <v>8</v>
      </c>
      <c r="G1061" s="12" t="n">
        <v>1</v>
      </c>
      <c r="H1061" s="72" t="n"/>
      <c r="I1061" s="72" t="n"/>
      <c r="J1061" s="72" t="n"/>
      <c r="K1061" s="72" t="inlineStr">
        <is>
          <t>5490-0000</t>
        </is>
      </c>
      <c r="L1061" s="72" t="n"/>
    </row>
    <row r="1062">
      <c r="A1062" s="72" t="inlineStr">
        <is>
          <t>5220-0000</t>
        </is>
      </c>
      <c r="B1062" s="72" t="inlineStr">
        <is>
          <t>Passthru Janitorial</t>
        </is>
      </c>
      <c r="C1062" s="72" t="inlineStr">
        <is>
          <t>Credit</t>
        </is>
      </c>
      <c r="D1062" s="72" t="inlineStr">
        <is>
          <t>Reg</t>
        </is>
      </c>
      <c r="E1062" s="72" t="inlineStr">
        <is>
          <t>Inc</t>
        </is>
      </c>
      <c r="F1062" s="12" t="n">
        <v>8</v>
      </c>
      <c r="G1062" s="12" t="n">
        <v>1</v>
      </c>
      <c r="H1062" s="72" t="n"/>
      <c r="I1062" s="72" t="n"/>
      <c r="J1062" s="72" t="n"/>
      <c r="K1062" s="72" t="inlineStr">
        <is>
          <t>5490-0000</t>
        </is>
      </c>
      <c r="L1062" s="72" t="n"/>
    </row>
    <row r="1063">
      <c r="A1063" s="72" t="inlineStr">
        <is>
          <t>5230-0000</t>
        </is>
      </c>
      <c r="B1063" s="72" t="inlineStr">
        <is>
          <t>Passthru Painting</t>
        </is>
      </c>
      <c r="C1063" s="72" t="inlineStr">
        <is>
          <t>Credit</t>
        </is>
      </c>
      <c r="D1063" s="72" t="inlineStr">
        <is>
          <t>Reg</t>
        </is>
      </c>
      <c r="E1063" s="72" t="inlineStr">
        <is>
          <t>Inc</t>
        </is>
      </c>
      <c r="F1063" s="12" t="n">
        <v>8</v>
      </c>
      <c r="G1063" s="12" t="n">
        <v>1</v>
      </c>
      <c r="H1063" s="72" t="n"/>
      <c r="I1063" s="72" t="n"/>
      <c r="J1063" s="72" t="n"/>
      <c r="K1063" s="72" t="inlineStr">
        <is>
          <t>5490-0000</t>
        </is>
      </c>
      <c r="L1063" s="72" t="n"/>
    </row>
    <row r="1064">
      <c r="A1064" s="72" t="inlineStr">
        <is>
          <t>5240-0000</t>
        </is>
      </c>
      <c r="B1064" s="72" t="inlineStr">
        <is>
          <t>Passthru HVAC</t>
        </is>
      </c>
      <c r="C1064" s="72" t="inlineStr">
        <is>
          <t>Credit</t>
        </is>
      </c>
      <c r="D1064" s="72" t="inlineStr">
        <is>
          <t>Reg</t>
        </is>
      </c>
      <c r="E1064" s="72" t="inlineStr">
        <is>
          <t>Inc</t>
        </is>
      </c>
      <c r="F1064" s="12" t="n">
        <v>8</v>
      </c>
      <c r="G1064" s="12" t="n">
        <v>1</v>
      </c>
      <c r="H1064" s="72" t="n"/>
      <c r="I1064" s="72" t="n"/>
      <c r="J1064" s="72" t="n"/>
      <c r="K1064" s="72" t="inlineStr">
        <is>
          <t>5490-0000</t>
        </is>
      </c>
      <c r="L1064" s="72" t="n"/>
    </row>
    <row r="1065">
      <c r="A1065" s="72" t="inlineStr">
        <is>
          <t>5241-0000</t>
        </is>
      </c>
      <c r="B1065" s="72" t="inlineStr">
        <is>
          <t>Passthru Fire Alarm Service</t>
        </is>
      </c>
      <c r="C1065" s="72" t="inlineStr">
        <is>
          <t>Credit</t>
        </is>
      </c>
      <c r="D1065" s="72" t="inlineStr">
        <is>
          <t>Reg</t>
        </is>
      </c>
      <c r="E1065" s="72" t="inlineStr">
        <is>
          <t>Inc</t>
        </is>
      </c>
      <c r="F1065" s="12" t="n">
        <v>8</v>
      </c>
      <c r="G1065" s="12" t="n">
        <v>1</v>
      </c>
      <c r="H1065" s="72" t="n"/>
      <c r="I1065" s="72" t="n"/>
      <c r="J1065" s="72" t="n"/>
      <c r="K1065" s="72" t="inlineStr">
        <is>
          <t>5490-0000</t>
        </is>
      </c>
      <c r="L1065" s="72" t="n"/>
    </row>
    <row r="1066">
      <c r="A1066" s="72" t="inlineStr">
        <is>
          <t>5250-0000</t>
        </is>
      </c>
      <c r="B1066" s="72" t="inlineStr">
        <is>
          <t>Passthru Fines</t>
        </is>
      </c>
      <c r="C1066" s="72" t="inlineStr">
        <is>
          <t>Credit</t>
        </is>
      </c>
      <c r="D1066" s="72" t="inlineStr">
        <is>
          <t>Reg</t>
        </is>
      </c>
      <c r="E1066" s="72" t="inlineStr">
        <is>
          <t>Inc</t>
        </is>
      </c>
      <c r="F1066" s="12" t="n">
        <v>8</v>
      </c>
      <c r="G1066" s="12" t="n">
        <v>1</v>
      </c>
      <c r="H1066" s="72" t="n"/>
      <c r="I1066" s="72" t="n"/>
      <c r="J1066" s="72" t="n"/>
      <c r="K1066" s="72" t="inlineStr">
        <is>
          <t>5490-0000</t>
        </is>
      </c>
      <c r="L1066" s="72" t="n"/>
    </row>
    <row r="1067">
      <c r="A1067" s="72" t="inlineStr">
        <is>
          <t>5260-0000</t>
        </is>
      </c>
      <c r="B1067" s="72" t="inlineStr">
        <is>
          <t>Passthru Gardening</t>
        </is>
      </c>
      <c r="C1067" s="72" t="inlineStr">
        <is>
          <t>Credit</t>
        </is>
      </c>
      <c r="D1067" s="72" t="inlineStr">
        <is>
          <t>Reg</t>
        </is>
      </c>
      <c r="E1067" s="72" t="inlineStr">
        <is>
          <t>Inc</t>
        </is>
      </c>
      <c r="F1067" s="12" t="n">
        <v>8</v>
      </c>
      <c r="G1067" s="12" t="n">
        <v>1</v>
      </c>
      <c r="H1067" s="72" t="n"/>
      <c r="I1067" s="72" t="n"/>
      <c r="J1067" s="72" t="n"/>
      <c r="K1067" s="72" t="inlineStr">
        <is>
          <t>5490-0000</t>
        </is>
      </c>
      <c r="L1067" s="72" t="n"/>
    </row>
    <row r="1068">
      <c r="A1068" s="72" t="inlineStr">
        <is>
          <t>5270-0000</t>
        </is>
      </c>
      <c r="B1068" s="72" t="inlineStr">
        <is>
          <t>Passthru Landscaping</t>
        </is>
      </c>
      <c r="C1068" s="72" t="inlineStr">
        <is>
          <t>Credit</t>
        </is>
      </c>
      <c r="D1068" s="72" t="inlineStr">
        <is>
          <t>Reg</t>
        </is>
      </c>
      <c r="E1068" s="72" t="inlineStr">
        <is>
          <t>Inc</t>
        </is>
      </c>
      <c r="F1068" s="12" t="n">
        <v>8</v>
      </c>
      <c r="G1068" s="12" t="n">
        <v>1</v>
      </c>
      <c r="H1068" s="72" t="n"/>
      <c r="I1068" s="72" t="n"/>
      <c r="J1068" s="72" t="n"/>
      <c r="K1068" s="72" t="inlineStr">
        <is>
          <t>5490-0000</t>
        </is>
      </c>
      <c r="L1068" s="72" t="n"/>
    </row>
    <row r="1069">
      <c r="A1069" s="72" t="inlineStr">
        <is>
          <t>5280-0000</t>
        </is>
      </c>
      <c r="B1069" s="72" t="inlineStr">
        <is>
          <t>Passthru Snow Removal</t>
        </is>
      </c>
      <c r="C1069" s="72" t="inlineStr">
        <is>
          <t>Credit</t>
        </is>
      </c>
      <c r="D1069" s="72" t="inlineStr">
        <is>
          <t>Reg</t>
        </is>
      </c>
      <c r="E1069" s="72" t="inlineStr">
        <is>
          <t>Inc</t>
        </is>
      </c>
      <c r="F1069" s="12" t="n">
        <v>8</v>
      </c>
      <c r="G1069" s="12" t="n">
        <v>1</v>
      </c>
      <c r="H1069" s="72" t="n"/>
      <c r="I1069" s="72" t="n"/>
      <c r="J1069" s="72" t="n"/>
      <c r="K1069" s="72" t="inlineStr">
        <is>
          <t>5490-0000</t>
        </is>
      </c>
      <c r="L1069" s="72" t="n"/>
    </row>
    <row r="1070">
      <c r="A1070" s="72" t="inlineStr">
        <is>
          <t>5300-0000</t>
        </is>
      </c>
      <c r="B1070" s="72" t="inlineStr">
        <is>
          <t>Passthru Management</t>
        </is>
      </c>
      <c r="C1070" s="72" t="inlineStr">
        <is>
          <t>Credit</t>
        </is>
      </c>
      <c r="D1070" s="72" t="inlineStr">
        <is>
          <t>Reg</t>
        </is>
      </c>
      <c r="E1070" s="72" t="inlineStr">
        <is>
          <t>Inc</t>
        </is>
      </c>
      <c r="F1070" s="12" t="n">
        <v>8</v>
      </c>
      <c r="G1070" s="12" t="n">
        <v>1</v>
      </c>
      <c r="H1070" s="72" t="n"/>
      <c r="I1070" s="72" t="n"/>
      <c r="J1070" s="72" t="n"/>
      <c r="K1070" s="72" t="inlineStr">
        <is>
          <t>5490-0000</t>
        </is>
      </c>
      <c r="L1070" s="72" t="n"/>
    </row>
    <row r="1071">
      <c r="A1071" s="72" t="inlineStr">
        <is>
          <t>5310-0000</t>
        </is>
      </c>
      <c r="B1071" s="72" t="inlineStr">
        <is>
          <t>Passthru Security Service</t>
        </is>
      </c>
      <c r="C1071" s="72" t="inlineStr">
        <is>
          <t>Credit</t>
        </is>
      </c>
      <c r="D1071" s="72" t="inlineStr">
        <is>
          <t>Reg</t>
        </is>
      </c>
      <c r="E1071" s="72" t="inlineStr">
        <is>
          <t>Inc</t>
        </is>
      </c>
      <c r="F1071" s="12" t="n">
        <v>8</v>
      </c>
      <c r="G1071" s="12" t="n">
        <v>1</v>
      </c>
      <c r="H1071" s="72" t="n"/>
      <c r="I1071" s="72" t="n"/>
      <c r="J1071" s="72" t="n"/>
      <c r="K1071" s="72" t="inlineStr">
        <is>
          <t>5490-0000</t>
        </is>
      </c>
      <c r="L1071" s="72" t="n"/>
    </row>
    <row r="1072">
      <c r="A1072" s="72" t="inlineStr">
        <is>
          <t>5320-0000</t>
        </is>
      </c>
      <c r="B1072" s="72" t="inlineStr">
        <is>
          <t>Estimated Insurance Charges</t>
        </is>
      </c>
      <c r="C1072" s="72" t="inlineStr">
        <is>
          <t>Credit</t>
        </is>
      </c>
      <c r="D1072" s="72" t="inlineStr">
        <is>
          <t>Reg</t>
        </is>
      </c>
      <c r="E1072" s="72" t="inlineStr">
        <is>
          <t>Inc</t>
        </is>
      </c>
      <c r="F1072" s="12" t="n">
        <v>8</v>
      </c>
      <c r="G1072" s="12" t="n">
        <v>1</v>
      </c>
      <c r="H1072" s="72" t="n"/>
      <c r="I1072" s="72" t="n"/>
      <c r="J1072" s="72" t="n"/>
      <c r="K1072" s="72" t="inlineStr">
        <is>
          <t>5490-0000</t>
        </is>
      </c>
      <c r="L1072" s="72" t="n"/>
    </row>
    <row r="1073">
      <c r="A1073" s="72" t="inlineStr">
        <is>
          <t>5320-0001</t>
        </is>
      </c>
      <c r="B1073" s="72" t="inlineStr">
        <is>
          <t>Insurance Abatement</t>
        </is>
      </c>
      <c r="C1073" s="72" t="inlineStr">
        <is>
          <t>Debit</t>
        </is>
      </c>
      <c r="D1073" s="72" t="inlineStr">
        <is>
          <t>Reg</t>
        </is>
      </c>
      <c r="E1073" s="72" t="inlineStr">
        <is>
          <t>Inc</t>
        </is>
      </c>
      <c r="F1073" s="12" t="n">
        <v>8</v>
      </c>
      <c r="G1073" s="12" t="n">
        <v>1</v>
      </c>
      <c r="H1073" s="72" t="n"/>
      <c r="I1073" s="72" t="n"/>
      <c r="J1073" s="72" t="n"/>
      <c r="K1073" s="72" t="inlineStr">
        <is>
          <t>5490-0000</t>
        </is>
      </c>
      <c r="L1073" s="72" t="n"/>
    </row>
    <row r="1074">
      <c r="A1074" s="72" t="inlineStr">
        <is>
          <t>5350-0000</t>
        </is>
      </c>
      <c r="B1074" s="72" t="inlineStr">
        <is>
          <t>Estimated Property Tax Charges</t>
        </is>
      </c>
      <c r="C1074" s="72" t="inlineStr">
        <is>
          <t>Credit</t>
        </is>
      </c>
      <c r="D1074" s="72" t="inlineStr">
        <is>
          <t>Reg</t>
        </is>
      </c>
      <c r="E1074" s="72" t="inlineStr">
        <is>
          <t>Inc</t>
        </is>
      </c>
      <c r="F1074" s="12" t="n">
        <v>8</v>
      </c>
      <c r="G1074" s="12" t="n">
        <v>1</v>
      </c>
      <c r="H1074" s="72" t="n"/>
      <c r="I1074" s="72" t="n"/>
      <c r="J1074" s="72" t="n"/>
      <c r="K1074" s="72" t="inlineStr">
        <is>
          <t>5490-0000</t>
        </is>
      </c>
      <c r="L1074" s="72" t="n"/>
    </row>
    <row r="1075">
      <c r="A1075" s="72" t="inlineStr">
        <is>
          <t>5350-0001</t>
        </is>
      </c>
      <c r="B1075" s="72" t="inlineStr">
        <is>
          <t>PY RET Reconciliation</t>
        </is>
      </c>
      <c r="C1075" s="72" t="inlineStr">
        <is>
          <t>Credit</t>
        </is>
      </c>
      <c r="D1075" s="72" t="inlineStr">
        <is>
          <t>Reg</t>
        </is>
      </c>
      <c r="E1075" s="72" t="inlineStr">
        <is>
          <t>Inc</t>
        </is>
      </c>
      <c r="F1075" s="12" t="n">
        <v>8</v>
      </c>
      <c r="G1075" s="12" t="n">
        <v>1</v>
      </c>
      <c r="H1075" s="72" t="n"/>
      <c r="I1075" s="72" t="n"/>
      <c r="J1075" s="72" t="n"/>
      <c r="K1075" s="72" t="n"/>
      <c r="L1075" s="72" t="n"/>
    </row>
    <row r="1076">
      <c r="A1076" s="72" t="inlineStr">
        <is>
          <t>5350-0002</t>
        </is>
      </c>
      <c r="B1076" s="72" t="inlineStr">
        <is>
          <t>Property Tax Abatement</t>
        </is>
      </c>
      <c r="C1076" s="72" t="inlineStr">
        <is>
          <t>Debit</t>
        </is>
      </c>
      <c r="D1076" s="72" t="inlineStr">
        <is>
          <t>Reg</t>
        </is>
      </c>
      <c r="E1076" s="72" t="inlineStr">
        <is>
          <t>Inc</t>
        </is>
      </c>
      <c r="F1076" s="12" t="n">
        <v>8</v>
      </c>
      <c r="G1076" s="12" t="n">
        <v>1</v>
      </c>
      <c r="H1076" s="72" t="n"/>
      <c r="I1076" s="72" t="n"/>
      <c r="J1076" s="72" t="n"/>
      <c r="K1076" s="72" t="inlineStr">
        <is>
          <t>5490-0000</t>
        </is>
      </c>
      <c r="L1076" s="72" t="n"/>
    </row>
    <row r="1077">
      <c r="A1077" s="72" t="inlineStr">
        <is>
          <t>5400-0000</t>
        </is>
      </c>
      <c r="B1077" s="72" t="inlineStr">
        <is>
          <t>Passthru Utilities</t>
        </is>
      </c>
      <c r="C1077" s="72" t="inlineStr">
        <is>
          <t>Credit</t>
        </is>
      </c>
      <c r="D1077" s="72" t="inlineStr">
        <is>
          <t>Reg</t>
        </is>
      </c>
      <c r="E1077" s="72" t="inlineStr">
        <is>
          <t>Inc</t>
        </is>
      </c>
      <c r="F1077" s="12" t="n">
        <v>8</v>
      </c>
      <c r="G1077" s="12" t="n">
        <v>1</v>
      </c>
      <c r="H1077" s="72" t="n"/>
      <c r="I1077" s="72" t="n"/>
      <c r="J1077" s="72" t="n"/>
      <c r="K1077" s="72" t="inlineStr">
        <is>
          <t>5490-0000</t>
        </is>
      </c>
      <c r="L1077" s="72" t="n"/>
    </row>
    <row r="1078">
      <c r="A1078" s="72" t="inlineStr">
        <is>
          <t>5410-0000</t>
        </is>
      </c>
      <c r="B1078" s="72" t="inlineStr">
        <is>
          <t>Passthru Electricity</t>
        </is>
      </c>
      <c r="C1078" s="72" t="inlineStr">
        <is>
          <t>Credit</t>
        </is>
      </c>
      <c r="D1078" s="72" t="inlineStr">
        <is>
          <t>Reg</t>
        </is>
      </c>
      <c r="E1078" s="72" t="inlineStr">
        <is>
          <t>Inc</t>
        </is>
      </c>
      <c r="F1078" s="12" t="n">
        <v>8</v>
      </c>
      <c r="G1078" s="12" t="n">
        <v>1</v>
      </c>
      <c r="H1078" s="72" t="n"/>
      <c r="I1078" s="72" t="n"/>
      <c r="J1078" s="72" t="n"/>
      <c r="K1078" s="72" t="inlineStr">
        <is>
          <t>5490-0000</t>
        </is>
      </c>
      <c r="L1078" s="72" t="n"/>
    </row>
    <row r="1079">
      <c r="A1079" s="72" t="inlineStr">
        <is>
          <t>5415-0000</t>
        </is>
      </c>
      <c r="B1079" s="72" t="inlineStr">
        <is>
          <t>Passthru Water</t>
        </is>
      </c>
      <c r="C1079" s="72" t="inlineStr">
        <is>
          <t>Credit</t>
        </is>
      </c>
      <c r="D1079" s="72" t="inlineStr">
        <is>
          <t>Reg</t>
        </is>
      </c>
      <c r="E1079" s="72" t="inlineStr">
        <is>
          <t>Inc</t>
        </is>
      </c>
      <c r="F1079" s="12" t="n">
        <v>8</v>
      </c>
      <c r="G1079" s="12" t="n">
        <v>1</v>
      </c>
      <c r="H1079" s="72" t="n"/>
      <c r="I1079" s="72" t="n"/>
      <c r="J1079" s="72" t="n"/>
      <c r="K1079" s="72" t="inlineStr">
        <is>
          <t>5490-0000</t>
        </is>
      </c>
      <c r="L1079" s="72" t="n"/>
    </row>
    <row r="1080">
      <c r="A1080" s="72" t="inlineStr">
        <is>
          <t>5420-0000</t>
        </is>
      </c>
      <c r="B1080" s="72" t="inlineStr">
        <is>
          <t>Passthru Gas</t>
        </is>
      </c>
      <c r="C1080" s="72" t="inlineStr">
        <is>
          <t>Credit</t>
        </is>
      </c>
      <c r="D1080" s="72" t="inlineStr">
        <is>
          <t>Reg</t>
        </is>
      </c>
      <c r="E1080" s="72" t="inlineStr">
        <is>
          <t>Inc</t>
        </is>
      </c>
      <c r="F1080" s="12" t="n">
        <v>8</v>
      </c>
      <c r="G1080" s="12" t="n">
        <v>1</v>
      </c>
      <c r="H1080" s="72" t="n"/>
      <c r="I1080" s="72" t="n"/>
      <c r="J1080" s="72" t="n"/>
      <c r="K1080" s="72" t="inlineStr">
        <is>
          <t>5490-0000</t>
        </is>
      </c>
      <c r="L1080" s="72" t="n"/>
    </row>
    <row r="1081">
      <c r="A1081" s="72" t="inlineStr">
        <is>
          <t>5430-0000</t>
        </is>
      </c>
      <c r="B1081" s="72" t="inlineStr">
        <is>
          <t>Passthru Water and Sewer</t>
        </is>
      </c>
      <c r="C1081" s="72" t="inlineStr">
        <is>
          <t>Credit</t>
        </is>
      </c>
      <c r="D1081" s="72" t="inlineStr">
        <is>
          <t>Reg</t>
        </is>
      </c>
      <c r="E1081" s="72" t="inlineStr">
        <is>
          <t>Inc</t>
        </is>
      </c>
      <c r="F1081" s="12" t="n">
        <v>8</v>
      </c>
      <c r="G1081" s="12" t="n">
        <v>1</v>
      </c>
      <c r="H1081" s="72" t="n"/>
      <c r="I1081" s="72" t="n"/>
      <c r="J1081" s="72" t="n"/>
      <c r="K1081" s="72" t="inlineStr">
        <is>
          <t>5490-0000</t>
        </is>
      </c>
      <c r="L1081" s="72" t="n"/>
    </row>
    <row r="1082">
      <c r="A1082" s="72" t="inlineStr">
        <is>
          <t>5432-0000</t>
        </is>
      </c>
      <c r="B1082" s="72" t="inlineStr">
        <is>
          <t>Passthru Sewer Maintenance</t>
        </is>
      </c>
      <c r="C1082" s="72" t="inlineStr">
        <is>
          <t>Credit</t>
        </is>
      </c>
      <c r="D1082" s="72" t="inlineStr">
        <is>
          <t>Reg</t>
        </is>
      </c>
      <c r="E1082" s="72" t="inlineStr">
        <is>
          <t>Inc</t>
        </is>
      </c>
      <c r="F1082" s="12" t="n">
        <v>8</v>
      </c>
      <c r="G1082" s="12" t="n">
        <v>1</v>
      </c>
      <c r="H1082" s="72" t="n"/>
      <c r="I1082" s="72" t="n"/>
      <c r="J1082" s="72" t="n"/>
      <c r="K1082" s="72" t="inlineStr">
        <is>
          <t>5490-0000</t>
        </is>
      </c>
      <c r="L1082" s="72" t="n"/>
    </row>
    <row r="1083">
      <c r="A1083" s="72" t="inlineStr">
        <is>
          <t>5434-0000</t>
        </is>
      </c>
      <c r="B1083" s="72" t="inlineStr">
        <is>
          <t>Pass-Thru Insurance</t>
        </is>
      </c>
      <c r="C1083" s="72" t="inlineStr">
        <is>
          <t>Credit</t>
        </is>
      </c>
      <c r="D1083" s="72" t="inlineStr">
        <is>
          <t>Reg</t>
        </is>
      </c>
      <c r="E1083" s="72" t="inlineStr">
        <is>
          <t>Inc</t>
        </is>
      </c>
      <c r="F1083" s="12" t="n">
        <v>8</v>
      </c>
      <c r="G1083" s="12" t="n">
        <v>1</v>
      </c>
      <c r="H1083" s="72" t="n"/>
      <c r="I1083" s="72" t="n"/>
      <c r="J1083" s="72" t="n"/>
      <c r="K1083" s="72" t="inlineStr">
        <is>
          <t>5490-0000</t>
        </is>
      </c>
      <c r="L1083" s="72" t="n"/>
    </row>
    <row r="1084">
      <c r="A1084" s="72" t="inlineStr">
        <is>
          <t>5435-0000</t>
        </is>
      </c>
      <c r="B1084" s="72" t="inlineStr">
        <is>
          <t>Passthru Irrigation Water</t>
        </is>
      </c>
      <c r="C1084" s="72" t="inlineStr">
        <is>
          <t>Credit</t>
        </is>
      </c>
      <c r="D1084" s="72" t="inlineStr">
        <is>
          <t>Reg</t>
        </is>
      </c>
      <c r="E1084" s="72" t="inlineStr">
        <is>
          <t>Inc</t>
        </is>
      </c>
      <c r="F1084" s="12" t="n">
        <v>8</v>
      </c>
      <c r="G1084" s="12" t="n">
        <v>1</v>
      </c>
      <c r="H1084" s="72" t="n"/>
      <c r="I1084" s="72" t="n"/>
      <c r="J1084" s="72" t="n"/>
      <c r="K1084" s="72" t="inlineStr">
        <is>
          <t>5490-0000</t>
        </is>
      </c>
      <c r="L1084" s="72" t="n"/>
    </row>
    <row r="1085">
      <c r="A1085" s="72" t="inlineStr">
        <is>
          <t>5450-0000</t>
        </is>
      </c>
      <c r="B1085" s="72" t="inlineStr">
        <is>
          <t>Passthru Rubbish Removal</t>
        </is>
      </c>
      <c r="C1085" s="72" t="inlineStr">
        <is>
          <t>Credit</t>
        </is>
      </c>
      <c r="D1085" s="72" t="inlineStr">
        <is>
          <t>Reg</t>
        </is>
      </c>
      <c r="E1085" s="72" t="inlineStr">
        <is>
          <t>Inc</t>
        </is>
      </c>
      <c r="F1085" s="12" t="n">
        <v>8</v>
      </c>
      <c r="G1085" s="12" t="n">
        <v>1</v>
      </c>
      <c r="H1085" s="72" t="n"/>
      <c r="I1085" s="72" t="n"/>
      <c r="J1085" s="72" t="n"/>
      <c r="K1085" s="72" t="inlineStr">
        <is>
          <t>5490-0000</t>
        </is>
      </c>
      <c r="L1085" s="72" t="n"/>
    </row>
    <row r="1086">
      <c r="A1086" s="72" t="inlineStr">
        <is>
          <t>5460-0000</t>
        </is>
      </c>
      <c r="B1086" s="72" t="inlineStr">
        <is>
          <t>Passthru Roofing</t>
        </is>
      </c>
      <c r="C1086" s="72" t="inlineStr">
        <is>
          <t>Credit</t>
        </is>
      </c>
      <c r="D1086" s="72" t="inlineStr">
        <is>
          <t>Reg</t>
        </is>
      </c>
      <c r="E1086" s="72" t="inlineStr">
        <is>
          <t>Inc</t>
        </is>
      </c>
      <c r="F1086" s="12" t="n">
        <v>8</v>
      </c>
      <c r="G1086" s="12" t="n">
        <v>1</v>
      </c>
      <c r="H1086" s="72" t="n"/>
      <c r="I1086" s="72" t="n"/>
      <c r="J1086" s="72" t="n"/>
      <c r="K1086" s="72" t="inlineStr">
        <is>
          <t>5490-0000</t>
        </is>
      </c>
      <c r="L1086" s="72" t="n"/>
    </row>
    <row r="1087">
      <c r="A1087" s="72" t="inlineStr">
        <is>
          <t>5465-0000</t>
        </is>
      </c>
      <c r="B1087" s="72" t="inlineStr">
        <is>
          <t>Passthru Signs and Signage</t>
        </is>
      </c>
      <c r="C1087" s="72" t="inlineStr">
        <is>
          <t>Credit</t>
        </is>
      </c>
      <c r="D1087" s="72" t="inlineStr">
        <is>
          <t>Reg</t>
        </is>
      </c>
      <c r="E1087" s="72" t="inlineStr">
        <is>
          <t>Inc</t>
        </is>
      </c>
      <c r="F1087" s="12" t="n">
        <v>8</v>
      </c>
      <c r="G1087" s="12" t="n">
        <v>1</v>
      </c>
      <c r="H1087" s="72" t="n"/>
      <c r="I1087" s="72" t="n"/>
      <c r="J1087" s="72" t="n"/>
      <c r="K1087" s="72" t="inlineStr">
        <is>
          <t>5490-0000</t>
        </is>
      </c>
      <c r="L1087" s="72" t="n"/>
    </row>
    <row r="1088">
      <c r="A1088" s="72" t="inlineStr">
        <is>
          <t>5470-0000</t>
        </is>
      </c>
      <c r="B1088" s="72" t="inlineStr">
        <is>
          <t>Estimated CAM Charges</t>
        </is>
      </c>
      <c r="C1088" s="72" t="inlineStr">
        <is>
          <t>Credit</t>
        </is>
      </c>
      <c r="D1088" s="72" t="inlineStr">
        <is>
          <t>Reg</t>
        </is>
      </c>
      <c r="E1088" s="72" t="inlineStr">
        <is>
          <t>Inc</t>
        </is>
      </c>
      <c r="F1088" s="12" t="n">
        <v>8</v>
      </c>
      <c r="G1088" s="12" t="n">
        <v>1</v>
      </c>
      <c r="H1088" s="72" t="n"/>
      <c r="I1088" s="72" t="n"/>
      <c r="J1088" s="72" t="n"/>
      <c r="K1088" s="72" t="inlineStr">
        <is>
          <t>5490-0000</t>
        </is>
      </c>
      <c r="L1088" s="72" t="n"/>
    </row>
    <row r="1089">
      <c r="A1089" s="72" t="inlineStr">
        <is>
          <t>5470-0001</t>
        </is>
      </c>
      <c r="B1089" s="72" t="inlineStr">
        <is>
          <t>CAM Abatement</t>
        </is>
      </c>
      <c r="C1089" s="72" t="inlineStr">
        <is>
          <t>Debit</t>
        </is>
      </c>
      <c r="D1089" s="72" t="inlineStr">
        <is>
          <t>Reg</t>
        </is>
      </c>
      <c r="E1089" s="72" t="inlineStr">
        <is>
          <t>Inc</t>
        </is>
      </c>
      <c r="F1089" s="12" t="n">
        <v>8</v>
      </c>
      <c r="G1089" s="12" t="n">
        <v>1</v>
      </c>
      <c r="H1089" s="72" t="n"/>
      <c r="I1089" s="72" t="n"/>
      <c r="J1089" s="72" t="n"/>
      <c r="K1089" s="72" t="inlineStr">
        <is>
          <t>5490-0000</t>
        </is>
      </c>
      <c r="L1089" s="72" t="n"/>
    </row>
    <row r="1090">
      <c r="A1090" s="72" t="inlineStr">
        <is>
          <t>5470-0002</t>
        </is>
      </c>
      <c r="B1090" s="72" t="inlineStr">
        <is>
          <t>PY CAM Reconciliation</t>
        </is>
      </c>
      <c r="C1090" s="72" t="inlineStr">
        <is>
          <t>Credit</t>
        </is>
      </c>
      <c r="D1090" s="72" t="inlineStr">
        <is>
          <t>Reg</t>
        </is>
      </c>
      <c r="E1090" s="72" t="inlineStr">
        <is>
          <t>Inc</t>
        </is>
      </c>
      <c r="F1090" s="12" t="n">
        <v>8</v>
      </c>
      <c r="G1090" s="12" t="n">
        <v>1</v>
      </c>
      <c r="H1090" s="72" t="n"/>
      <c r="I1090" s="72" t="n"/>
      <c r="J1090" s="72" t="n"/>
      <c r="K1090" s="72" t="inlineStr">
        <is>
          <t>5490-0000</t>
        </is>
      </c>
      <c r="L1090" s="72" t="n"/>
    </row>
    <row r="1091">
      <c r="A1091" s="72" t="inlineStr">
        <is>
          <t>5470-0003</t>
        </is>
      </c>
      <c r="B1091" s="72" t="inlineStr">
        <is>
          <t>Prior Year Tax Reconciliation</t>
        </is>
      </c>
      <c r="C1091" s="72" t="inlineStr">
        <is>
          <t>Debit</t>
        </is>
      </c>
      <c r="D1091" s="72" t="inlineStr">
        <is>
          <t>Reg</t>
        </is>
      </c>
      <c r="E1091" s="72" t="inlineStr">
        <is>
          <t>Inc</t>
        </is>
      </c>
      <c r="F1091" s="12" t="n">
        <v>1</v>
      </c>
      <c r="G1091" s="12" t="n">
        <v>1</v>
      </c>
      <c r="H1091" s="72" t="n"/>
      <c r="I1091" s="72" t="n"/>
      <c r="J1091" s="72" t="n"/>
      <c r="K1091" s="72" t="inlineStr">
        <is>
          <t>5490-0000</t>
        </is>
      </c>
      <c r="L1091" s="72" t="n"/>
    </row>
    <row r="1092">
      <c r="A1092" s="72" t="inlineStr">
        <is>
          <t>5470-0004</t>
        </is>
      </c>
      <c r="B1092" s="72" t="inlineStr">
        <is>
          <t>Prior Year Ins Reconciliation</t>
        </is>
      </c>
      <c r="C1092" s="72" t="inlineStr">
        <is>
          <t>Credit</t>
        </is>
      </c>
      <c r="D1092" s="72" t="inlineStr">
        <is>
          <t>Reg</t>
        </is>
      </c>
      <c r="E1092" s="72" t="inlineStr">
        <is>
          <t>Inc</t>
        </is>
      </c>
      <c r="F1092" s="12" t="n">
        <v>8</v>
      </c>
      <c r="G1092" s="12" t="n">
        <v>1</v>
      </c>
      <c r="H1092" s="72" t="n"/>
      <c r="I1092" s="72" t="n"/>
      <c r="J1092" s="72" t="n"/>
      <c r="K1092" s="72" t="inlineStr">
        <is>
          <t>5490-0000</t>
        </is>
      </c>
      <c r="L1092" s="72" t="n"/>
    </row>
    <row r="1093">
      <c r="A1093" s="72" t="inlineStr">
        <is>
          <t>5490-0000</t>
        </is>
      </c>
      <c r="B1093" s="72" t="inlineStr">
        <is>
          <t>TOTAL REIMBURSEMENT</t>
        </is>
      </c>
      <c r="C1093" s="72" t="inlineStr">
        <is>
          <t>Credit</t>
        </is>
      </c>
      <c r="D1093" s="72" t="inlineStr">
        <is>
          <t>Tot</t>
        </is>
      </c>
      <c r="E1093" s="72" t="inlineStr">
        <is>
          <t>Inc</t>
        </is>
      </c>
      <c r="F1093" s="12" t="n">
        <v>12</v>
      </c>
      <c r="G1093" s="12" t="n">
        <v>1</v>
      </c>
      <c r="H1093" s="72" t="n"/>
      <c r="I1093" s="72" t="n"/>
      <c r="J1093" s="72" t="n"/>
      <c r="K1093" s="72" t="inlineStr">
        <is>
          <t>5990-0000</t>
        </is>
      </c>
      <c r="L1093" s="72" t="n"/>
    </row>
    <row r="1094">
      <c r="A1094" s="72" t="inlineStr">
        <is>
          <t>5500-0000</t>
        </is>
      </c>
      <c r="B1094" s="72" t="inlineStr">
        <is>
          <t>PERCENTAGE RENT</t>
        </is>
      </c>
      <c r="C1094" s="72" t="inlineStr">
        <is>
          <t>Credit</t>
        </is>
      </c>
      <c r="D1094" s="72" t="inlineStr">
        <is>
          <t>Head</t>
        </is>
      </c>
      <c r="E1094" s="72" t="inlineStr">
        <is>
          <t>Inc</t>
        </is>
      </c>
      <c r="F1094" s="12" t="n">
        <v>4</v>
      </c>
      <c r="G1094" s="12" t="n">
        <v>2</v>
      </c>
      <c r="H1094" s="72" t="n"/>
      <c r="I1094" s="72" t="n"/>
      <c r="J1094" s="72" t="n"/>
      <c r="K1094" s="72" t="n"/>
      <c r="L1094" s="72" t="n"/>
    </row>
    <row r="1095">
      <c r="A1095" s="72" t="inlineStr">
        <is>
          <t>5510-0000</t>
        </is>
      </c>
      <c r="B1095" s="72" t="inlineStr">
        <is>
          <t>Sales Percentage</t>
        </is>
      </c>
      <c r="C1095" s="72" t="inlineStr">
        <is>
          <t>Credit</t>
        </is>
      </c>
      <c r="D1095" s="72" t="inlineStr">
        <is>
          <t>Reg</t>
        </is>
      </c>
      <c r="E1095" s="72" t="inlineStr">
        <is>
          <t>Inc</t>
        </is>
      </c>
      <c r="F1095" s="12" t="n">
        <v>8</v>
      </c>
      <c r="G1095" s="12" t="n">
        <v>1</v>
      </c>
      <c r="H1095" s="72" t="n"/>
      <c r="I1095" s="72" t="n"/>
      <c r="J1095" s="72" t="n"/>
      <c r="K1095" s="72" t="inlineStr">
        <is>
          <t>5590-0000</t>
        </is>
      </c>
      <c r="L1095" s="72" t="inlineStr">
        <is>
          <t>Comm., LateFee</t>
        </is>
      </c>
    </row>
    <row r="1096">
      <c r="A1096" s="72" t="inlineStr">
        <is>
          <t>5520-0000</t>
        </is>
      </c>
      <c r="B1096" s="72" t="inlineStr">
        <is>
          <t>Food and  Beverage Percentage</t>
        </is>
      </c>
      <c r="C1096" s="72" t="inlineStr">
        <is>
          <t>Credit</t>
        </is>
      </c>
      <c r="D1096" s="72" t="inlineStr">
        <is>
          <t>Reg</t>
        </is>
      </c>
      <c r="E1096" s="72" t="inlineStr">
        <is>
          <t>Inc</t>
        </is>
      </c>
      <c r="F1096" s="12" t="n">
        <v>8</v>
      </c>
      <c r="G1096" s="12" t="n">
        <v>1</v>
      </c>
      <c r="H1096" s="72" t="n"/>
      <c r="I1096" s="72" t="n"/>
      <c r="J1096" s="72" t="n"/>
      <c r="K1096" s="72" t="inlineStr">
        <is>
          <t>5590-0000</t>
        </is>
      </c>
      <c r="L1096" s="72" t="inlineStr">
        <is>
          <t>Comm., LateFee</t>
        </is>
      </c>
    </row>
    <row r="1097">
      <c r="A1097" s="72" t="inlineStr">
        <is>
          <t>5550-0000</t>
        </is>
      </c>
      <c r="B1097" s="72" t="inlineStr">
        <is>
          <t>Other Percentage</t>
        </is>
      </c>
      <c r="C1097" s="72" t="inlineStr">
        <is>
          <t>Credit</t>
        </is>
      </c>
      <c r="D1097" s="72" t="inlineStr">
        <is>
          <t>Reg</t>
        </is>
      </c>
      <c r="E1097" s="72" t="inlineStr">
        <is>
          <t>Inc</t>
        </is>
      </c>
      <c r="F1097" s="12" t="n">
        <v>8</v>
      </c>
      <c r="G1097" s="12" t="n">
        <v>1</v>
      </c>
      <c r="H1097" s="72" t="n"/>
      <c r="I1097" s="72" t="n"/>
      <c r="J1097" s="72" t="n"/>
      <c r="K1097" s="72" t="inlineStr">
        <is>
          <t>5590-0000</t>
        </is>
      </c>
      <c r="L1097" s="72" t="inlineStr">
        <is>
          <t>Comm., LateFee</t>
        </is>
      </c>
    </row>
    <row r="1098">
      <c r="A1098" s="72" t="inlineStr">
        <is>
          <t>5590-0000</t>
        </is>
      </c>
      <c r="B1098" s="72" t="inlineStr">
        <is>
          <t>TOTAL PERCENTAGE RENT</t>
        </is>
      </c>
      <c r="C1098" s="72" t="inlineStr">
        <is>
          <t>Credit</t>
        </is>
      </c>
      <c r="D1098" s="72" t="inlineStr">
        <is>
          <t>Tot</t>
        </is>
      </c>
      <c r="E1098" s="72" t="inlineStr">
        <is>
          <t>Inc</t>
        </is>
      </c>
      <c r="F1098" s="12" t="n">
        <v>12</v>
      </c>
      <c r="G1098" s="12" t="n">
        <v>1</v>
      </c>
      <c r="H1098" s="72" t="n"/>
      <c r="I1098" s="72" t="n"/>
      <c r="J1098" s="72" t="n"/>
      <c r="K1098" s="72" t="inlineStr">
        <is>
          <t>5990-0000</t>
        </is>
      </c>
      <c r="L1098" s="72" t="n"/>
    </row>
    <row r="1099">
      <c r="A1099" s="72" t="inlineStr">
        <is>
          <t>5600-0000</t>
        </is>
      </c>
      <c r="B1099" s="72" t="inlineStr">
        <is>
          <t>OTHER INCOME</t>
        </is>
      </c>
      <c r="C1099" s="72" t="inlineStr">
        <is>
          <t>Credit</t>
        </is>
      </c>
      <c r="D1099" s="72" t="inlineStr">
        <is>
          <t>Head</t>
        </is>
      </c>
      <c r="E1099" s="72" t="inlineStr">
        <is>
          <t>Inc</t>
        </is>
      </c>
      <c r="F1099" s="12" t="n">
        <v>4</v>
      </c>
      <c r="G1099" s="12" t="n">
        <v>2</v>
      </c>
      <c r="H1099" s="72" t="n"/>
      <c r="I1099" s="72" t="n"/>
      <c r="J1099" s="72" t="n"/>
      <c r="K1099" s="72" t="n"/>
      <c r="L1099" s="72" t="n"/>
    </row>
    <row r="1100">
      <c r="A1100" s="72" t="inlineStr">
        <is>
          <t>5610-0000</t>
        </is>
      </c>
      <c r="B1100" s="72" t="inlineStr">
        <is>
          <t>Other Monthly Charges</t>
        </is>
      </c>
      <c r="C1100" s="72" t="inlineStr">
        <is>
          <t>Credit</t>
        </is>
      </c>
      <c r="D1100" s="72" t="inlineStr">
        <is>
          <t>Reg</t>
        </is>
      </c>
      <c r="E1100" s="72" t="inlineStr">
        <is>
          <t>Inc</t>
        </is>
      </c>
      <c r="F1100" s="12" t="n">
        <v>8</v>
      </c>
      <c r="G1100" s="12" t="n">
        <v>1</v>
      </c>
      <c r="H1100" s="72" t="n"/>
      <c r="I1100" s="72" t="n"/>
      <c r="J1100" s="72" t="n"/>
      <c r="K1100" s="72" t="inlineStr">
        <is>
          <t>5890-0000</t>
        </is>
      </c>
      <c r="L1100" s="72" t="inlineStr">
        <is>
          <t>Comm., LateFee</t>
        </is>
      </c>
    </row>
    <row r="1101">
      <c r="A1101" s="72" t="inlineStr">
        <is>
          <t>5620-0000</t>
        </is>
      </c>
      <c r="B1101" s="72" t="inlineStr">
        <is>
          <t>Move In Charges</t>
        </is>
      </c>
      <c r="C1101" s="72" t="inlineStr">
        <is>
          <t>Credit</t>
        </is>
      </c>
      <c r="D1101" s="72" t="inlineStr">
        <is>
          <t>Reg</t>
        </is>
      </c>
      <c r="E1101" s="72" t="inlineStr">
        <is>
          <t>Inc</t>
        </is>
      </c>
      <c r="F1101" s="12" t="n">
        <v>8</v>
      </c>
      <c r="G1101" s="12" t="n">
        <v>1</v>
      </c>
      <c r="H1101" s="72" t="n"/>
      <c r="I1101" s="72" t="n"/>
      <c r="J1101" s="72" t="n"/>
      <c r="K1101" s="72" t="inlineStr">
        <is>
          <t>5890-0000</t>
        </is>
      </c>
      <c r="L1101" s="72" t="inlineStr">
        <is>
          <t>Comm.</t>
        </is>
      </c>
    </row>
    <row r="1102">
      <c r="A1102" s="72" t="inlineStr">
        <is>
          <t>5620-0001</t>
        </is>
      </c>
      <c r="B1102" s="72" t="inlineStr">
        <is>
          <t>Move In Move Out Fee</t>
        </is>
      </c>
      <c r="C1102" s="72" t="inlineStr">
        <is>
          <t>Credit</t>
        </is>
      </c>
      <c r="D1102" s="72" t="inlineStr">
        <is>
          <t>Reg</t>
        </is>
      </c>
      <c r="E1102" s="72" t="inlineStr">
        <is>
          <t>Inc</t>
        </is>
      </c>
      <c r="F1102" s="12" t="n">
        <v>8</v>
      </c>
      <c r="G1102" s="12" t="n">
        <v>1</v>
      </c>
      <c r="H1102" s="72" t="n"/>
      <c r="I1102" s="72" t="n"/>
      <c r="J1102" s="72" t="n"/>
      <c r="K1102" s="72" t="inlineStr">
        <is>
          <t>5890-0000</t>
        </is>
      </c>
      <c r="L1102" s="72" t="n"/>
    </row>
    <row r="1103">
      <c r="A1103" s="72" t="inlineStr">
        <is>
          <t>5650-0000</t>
        </is>
      </c>
      <c r="B1103" s="72" t="inlineStr">
        <is>
          <t>Move Out Charges</t>
        </is>
      </c>
      <c r="C1103" s="72" t="inlineStr">
        <is>
          <t>Credit</t>
        </is>
      </c>
      <c r="D1103" s="72" t="inlineStr">
        <is>
          <t>Reg</t>
        </is>
      </c>
      <c r="E1103" s="72" t="inlineStr">
        <is>
          <t>Inc</t>
        </is>
      </c>
      <c r="F1103" s="12" t="n">
        <v>8</v>
      </c>
      <c r="G1103" s="12" t="n">
        <v>1</v>
      </c>
      <c r="H1103" s="72" t="n"/>
      <c r="I1103" s="72" t="n"/>
      <c r="J1103" s="72" t="n"/>
      <c r="K1103" s="72" t="inlineStr">
        <is>
          <t>5890-0000</t>
        </is>
      </c>
      <c r="L1103" s="72" t="inlineStr">
        <is>
          <t>Comm.</t>
        </is>
      </c>
    </row>
    <row r="1104">
      <c r="A1104" s="72" t="inlineStr">
        <is>
          <t>5660-0000</t>
        </is>
      </c>
      <c r="B1104" s="72" t="inlineStr">
        <is>
          <t>Deposit Forfeit</t>
        </is>
      </c>
      <c r="C1104" s="72" t="inlineStr">
        <is>
          <t>Credit</t>
        </is>
      </c>
      <c r="D1104" s="72" t="inlineStr">
        <is>
          <t>Reg</t>
        </is>
      </c>
      <c r="E1104" s="72" t="inlineStr">
        <is>
          <t>Inc</t>
        </is>
      </c>
      <c r="F1104" s="12" t="n">
        <v>8</v>
      </c>
      <c r="G1104" s="12" t="n">
        <v>1</v>
      </c>
      <c r="H1104" s="72" t="n"/>
      <c r="I1104" s="72" t="n"/>
      <c r="J1104" s="72" t="n"/>
      <c r="K1104" s="72" t="inlineStr">
        <is>
          <t>5890-0000</t>
        </is>
      </c>
      <c r="L1104" s="72" t="inlineStr">
        <is>
          <t>Comm.</t>
        </is>
      </c>
    </row>
    <row r="1105">
      <c r="A1105" s="72" t="inlineStr">
        <is>
          <t>5700-0000</t>
        </is>
      </c>
      <c r="B1105" s="72" t="inlineStr">
        <is>
          <t>Miscellaneous Income</t>
        </is>
      </c>
      <c r="C1105" s="72" t="inlineStr">
        <is>
          <t>Credit</t>
        </is>
      </c>
      <c r="D1105" s="72" t="inlineStr">
        <is>
          <t>Reg</t>
        </is>
      </c>
      <c r="E1105" s="72" t="inlineStr">
        <is>
          <t>Inc</t>
        </is>
      </c>
      <c r="F1105" s="12" t="n">
        <v>8</v>
      </c>
      <c r="G1105" s="12" t="n">
        <v>1</v>
      </c>
      <c r="H1105" s="72" t="n"/>
      <c r="I1105" s="72" t="n"/>
      <c r="J1105" s="72" t="n"/>
      <c r="K1105" s="72" t="inlineStr">
        <is>
          <t>5890-0000</t>
        </is>
      </c>
      <c r="L1105" s="72" t="n"/>
    </row>
    <row r="1106">
      <c r="A1106" s="72" t="inlineStr">
        <is>
          <t>5700-0001</t>
        </is>
      </c>
      <c r="B1106" s="72" t="inlineStr">
        <is>
          <t>Early Termination Buyout Fee</t>
        </is>
      </c>
      <c r="C1106" s="72" t="inlineStr">
        <is>
          <t>Credit</t>
        </is>
      </c>
      <c r="D1106" s="72" t="inlineStr">
        <is>
          <t>Reg</t>
        </is>
      </c>
      <c r="E1106" s="72" t="inlineStr">
        <is>
          <t>Inc</t>
        </is>
      </c>
      <c r="F1106" s="12" t="n">
        <v>8</v>
      </c>
      <c r="G1106" s="12" t="n">
        <v>1</v>
      </c>
      <c r="H1106" s="72" t="n"/>
      <c r="I1106" s="72" t="n"/>
      <c r="J1106" s="72" t="n"/>
      <c r="K1106" s="72" t="inlineStr">
        <is>
          <t>5890-0000</t>
        </is>
      </c>
      <c r="L1106" s="72" t="n"/>
    </row>
    <row r="1107">
      <c r="A1107" s="72" t="inlineStr">
        <is>
          <t>5710-0000</t>
        </is>
      </c>
      <c r="B1107" s="72" t="inlineStr">
        <is>
          <t>Vending Machine Income</t>
        </is>
      </c>
      <c r="C1107" s="72" t="inlineStr">
        <is>
          <t>Credit</t>
        </is>
      </c>
      <c r="D1107" s="72" t="inlineStr">
        <is>
          <t>Reg</t>
        </is>
      </c>
      <c r="E1107" s="72" t="inlineStr">
        <is>
          <t>Inc</t>
        </is>
      </c>
      <c r="F1107" s="12" t="n">
        <v>8</v>
      </c>
      <c r="G1107" s="12" t="n">
        <v>1</v>
      </c>
      <c r="H1107" s="72" t="n"/>
      <c r="I1107" s="72" t="n"/>
      <c r="J1107" s="72" t="n"/>
      <c r="K1107" s="72" t="inlineStr">
        <is>
          <t>5890-0000</t>
        </is>
      </c>
      <c r="L1107" s="72" t="n"/>
    </row>
    <row r="1108">
      <c r="A1108" s="72" t="inlineStr">
        <is>
          <t>5730-0000</t>
        </is>
      </c>
      <c r="B1108" s="72" t="inlineStr">
        <is>
          <t>Laundry Machine Income</t>
        </is>
      </c>
      <c r="C1108" s="72" t="inlineStr">
        <is>
          <t>Credit</t>
        </is>
      </c>
      <c r="D1108" s="72" t="inlineStr">
        <is>
          <t>Reg</t>
        </is>
      </c>
      <c r="E1108" s="72" t="inlineStr">
        <is>
          <t>Inc</t>
        </is>
      </c>
      <c r="F1108" s="12" t="n">
        <v>8</v>
      </c>
      <c r="G1108" s="12" t="n">
        <v>1</v>
      </c>
      <c r="H1108" s="72" t="n"/>
      <c r="I1108" s="72" t="n"/>
      <c r="J1108" s="72" t="n"/>
      <c r="K1108" s="72" t="inlineStr">
        <is>
          <t>5890-0000</t>
        </is>
      </c>
      <c r="L1108" s="72" t="n"/>
    </row>
    <row r="1109">
      <c r="A1109" s="72" t="inlineStr">
        <is>
          <t>5735-0000</t>
        </is>
      </c>
      <c r="B1109" s="72" t="inlineStr">
        <is>
          <t>Bit Coin Machine Income</t>
        </is>
      </c>
      <c r="C1109" s="72" t="inlineStr">
        <is>
          <t>Credit</t>
        </is>
      </c>
      <c r="D1109" s="72" t="inlineStr">
        <is>
          <t>Reg</t>
        </is>
      </c>
      <c r="E1109" s="72" t="inlineStr">
        <is>
          <t>Inc</t>
        </is>
      </c>
      <c r="F1109" s="12" t="n">
        <v>8</v>
      </c>
      <c r="G1109" s="12" t="n">
        <v>1</v>
      </c>
      <c r="H1109" s="72" t="n"/>
      <c r="I1109" s="72" t="n"/>
      <c r="J1109" s="72" t="n"/>
      <c r="K1109" s="72" t="inlineStr">
        <is>
          <t>5890-0000</t>
        </is>
      </c>
      <c r="L1109" s="72" t="n"/>
    </row>
    <row r="1110">
      <c r="A1110" s="72" t="inlineStr">
        <is>
          <t>5739-0000</t>
        </is>
      </c>
      <c r="B1110" s="72" t="inlineStr">
        <is>
          <t>Pet Rent Monthly</t>
        </is>
      </c>
      <c r="C1110" s="72" t="inlineStr">
        <is>
          <t>Credit</t>
        </is>
      </c>
      <c r="D1110" s="72" t="inlineStr">
        <is>
          <t>Reg</t>
        </is>
      </c>
      <c r="E1110" s="72" t="inlineStr">
        <is>
          <t>Inc</t>
        </is>
      </c>
      <c r="F1110" s="12" t="n">
        <v>8</v>
      </c>
      <c r="G1110" s="12" t="n">
        <v>1</v>
      </c>
      <c r="H1110" s="72" t="n"/>
      <c r="I1110" s="72" t="n"/>
      <c r="J1110" s="72" t="n"/>
      <c r="K1110" s="72" t="inlineStr">
        <is>
          <t>5890-0000</t>
        </is>
      </c>
      <c r="L1110" s="72" t="n"/>
    </row>
    <row r="1111">
      <c r="A1111" s="72" t="inlineStr">
        <is>
          <t>5740-0000</t>
        </is>
      </c>
      <c r="B1111" s="72" t="inlineStr">
        <is>
          <t>Pet Fee Non Refundable</t>
        </is>
      </c>
      <c r="C1111" s="72" t="inlineStr">
        <is>
          <t>Credit</t>
        </is>
      </c>
      <c r="D1111" s="72" t="inlineStr">
        <is>
          <t>Reg</t>
        </is>
      </c>
      <c r="E1111" s="72" t="inlineStr">
        <is>
          <t>Inc</t>
        </is>
      </c>
      <c r="F1111" s="12" t="n">
        <v>8</v>
      </c>
      <c r="G1111" s="12" t="n">
        <v>1</v>
      </c>
      <c r="H1111" s="72" t="n"/>
      <c r="I1111" s="72" t="n"/>
      <c r="J1111" s="72" t="n"/>
      <c r="K1111" s="72" t="inlineStr">
        <is>
          <t>5890-0000</t>
        </is>
      </c>
      <c r="L1111" s="72" t="n"/>
    </row>
    <row r="1112">
      <c r="A1112" s="72" t="inlineStr">
        <is>
          <t>5770-1001</t>
        </is>
      </c>
      <c r="B1112" s="72" t="inlineStr">
        <is>
          <t>Truck Rental</t>
        </is>
      </c>
      <c r="C1112" s="72" t="inlineStr">
        <is>
          <t>Credit</t>
        </is>
      </c>
      <c r="D1112" s="72" t="inlineStr">
        <is>
          <t>Reg</t>
        </is>
      </c>
      <c r="E1112" s="72" t="inlineStr">
        <is>
          <t>Inc</t>
        </is>
      </c>
      <c r="F1112" s="12" t="n">
        <v>8</v>
      </c>
      <c r="G1112" s="12" t="n">
        <v>1</v>
      </c>
      <c r="H1112" s="72" t="n"/>
      <c r="I1112" s="72" t="n"/>
      <c r="J1112" s="72" t="n"/>
      <c r="K1112" s="72" t="inlineStr">
        <is>
          <t>5890-0000</t>
        </is>
      </c>
      <c r="L1112" s="72" t="n"/>
    </row>
    <row r="1113">
      <c r="A1113" s="72" t="inlineStr">
        <is>
          <t>5770-1002</t>
        </is>
      </c>
      <c r="B1113" s="72" t="inlineStr">
        <is>
          <t>Truck Insurance</t>
        </is>
      </c>
      <c r="C1113" s="72" t="inlineStr">
        <is>
          <t>Credit</t>
        </is>
      </c>
      <c r="D1113" s="72" t="inlineStr">
        <is>
          <t>Reg</t>
        </is>
      </c>
      <c r="E1113" s="72" t="inlineStr">
        <is>
          <t>Inc</t>
        </is>
      </c>
      <c r="F1113" s="12" t="n">
        <v>8</v>
      </c>
      <c r="G1113" s="12" t="n">
        <v>1</v>
      </c>
      <c r="H1113" s="72" t="n"/>
      <c r="I1113" s="72" t="n"/>
      <c r="J1113" s="72" t="n"/>
      <c r="K1113" s="72" t="inlineStr">
        <is>
          <t>5890-0000</t>
        </is>
      </c>
      <c r="L1113" s="72" t="n"/>
    </row>
    <row r="1114">
      <c r="A1114" s="72" t="inlineStr">
        <is>
          <t>5800-0000</t>
        </is>
      </c>
      <c r="B1114" s="72" t="inlineStr">
        <is>
          <t>Late Fee</t>
        </is>
      </c>
      <c r="C1114" s="72" t="inlineStr">
        <is>
          <t>Credit</t>
        </is>
      </c>
      <c r="D1114" s="72" t="inlineStr">
        <is>
          <t>Reg</t>
        </is>
      </c>
      <c r="E1114" s="72" t="inlineStr">
        <is>
          <t>Inc</t>
        </is>
      </c>
      <c r="F1114" s="12" t="n">
        <v>8</v>
      </c>
      <c r="G1114" s="12" t="n">
        <v>1</v>
      </c>
      <c r="H1114" s="72" t="n"/>
      <c r="I1114" s="72" t="n"/>
      <c r="J1114" s="72" t="inlineStr">
        <is>
          <t>1300-0000</t>
        </is>
      </c>
      <c r="K1114" s="72" t="inlineStr">
        <is>
          <t>5890-0000</t>
        </is>
      </c>
      <c r="L1114" s="72" t="n"/>
    </row>
    <row r="1115">
      <c r="A1115" s="72" t="inlineStr">
        <is>
          <t>5805-0000</t>
        </is>
      </c>
      <c r="B1115" s="72" t="inlineStr">
        <is>
          <t>Administrative Fee</t>
        </is>
      </c>
      <c r="C1115" s="72" t="inlineStr">
        <is>
          <t>Credit</t>
        </is>
      </c>
      <c r="D1115" s="72" t="inlineStr">
        <is>
          <t>Reg</t>
        </is>
      </c>
      <c r="E1115" s="72" t="inlineStr">
        <is>
          <t>Inc</t>
        </is>
      </c>
      <c r="F1115" s="12" t="n">
        <v>8</v>
      </c>
      <c r="G1115" s="12" t="n">
        <v>1</v>
      </c>
      <c r="H1115" s="72" t="n"/>
      <c r="I1115" s="72" t="n"/>
      <c r="J1115" s="72" t="inlineStr">
        <is>
          <t>1300-0000</t>
        </is>
      </c>
      <c r="K1115" s="72" t="inlineStr">
        <is>
          <t>5890-0000</t>
        </is>
      </c>
      <c r="L1115" s="72" t="n"/>
    </row>
    <row r="1116">
      <c r="A1116" s="72" t="inlineStr">
        <is>
          <t>5810-0000</t>
        </is>
      </c>
      <c r="B1116" s="72" t="inlineStr">
        <is>
          <t>NSF Fees</t>
        </is>
      </c>
      <c r="C1116" s="72" t="inlineStr">
        <is>
          <t>Credit</t>
        </is>
      </c>
      <c r="D1116" s="72" t="inlineStr">
        <is>
          <t>Reg</t>
        </is>
      </c>
      <c r="E1116" s="72" t="inlineStr">
        <is>
          <t>Inc</t>
        </is>
      </c>
      <c r="F1116" s="12" t="n">
        <v>8</v>
      </c>
      <c r="G1116" s="12" t="n">
        <v>1</v>
      </c>
      <c r="H1116" s="72" t="n"/>
      <c r="I1116" s="72" t="n"/>
      <c r="J1116" s="72" t="n"/>
      <c r="K1116" s="72" t="inlineStr">
        <is>
          <t>5890-0000</t>
        </is>
      </c>
      <c r="L1116" s="72" t="n"/>
    </row>
    <row r="1117">
      <c r="A1117" s="72" t="inlineStr">
        <is>
          <t>5815-0000</t>
        </is>
      </c>
      <c r="B1117" s="72" t="inlineStr">
        <is>
          <t>Laundry Income</t>
        </is>
      </c>
      <c r="C1117" s="72" t="inlineStr">
        <is>
          <t>Credit</t>
        </is>
      </c>
      <c r="D1117" s="72" t="inlineStr">
        <is>
          <t>Reg</t>
        </is>
      </c>
      <c r="E1117" s="72" t="inlineStr">
        <is>
          <t>Inc</t>
        </is>
      </c>
      <c r="F1117" s="12" t="n">
        <v>8</v>
      </c>
      <c r="G1117" s="12" t="n">
        <v>1</v>
      </c>
      <c r="H1117" s="72" t="n"/>
      <c r="I1117" s="72" t="n"/>
      <c r="J1117" s="72" t="n"/>
      <c r="K1117" s="72" t="inlineStr">
        <is>
          <t>5890-0000</t>
        </is>
      </c>
      <c r="L1117" s="72" t="n"/>
    </row>
    <row r="1118">
      <c r="A1118" s="72" t="inlineStr">
        <is>
          <t>5890-0000</t>
        </is>
      </c>
      <c r="B1118" s="72" t="inlineStr">
        <is>
          <t>TOTAL OTHER INCOME</t>
        </is>
      </c>
      <c r="C1118" s="72" t="inlineStr">
        <is>
          <t>Credit</t>
        </is>
      </c>
      <c r="D1118" s="72" t="inlineStr">
        <is>
          <t>Tot</t>
        </is>
      </c>
      <c r="E1118" s="72" t="inlineStr">
        <is>
          <t>Inc</t>
        </is>
      </c>
      <c r="F1118" s="12" t="n">
        <v>12</v>
      </c>
      <c r="G1118" s="12" t="n">
        <v>1</v>
      </c>
      <c r="H1118" s="72" t="n"/>
      <c r="I1118" s="72" t="n"/>
      <c r="J1118" s="72" t="n"/>
      <c r="K1118" s="72" t="inlineStr">
        <is>
          <t>5990-0000</t>
        </is>
      </c>
      <c r="L1118" s="72" t="n"/>
    </row>
    <row r="1119">
      <c r="A1119" s="72" t="inlineStr">
        <is>
          <t>5990-0000</t>
        </is>
      </c>
      <c r="B1119" s="72" t="inlineStr">
        <is>
          <t>TOTAL INCOME</t>
        </is>
      </c>
      <c r="C1119" s="72" t="inlineStr">
        <is>
          <t>Credit</t>
        </is>
      </c>
      <c r="D1119" s="72" t="inlineStr">
        <is>
          <t>Tot</t>
        </is>
      </c>
      <c r="E1119" s="72" t="inlineStr">
        <is>
          <t>Inc</t>
        </is>
      </c>
      <c r="F1119" s="12" t="n">
        <v>16</v>
      </c>
      <c r="G1119" s="12" t="n">
        <v>2</v>
      </c>
      <c r="H1119" s="72" t="n"/>
      <c r="I1119" s="72" t="n"/>
      <c r="J1119" s="72" t="n"/>
      <c r="K1119" s="72" t="inlineStr">
        <is>
          <t>7999-9999</t>
        </is>
      </c>
      <c r="L1119" s="72" t="n"/>
    </row>
    <row r="1120">
      <c r="A1120" s="72" t="inlineStr">
        <is>
          <t>6000-0000</t>
        </is>
      </c>
      <c r="B1120" s="72" t="inlineStr">
        <is>
          <t>EXPENSES</t>
        </is>
      </c>
      <c r="C1120" s="72" t="inlineStr">
        <is>
          <t>Debit</t>
        </is>
      </c>
      <c r="D1120" s="72" t="inlineStr">
        <is>
          <t>Head</t>
        </is>
      </c>
      <c r="E1120" s="72" t="inlineStr">
        <is>
          <t>Inc</t>
        </is>
      </c>
      <c r="F1120" s="12" t="n">
        <v>1</v>
      </c>
      <c r="G1120" s="12" t="n">
        <v>2</v>
      </c>
      <c r="H1120" s="72" t="n"/>
      <c r="I1120" s="72" t="n"/>
      <c r="J1120" s="72" t="n"/>
      <c r="K1120" s="72" t="n"/>
      <c r="L1120" s="72" t="n"/>
    </row>
    <row r="1121">
      <c r="A1121" s="72" t="inlineStr">
        <is>
          <t>6001-0000</t>
        </is>
      </c>
      <c r="B1121" s="72" t="inlineStr">
        <is>
          <t>CLEANING</t>
        </is>
      </c>
      <c r="C1121" s="72" t="inlineStr">
        <is>
          <t>Debit</t>
        </is>
      </c>
      <c r="D1121" s="72" t="inlineStr">
        <is>
          <t>Head</t>
        </is>
      </c>
      <c r="E1121" s="72" t="inlineStr">
        <is>
          <t>Inc</t>
        </is>
      </c>
      <c r="F1121" s="12" t="n">
        <v>4</v>
      </c>
      <c r="G1121" s="12" t="n">
        <v>2</v>
      </c>
      <c r="H1121" s="72" t="n"/>
      <c r="I1121" s="72" t="n"/>
      <c r="J1121" s="72" t="n"/>
      <c r="K1121" s="72" t="n"/>
      <c r="L1121" s="72" t="n"/>
    </row>
    <row r="1122">
      <c r="A1122" s="72" t="inlineStr">
        <is>
          <t>6002-0000</t>
        </is>
      </c>
      <c r="B1122" s="72" t="inlineStr">
        <is>
          <t>TOTAL CLEANING</t>
        </is>
      </c>
      <c r="C1122" s="72" t="inlineStr">
        <is>
          <t>Debit</t>
        </is>
      </c>
      <c r="D1122" s="72" t="inlineStr">
        <is>
          <t>Tot</t>
        </is>
      </c>
      <c r="E1122" s="72" t="inlineStr">
        <is>
          <t>Inc</t>
        </is>
      </c>
      <c r="F1122" s="12" t="n">
        <v>12</v>
      </c>
      <c r="G1122" s="12" t="n">
        <v>1</v>
      </c>
      <c r="H1122" s="72" t="n"/>
      <c r="I1122" s="72" t="n"/>
      <c r="J1122" s="72" t="n"/>
      <c r="K1122" s="72" t="inlineStr">
        <is>
          <t>7999-9000</t>
        </is>
      </c>
      <c r="L1122" s="72" t="n"/>
    </row>
    <row r="1123">
      <c r="A1123" s="72" t="inlineStr">
        <is>
          <t>6050-0000</t>
        </is>
      </c>
      <c r="B1123" s="72" t="inlineStr">
        <is>
          <t>ADVERTISING and MARKETING</t>
        </is>
      </c>
      <c r="C1123" s="72" t="inlineStr">
        <is>
          <t>Debit</t>
        </is>
      </c>
      <c r="D1123" s="72" t="inlineStr">
        <is>
          <t>Head</t>
        </is>
      </c>
      <c r="E1123" s="72" t="inlineStr">
        <is>
          <t>Inc</t>
        </is>
      </c>
      <c r="F1123" s="12" t="n">
        <v>4</v>
      </c>
      <c r="G1123" s="12" t="n">
        <v>2</v>
      </c>
      <c r="H1123" s="72" t="n"/>
      <c r="I1123" s="72" t="n"/>
      <c r="J1123" s="72" t="n"/>
      <c r="K1123" s="72" t="n"/>
      <c r="L1123" s="72" t="n"/>
    </row>
    <row r="1124">
      <c r="A1124" s="72" t="inlineStr">
        <is>
          <t>6050-0010</t>
        </is>
      </c>
      <c r="B1124" s="72" t="inlineStr">
        <is>
          <t>Advertising</t>
        </is>
      </c>
      <c r="C1124" s="72" t="inlineStr">
        <is>
          <t>Debit</t>
        </is>
      </c>
      <c r="D1124" s="72" t="inlineStr">
        <is>
          <t>Reg</t>
        </is>
      </c>
      <c r="E1124" s="72" t="inlineStr">
        <is>
          <t>Inc</t>
        </is>
      </c>
      <c r="F1124" s="12" t="n">
        <v>8</v>
      </c>
      <c r="G1124" s="12" t="n">
        <v>1</v>
      </c>
      <c r="H1124" s="72" t="n"/>
      <c r="I1124" s="72" t="n"/>
      <c r="J1124" s="72" t="n"/>
      <c r="K1124" s="72" t="inlineStr">
        <is>
          <t>6050-9999</t>
        </is>
      </c>
      <c r="L1124" s="72" t="n"/>
    </row>
    <row r="1125">
      <c r="A1125" s="72" t="inlineStr">
        <is>
          <t>6050-0015</t>
        </is>
      </c>
      <c r="B1125" s="72" t="inlineStr">
        <is>
          <t>Promotions</t>
        </is>
      </c>
      <c r="C1125" s="72" t="inlineStr">
        <is>
          <t>Debit</t>
        </is>
      </c>
      <c r="D1125" s="72" t="inlineStr">
        <is>
          <t>Reg</t>
        </is>
      </c>
      <c r="E1125" s="72" t="inlineStr">
        <is>
          <t>Inc</t>
        </is>
      </c>
      <c r="F1125" s="12" t="n">
        <v>8</v>
      </c>
      <c r="G1125" s="12" t="n">
        <v>1</v>
      </c>
      <c r="H1125" s="72" t="n"/>
      <c r="I1125" s="72" t="n"/>
      <c r="J1125" s="72" t="n"/>
      <c r="K1125" s="72" t="inlineStr">
        <is>
          <t>6050-9999</t>
        </is>
      </c>
      <c r="L1125" s="72" t="n"/>
    </row>
    <row r="1126">
      <c r="A1126" s="72" t="inlineStr">
        <is>
          <t>6050-0020</t>
        </is>
      </c>
      <c r="B1126" s="72" t="inlineStr">
        <is>
          <t>Gifts</t>
        </is>
      </c>
      <c r="C1126" s="72" t="inlineStr">
        <is>
          <t>Debit</t>
        </is>
      </c>
      <c r="D1126" s="72" t="inlineStr">
        <is>
          <t>Reg</t>
        </is>
      </c>
      <c r="E1126" s="72" t="inlineStr">
        <is>
          <t>Inc</t>
        </is>
      </c>
      <c r="F1126" s="12" t="n">
        <v>8</v>
      </c>
      <c r="G1126" s="12" t="n">
        <v>1</v>
      </c>
      <c r="H1126" s="72" t="n"/>
      <c r="I1126" s="72" t="n"/>
      <c r="J1126" s="72" t="n"/>
      <c r="K1126" s="72" t="inlineStr">
        <is>
          <t>6050-9999</t>
        </is>
      </c>
      <c r="L1126" s="72" t="n"/>
    </row>
    <row r="1127">
      <c r="A1127" s="72" t="inlineStr">
        <is>
          <t>6050-0025</t>
        </is>
      </c>
      <c r="B1127" s="72" t="inlineStr">
        <is>
          <t>Internet Marketing</t>
        </is>
      </c>
      <c r="C1127" s="72" t="inlineStr">
        <is>
          <t>Debit</t>
        </is>
      </c>
      <c r="D1127" s="72" t="inlineStr">
        <is>
          <t>Reg</t>
        </is>
      </c>
      <c r="E1127" s="72" t="inlineStr">
        <is>
          <t>Inc</t>
        </is>
      </c>
      <c r="F1127" s="12" t="n">
        <v>8</v>
      </c>
      <c r="G1127" s="12" t="n">
        <v>1</v>
      </c>
      <c r="H1127" s="72" t="n"/>
      <c r="I1127" s="72" t="n"/>
      <c r="J1127" s="72" t="n"/>
      <c r="K1127" s="72" t="inlineStr">
        <is>
          <t>6050-9999</t>
        </is>
      </c>
      <c r="L1127" s="72" t="n"/>
    </row>
    <row r="1128">
      <c r="A1128" s="72" t="inlineStr">
        <is>
          <t>6050-0026</t>
        </is>
      </c>
      <c r="B1128" s="72" t="inlineStr">
        <is>
          <t>OnSite Marketing</t>
        </is>
      </c>
      <c r="C1128" s="72" t="inlineStr">
        <is>
          <t>Debit</t>
        </is>
      </c>
      <c r="D1128" s="72" t="inlineStr">
        <is>
          <t>Reg</t>
        </is>
      </c>
      <c r="E1128" s="72" t="inlineStr">
        <is>
          <t>Inc</t>
        </is>
      </c>
      <c r="F1128" s="12" t="n">
        <v>8</v>
      </c>
      <c r="G1128" s="12" t="n">
        <v>1</v>
      </c>
      <c r="H1128" s="72" t="n"/>
      <c r="I1128" s="72" t="n"/>
      <c r="J1128" s="72" t="n"/>
      <c r="K1128" s="72" t="inlineStr">
        <is>
          <t>6050-9999</t>
        </is>
      </c>
      <c r="L1128" s="72" t="n"/>
    </row>
    <row r="1129">
      <c r="A1129" s="72" t="inlineStr">
        <is>
          <t>6050-0027</t>
        </is>
      </c>
      <c r="B1129" s="72" t="inlineStr">
        <is>
          <t>Website</t>
        </is>
      </c>
      <c r="C1129" s="72" t="inlineStr">
        <is>
          <t>Debit</t>
        </is>
      </c>
      <c r="D1129" s="72" t="inlineStr">
        <is>
          <t>Reg</t>
        </is>
      </c>
      <c r="E1129" s="72" t="inlineStr">
        <is>
          <t>Inc</t>
        </is>
      </c>
      <c r="F1129" s="12" t="n">
        <v>8</v>
      </c>
      <c r="G1129" s="12" t="n">
        <v>1</v>
      </c>
      <c r="H1129" s="72" t="n"/>
      <c r="I1129" s="72" t="n"/>
      <c r="J1129" s="72" t="n"/>
      <c r="K1129" s="72" t="inlineStr">
        <is>
          <t>6050-9999</t>
        </is>
      </c>
      <c r="L1129" s="72" t="n"/>
    </row>
    <row r="1130">
      <c r="A1130" s="72" t="inlineStr">
        <is>
          <t>6050-0028</t>
        </is>
      </c>
      <c r="B1130" s="72" t="inlineStr">
        <is>
          <t>Events</t>
        </is>
      </c>
      <c r="C1130" s="72" t="inlineStr">
        <is>
          <t>Debit</t>
        </is>
      </c>
      <c r="D1130" s="72" t="inlineStr">
        <is>
          <t>Reg</t>
        </is>
      </c>
      <c r="E1130" s="72" t="inlineStr">
        <is>
          <t>Inc</t>
        </is>
      </c>
      <c r="F1130" s="12" t="n">
        <v>8</v>
      </c>
      <c r="G1130" s="12" t="n">
        <v>1</v>
      </c>
      <c r="H1130" s="72" t="n"/>
      <c r="I1130" s="72" t="n"/>
      <c r="J1130" s="72" t="n"/>
      <c r="K1130" s="72" t="inlineStr">
        <is>
          <t>6050-9999</t>
        </is>
      </c>
      <c r="L1130" s="72" t="inlineStr">
        <is>
          <t>Cash Flow</t>
        </is>
      </c>
    </row>
    <row r="1131">
      <c r="A1131" s="72" t="inlineStr">
        <is>
          <t>6050-0030</t>
        </is>
      </c>
      <c r="B1131" s="72" t="inlineStr">
        <is>
          <t>Marketing Other</t>
        </is>
      </c>
      <c r="C1131" s="72" t="inlineStr">
        <is>
          <t>Debit</t>
        </is>
      </c>
      <c r="D1131" s="72" t="inlineStr">
        <is>
          <t>Reg</t>
        </is>
      </c>
      <c r="E1131" s="72" t="inlineStr">
        <is>
          <t>Inc</t>
        </is>
      </c>
      <c r="F1131" s="12" t="n">
        <v>8</v>
      </c>
      <c r="G1131" s="12" t="n">
        <v>1</v>
      </c>
      <c r="H1131" s="72" t="n"/>
      <c r="I1131" s="72" t="n"/>
      <c r="J1131" s="72" t="n"/>
      <c r="K1131" s="72" t="inlineStr">
        <is>
          <t>6050-9999</t>
        </is>
      </c>
      <c r="L1131" s="72" t="n"/>
    </row>
    <row r="1132">
      <c r="A1132" s="72" t="inlineStr">
        <is>
          <t>6050-9999</t>
        </is>
      </c>
      <c r="B1132" s="72" t="inlineStr">
        <is>
          <t>ADVERTISING and MARKETING TOTAL</t>
        </is>
      </c>
      <c r="C1132" s="72" t="inlineStr">
        <is>
          <t>Debit</t>
        </is>
      </c>
      <c r="D1132" s="72" t="inlineStr">
        <is>
          <t>Tot</t>
        </is>
      </c>
      <c r="E1132" s="72" t="inlineStr">
        <is>
          <t>Inc</t>
        </is>
      </c>
      <c r="F1132" s="12" t="n">
        <v>12</v>
      </c>
      <c r="G1132" s="12" t="n">
        <v>1</v>
      </c>
      <c r="H1132" s="72" t="n"/>
      <c r="I1132" s="72" t="n"/>
      <c r="J1132" s="72" t="n"/>
      <c r="K1132" s="72" t="inlineStr">
        <is>
          <t>7999-9000</t>
        </is>
      </c>
      <c r="L1132" s="72" t="n"/>
    </row>
    <row r="1133">
      <c r="A1133" s="72" t="inlineStr">
        <is>
          <t>6100-0000</t>
        </is>
      </c>
      <c r="B1133" s="72" t="inlineStr">
        <is>
          <t>REPAIRS AND MAINTENANCE</t>
        </is>
      </c>
      <c r="C1133" s="72" t="inlineStr">
        <is>
          <t>Debit</t>
        </is>
      </c>
      <c r="D1133" s="72" t="inlineStr">
        <is>
          <t>Head</t>
        </is>
      </c>
      <c r="E1133" s="72" t="inlineStr">
        <is>
          <t>Inc</t>
        </is>
      </c>
      <c r="F1133" s="12" t="n">
        <v>4</v>
      </c>
      <c r="G1133" s="12" t="n">
        <v>2</v>
      </c>
      <c r="H1133" s="72" t="n"/>
      <c r="I1133" s="72" t="n"/>
      <c r="J1133" s="72" t="n"/>
      <c r="K1133" s="72" t="n"/>
      <c r="L1133" s="72" t="n"/>
    </row>
    <row r="1134">
      <c r="A1134" s="72" t="inlineStr">
        <is>
          <t>6110-0000</t>
        </is>
      </c>
      <c r="B1134" s="72" t="inlineStr">
        <is>
          <t>Building Engineer</t>
        </is>
      </c>
      <c r="C1134" s="72" t="inlineStr">
        <is>
          <t>Debit</t>
        </is>
      </c>
      <c r="D1134" s="72" t="inlineStr">
        <is>
          <t>Reg</t>
        </is>
      </c>
      <c r="E1134" s="72" t="inlineStr">
        <is>
          <t>Inc</t>
        </is>
      </c>
      <c r="F1134" s="12" t="n">
        <v>8</v>
      </c>
      <c r="G1134" s="12" t="n">
        <v>1</v>
      </c>
      <c r="H1134" s="72" t="n"/>
      <c r="I1134" s="72" t="n"/>
      <c r="J1134" s="72" t="n"/>
      <c r="K1134" s="72" t="inlineStr">
        <is>
          <t>6199-9999</t>
        </is>
      </c>
      <c r="L1134" s="72" t="n"/>
    </row>
    <row r="1135">
      <c r="A1135" s="72" t="inlineStr">
        <is>
          <t>6110-0005</t>
        </is>
      </c>
      <c r="B1135" s="72" t="inlineStr">
        <is>
          <t>Janitorial Services</t>
        </is>
      </c>
      <c r="C1135" s="72" t="inlineStr">
        <is>
          <t>Debit</t>
        </is>
      </c>
      <c r="D1135" s="72" t="inlineStr">
        <is>
          <t>Reg</t>
        </is>
      </c>
      <c r="E1135" s="72" t="inlineStr">
        <is>
          <t>Inc</t>
        </is>
      </c>
      <c r="F1135" s="12" t="n">
        <v>8</v>
      </c>
      <c r="G1135" s="12" t="n">
        <v>1</v>
      </c>
      <c r="H1135" s="72" t="n"/>
      <c r="I1135" s="72" t="n"/>
      <c r="J1135" s="72" t="n"/>
      <c r="K1135" s="72" t="inlineStr">
        <is>
          <t>6199-9999</t>
        </is>
      </c>
      <c r="L1135" s="72" t="n"/>
    </row>
    <row r="1136">
      <c r="A1136" s="72" t="inlineStr">
        <is>
          <t>6110-0006</t>
        </is>
      </c>
      <c r="B1136" s="72" t="inlineStr">
        <is>
          <t>Petty Cash</t>
        </is>
      </c>
      <c r="C1136" s="72" t="inlineStr">
        <is>
          <t>Debit</t>
        </is>
      </c>
      <c r="D1136" s="72" t="inlineStr">
        <is>
          <t>Reg</t>
        </is>
      </c>
      <c r="E1136" s="72" t="inlineStr">
        <is>
          <t>Inc</t>
        </is>
      </c>
      <c r="F1136" s="12" t="n">
        <v>8</v>
      </c>
      <c r="G1136" s="12" t="n">
        <v>1</v>
      </c>
      <c r="H1136" s="72" t="n"/>
      <c r="I1136" s="72" t="n"/>
      <c r="J1136" s="72" t="n"/>
      <c r="K1136" s="72" t="inlineStr">
        <is>
          <t>6199-9999</t>
        </is>
      </c>
      <c r="L1136" s="72" t="n"/>
    </row>
    <row r="1137">
      <c r="A1137" s="72" t="inlineStr">
        <is>
          <t>6110-0010</t>
        </is>
      </c>
      <c r="B1137" s="72" t="inlineStr">
        <is>
          <t>Maintenance Recoverable</t>
        </is>
      </c>
      <c r="C1137" s="72" t="inlineStr">
        <is>
          <t>Debit</t>
        </is>
      </c>
      <c r="D1137" s="72" t="inlineStr">
        <is>
          <t>Reg</t>
        </is>
      </c>
      <c r="E1137" s="72" t="inlineStr">
        <is>
          <t>Inc</t>
        </is>
      </c>
      <c r="F1137" s="12" t="n">
        <v>8</v>
      </c>
      <c r="G1137" s="12" t="n">
        <v>1</v>
      </c>
      <c r="H1137" s="72" t="n"/>
      <c r="I1137" s="72" t="n"/>
      <c r="J1137" s="72" t="n"/>
      <c r="K1137" s="72" t="inlineStr">
        <is>
          <t>6199-9999</t>
        </is>
      </c>
      <c r="L1137" s="72" t="n"/>
    </row>
    <row r="1138">
      <c r="A1138" s="72" t="inlineStr">
        <is>
          <t>6110-0015</t>
        </is>
      </c>
      <c r="B1138" s="72" t="inlineStr">
        <is>
          <t>Parking Lot Lighting</t>
        </is>
      </c>
      <c r="C1138" s="72" t="inlineStr">
        <is>
          <t>Debit</t>
        </is>
      </c>
      <c r="D1138" s="72" t="inlineStr">
        <is>
          <t>Reg</t>
        </is>
      </c>
      <c r="E1138" s="72" t="inlineStr">
        <is>
          <t>Inc</t>
        </is>
      </c>
      <c r="F1138" s="12" t="n">
        <v>8</v>
      </c>
      <c r="G1138" s="12" t="n">
        <v>1</v>
      </c>
      <c r="H1138" s="72" t="n"/>
      <c r="I1138" s="72" t="n"/>
      <c r="J1138" s="72" t="n"/>
      <c r="K1138" s="72" t="inlineStr">
        <is>
          <t>6199-9999</t>
        </is>
      </c>
      <c r="L1138" s="72" t="n"/>
    </row>
    <row r="1139">
      <c r="A1139" s="72" t="inlineStr">
        <is>
          <t>6110-0020</t>
        </is>
      </c>
      <c r="B1139" s="72" t="inlineStr">
        <is>
          <t>Lights Light Bulbs Fixtures</t>
        </is>
      </c>
      <c r="C1139" s="72" t="inlineStr">
        <is>
          <t>Debit</t>
        </is>
      </c>
      <c r="D1139" s="72" t="inlineStr">
        <is>
          <t>Reg</t>
        </is>
      </c>
      <c r="E1139" s="72" t="inlineStr">
        <is>
          <t>Inc</t>
        </is>
      </c>
      <c r="F1139" s="12" t="n">
        <v>8</v>
      </c>
      <c r="G1139" s="12" t="n">
        <v>1</v>
      </c>
      <c r="H1139" s="72" t="n"/>
      <c r="I1139" s="72" t="n"/>
      <c r="J1139" s="72" t="n"/>
      <c r="K1139" s="72" t="inlineStr">
        <is>
          <t>6199-9999</t>
        </is>
      </c>
      <c r="L1139" s="72" t="n"/>
    </row>
    <row r="1140">
      <c r="A1140" s="72" t="inlineStr">
        <is>
          <t>6110-0025</t>
        </is>
      </c>
      <c r="B1140" s="72" t="inlineStr">
        <is>
          <t>Carpentry Supplies Locks Keys Doors</t>
        </is>
      </c>
      <c r="C1140" s="72" t="inlineStr">
        <is>
          <t>Debit</t>
        </is>
      </c>
      <c r="D1140" s="72" t="inlineStr">
        <is>
          <t>Reg</t>
        </is>
      </c>
      <c r="E1140" s="72" t="inlineStr">
        <is>
          <t>Inc</t>
        </is>
      </c>
      <c r="F1140" s="12" t="n">
        <v>8</v>
      </c>
      <c r="G1140" s="12" t="n">
        <v>1</v>
      </c>
      <c r="H1140" s="72" t="n"/>
      <c r="I1140" s="72" t="n"/>
      <c r="J1140" s="72" t="n"/>
      <c r="K1140" s="72" t="inlineStr">
        <is>
          <t>6199-9999</t>
        </is>
      </c>
      <c r="L1140" s="72" t="inlineStr">
        <is>
          <t>Exclude</t>
        </is>
      </c>
    </row>
    <row r="1141">
      <c r="A1141" s="72" t="inlineStr">
        <is>
          <t>6110-0027</t>
        </is>
      </c>
      <c r="B1141" s="72" t="inlineStr">
        <is>
          <t>Windows Glass Screens Doors</t>
        </is>
      </c>
      <c r="C1141" s="72" t="inlineStr">
        <is>
          <t>Debit</t>
        </is>
      </c>
      <c r="D1141" s="72" t="inlineStr">
        <is>
          <t>Reg</t>
        </is>
      </c>
      <c r="E1141" s="72" t="inlineStr">
        <is>
          <t>Inc</t>
        </is>
      </c>
      <c r="F1141" s="12" t="n">
        <v>8</v>
      </c>
      <c r="G1141" s="12" t="n">
        <v>1</v>
      </c>
      <c r="H1141" s="72" t="n"/>
      <c r="I1141" s="72" t="n"/>
      <c r="J1141" s="72" t="n"/>
      <c r="K1141" s="72" t="inlineStr">
        <is>
          <t>6199-9999</t>
        </is>
      </c>
      <c r="L1141" s="72" t="n"/>
    </row>
    <row r="1142">
      <c r="A1142" s="72" t="inlineStr">
        <is>
          <t>6110-0030</t>
        </is>
      </c>
      <c r="B1142" s="72" t="inlineStr">
        <is>
          <t>Plumbing and Sewer Repairs</t>
        </is>
      </c>
      <c r="C1142" s="72" t="inlineStr">
        <is>
          <t>Debit</t>
        </is>
      </c>
      <c r="D1142" s="72" t="inlineStr">
        <is>
          <t>Reg</t>
        </is>
      </c>
      <c r="E1142" s="72" t="inlineStr">
        <is>
          <t>Inc</t>
        </is>
      </c>
      <c r="F1142" s="12" t="n">
        <v>8</v>
      </c>
      <c r="G1142" s="12" t="n">
        <v>1</v>
      </c>
      <c r="H1142" s="72" t="n"/>
      <c r="I1142" s="72" t="n"/>
      <c r="J1142" s="72" t="n"/>
      <c r="K1142" s="72" t="inlineStr">
        <is>
          <t>6199-9999</t>
        </is>
      </c>
      <c r="L1142" s="72" t="n"/>
    </row>
    <row r="1143">
      <c r="A1143" s="72" t="inlineStr">
        <is>
          <t>6110-0035</t>
        </is>
      </c>
      <c r="B1143" s="72" t="inlineStr">
        <is>
          <t>Roof and Shingle Repairs Routine</t>
        </is>
      </c>
      <c r="C1143" s="72" t="inlineStr">
        <is>
          <t>Debit</t>
        </is>
      </c>
      <c r="D1143" s="72" t="inlineStr">
        <is>
          <t>Reg</t>
        </is>
      </c>
      <c r="E1143" s="72" t="inlineStr">
        <is>
          <t>Inc</t>
        </is>
      </c>
      <c r="F1143" s="12" t="n">
        <v>8</v>
      </c>
      <c r="G1143" s="12" t="n">
        <v>1</v>
      </c>
      <c r="H1143" s="72" t="n"/>
      <c r="I1143" s="72" t="n"/>
      <c r="J1143" s="72" t="n"/>
      <c r="K1143" s="72" t="inlineStr">
        <is>
          <t>6199-9999</t>
        </is>
      </c>
      <c r="L1143" s="72" t="n"/>
    </row>
    <row r="1144">
      <c r="A1144" s="72" t="inlineStr">
        <is>
          <t>6110-0040</t>
        </is>
      </c>
      <c r="B1144" s="72" t="inlineStr">
        <is>
          <t>Sign Repair</t>
        </is>
      </c>
      <c r="C1144" s="72" t="inlineStr">
        <is>
          <t>Debit</t>
        </is>
      </c>
      <c r="D1144" s="72" t="inlineStr">
        <is>
          <t>Reg</t>
        </is>
      </c>
      <c r="E1144" s="72" t="inlineStr">
        <is>
          <t>Inc</t>
        </is>
      </c>
      <c r="F1144" s="12" t="n">
        <v>8</v>
      </c>
      <c r="G1144" s="12" t="n">
        <v>1</v>
      </c>
      <c r="H1144" s="72" t="n"/>
      <c r="I1144" s="72" t="n"/>
      <c r="J1144" s="72" t="n"/>
      <c r="K1144" s="72" t="inlineStr">
        <is>
          <t>6199-9999</t>
        </is>
      </c>
      <c r="L1144" s="72" t="n"/>
    </row>
    <row r="1145">
      <c r="A1145" s="72" t="inlineStr">
        <is>
          <t>6110-0045</t>
        </is>
      </c>
      <c r="B1145" s="72" t="inlineStr">
        <is>
          <t>Pressure Washing Tuckpointing</t>
        </is>
      </c>
      <c r="C1145" s="72" t="inlineStr">
        <is>
          <t>Debit</t>
        </is>
      </c>
      <c r="D1145" s="72" t="inlineStr">
        <is>
          <t>Reg</t>
        </is>
      </c>
      <c r="E1145" s="72" t="inlineStr">
        <is>
          <t>Inc</t>
        </is>
      </c>
      <c r="F1145" s="12" t="n">
        <v>8</v>
      </c>
      <c r="G1145" s="12" t="n">
        <v>1</v>
      </c>
      <c r="H1145" s="72" t="n"/>
      <c r="I1145" s="72" t="n"/>
      <c r="J1145" s="72" t="n"/>
      <c r="K1145" s="72" t="inlineStr">
        <is>
          <t>6199-9999</t>
        </is>
      </c>
      <c r="L1145" s="72" t="n"/>
    </row>
    <row r="1146">
      <c r="A1146" s="72" t="inlineStr">
        <is>
          <t>6110-0050</t>
        </is>
      </c>
      <c r="B1146" s="72" t="inlineStr">
        <is>
          <t>Tenant Improvements</t>
        </is>
      </c>
      <c r="C1146" s="72" t="inlineStr">
        <is>
          <t>Debit</t>
        </is>
      </c>
      <c r="D1146" s="72" t="inlineStr">
        <is>
          <t>Reg</t>
        </is>
      </c>
      <c r="E1146" s="72" t="inlineStr">
        <is>
          <t>Inc</t>
        </is>
      </c>
      <c r="F1146" s="12" t="n">
        <v>8</v>
      </c>
      <c r="G1146" s="12" t="n">
        <v>1</v>
      </c>
      <c r="H1146" s="72" t="n"/>
      <c r="I1146" s="72" t="n"/>
      <c r="J1146" s="72" t="n"/>
      <c r="K1146" s="72" t="inlineStr">
        <is>
          <t>6199-9999</t>
        </is>
      </c>
      <c r="L1146" s="72" t="n"/>
    </row>
    <row r="1147">
      <c r="A1147" s="72" t="inlineStr">
        <is>
          <t>6110-0085</t>
        </is>
      </c>
      <c r="B1147" s="72" t="inlineStr">
        <is>
          <t>Less: Discounts</t>
        </is>
      </c>
      <c r="C1147" s="72" t="inlineStr">
        <is>
          <t>Debit</t>
        </is>
      </c>
      <c r="D1147" s="72" t="inlineStr">
        <is>
          <t>Reg</t>
        </is>
      </c>
      <c r="E1147" s="72" t="inlineStr">
        <is>
          <t>Inc</t>
        </is>
      </c>
      <c r="F1147" s="12" t="n">
        <v>8</v>
      </c>
      <c r="G1147" s="12" t="n">
        <v>1</v>
      </c>
      <c r="H1147" s="72" t="n"/>
      <c r="I1147" s="72" t="n"/>
      <c r="J1147" s="72" t="n"/>
      <c r="K1147" s="72" t="inlineStr">
        <is>
          <t>6199-9999</t>
        </is>
      </c>
      <c r="L1147" s="72" t="n"/>
    </row>
    <row r="1148">
      <c r="A1148" s="72" t="inlineStr">
        <is>
          <t>6110-1000</t>
        </is>
      </c>
      <c r="B1148" s="72" t="inlineStr">
        <is>
          <t>Appliance Repair</t>
        </is>
      </c>
      <c r="C1148" s="72" t="inlineStr">
        <is>
          <t>Debit</t>
        </is>
      </c>
      <c r="D1148" s="72" t="inlineStr">
        <is>
          <t>Reg</t>
        </is>
      </c>
      <c r="E1148" s="72" t="inlineStr">
        <is>
          <t>Inc</t>
        </is>
      </c>
      <c r="F1148" s="12" t="n">
        <v>8</v>
      </c>
      <c r="G1148" s="12" t="n">
        <v>1</v>
      </c>
      <c r="H1148" s="72" t="n"/>
      <c r="I1148" s="72" t="n"/>
      <c r="J1148" s="72" t="n"/>
      <c r="K1148" s="72" t="inlineStr">
        <is>
          <t>6199-9999</t>
        </is>
      </c>
      <c r="L1148" s="72" t="n"/>
    </row>
    <row r="1149">
      <c r="A1149" s="72" t="inlineStr">
        <is>
          <t>6110-1005</t>
        </is>
      </c>
      <c r="B1149" s="72" t="inlineStr">
        <is>
          <t>Intercom and Service</t>
        </is>
      </c>
      <c r="C1149" s="72" t="inlineStr">
        <is>
          <t>Debit</t>
        </is>
      </c>
      <c r="D1149" s="72" t="inlineStr">
        <is>
          <t>Reg</t>
        </is>
      </c>
      <c r="E1149" s="72" t="inlineStr">
        <is>
          <t>Inc</t>
        </is>
      </c>
      <c r="F1149" s="12" t="n">
        <v>8</v>
      </c>
      <c r="G1149" s="12" t="n">
        <v>1</v>
      </c>
      <c r="H1149" s="72" t="n"/>
      <c r="I1149" s="72" t="n"/>
      <c r="J1149" s="72" t="n"/>
      <c r="K1149" s="72" t="inlineStr">
        <is>
          <t>6199-9999</t>
        </is>
      </c>
      <c r="L1149" s="72" t="n"/>
    </row>
    <row r="1150">
      <c r="A1150" s="72" t="inlineStr">
        <is>
          <t>6110-1050</t>
        </is>
      </c>
      <c r="B1150" s="72" t="inlineStr">
        <is>
          <t>Repairs and  Maintenance</t>
        </is>
      </c>
      <c r="C1150" s="72" t="inlineStr">
        <is>
          <t>Debit</t>
        </is>
      </c>
      <c r="D1150" s="72" t="inlineStr">
        <is>
          <t>Reg</t>
        </is>
      </c>
      <c r="E1150" s="72" t="inlineStr">
        <is>
          <t>Inc</t>
        </is>
      </c>
      <c r="F1150" s="12" t="n">
        <v>8</v>
      </c>
      <c r="G1150" s="12" t="n">
        <v>1</v>
      </c>
      <c r="H1150" s="72" t="n"/>
      <c r="I1150" s="72" t="n"/>
      <c r="J1150" s="72" t="n"/>
      <c r="K1150" s="72" t="inlineStr">
        <is>
          <t>6199-9999</t>
        </is>
      </c>
      <c r="L1150" s="72" t="n"/>
    </row>
    <row r="1151">
      <c r="A1151" s="72" t="inlineStr">
        <is>
          <t>6110-1055</t>
        </is>
      </c>
      <c r="B1151" s="72" t="inlineStr">
        <is>
          <t>Janitorial Supplies</t>
        </is>
      </c>
      <c r="C1151" s="72" t="inlineStr">
        <is>
          <t>Debit</t>
        </is>
      </c>
      <c r="D1151" s="72" t="inlineStr">
        <is>
          <t>Reg</t>
        </is>
      </c>
      <c r="E1151" s="72" t="inlineStr">
        <is>
          <t>Inc</t>
        </is>
      </c>
      <c r="F1151" s="12" t="n">
        <v>8</v>
      </c>
      <c r="G1151" s="12" t="n">
        <v>1</v>
      </c>
      <c r="H1151" s="72" t="n"/>
      <c r="I1151" s="72" t="n"/>
      <c r="J1151" s="72" t="n"/>
      <c r="K1151" s="72" t="inlineStr">
        <is>
          <t>6199-9999</t>
        </is>
      </c>
      <c r="L1151" s="72" t="n"/>
    </row>
    <row r="1152">
      <c r="A1152" s="72" t="inlineStr">
        <is>
          <t>6110-1060</t>
        </is>
      </c>
      <c r="B1152" s="72" t="inlineStr">
        <is>
          <t>Maintenance Tools and Supplies</t>
        </is>
      </c>
      <c r="C1152" s="72" t="inlineStr">
        <is>
          <t>Debit</t>
        </is>
      </c>
      <c r="D1152" s="72" t="inlineStr">
        <is>
          <t>Reg</t>
        </is>
      </c>
      <c r="E1152" s="72" t="inlineStr">
        <is>
          <t>Inc</t>
        </is>
      </c>
      <c r="F1152" s="12" t="n">
        <v>8</v>
      </c>
      <c r="G1152" s="12" t="n">
        <v>1</v>
      </c>
      <c r="H1152" s="72" t="n"/>
      <c r="I1152" s="72" t="n"/>
      <c r="J1152" s="72" t="n"/>
      <c r="K1152" s="72" t="inlineStr">
        <is>
          <t>6199-9999</t>
        </is>
      </c>
      <c r="L1152" s="72" t="n"/>
    </row>
    <row r="1153">
      <c r="A1153" s="72" t="inlineStr">
        <is>
          <t>6110-1062</t>
        </is>
      </c>
      <c r="B1153" s="72" t="inlineStr">
        <is>
          <t>Window Washing</t>
        </is>
      </c>
      <c r="C1153" s="72" t="inlineStr">
        <is>
          <t>Debit</t>
        </is>
      </c>
      <c r="D1153" s="72" t="inlineStr">
        <is>
          <t>Reg</t>
        </is>
      </c>
      <c r="E1153" s="72" t="inlineStr">
        <is>
          <t>Inc</t>
        </is>
      </c>
      <c r="F1153" s="12" t="n">
        <v>8</v>
      </c>
      <c r="G1153" s="12" t="n">
        <v>1</v>
      </c>
      <c r="H1153" s="72" t="n"/>
      <c r="I1153" s="72" t="n"/>
      <c r="J1153" s="72" t="n"/>
      <c r="K1153" s="72" t="inlineStr">
        <is>
          <t>6199-9999</t>
        </is>
      </c>
      <c r="L1153" s="72" t="n"/>
    </row>
    <row r="1154">
      <c r="A1154" s="72" t="inlineStr">
        <is>
          <t>6110-1065</t>
        </is>
      </c>
      <c r="B1154" s="72" t="inlineStr">
        <is>
          <t>Painting and Plastering</t>
        </is>
      </c>
      <c r="C1154" s="72" t="inlineStr">
        <is>
          <t>Debit</t>
        </is>
      </c>
      <c r="D1154" s="72" t="inlineStr">
        <is>
          <t>Reg</t>
        </is>
      </c>
      <c r="E1154" s="72" t="inlineStr">
        <is>
          <t>Inc</t>
        </is>
      </c>
      <c r="F1154" s="12" t="n">
        <v>8</v>
      </c>
      <c r="G1154" s="12" t="n">
        <v>1</v>
      </c>
      <c r="H1154" s="72" t="n"/>
      <c r="I1154" s="72" t="n"/>
      <c r="J1154" s="72" t="n"/>
      <c r="K1154" s="72" t="inlineStr">
        <is>
          <t>6199-9999</t>
        </is>
      </c>
      <c r="L1154" s="72" t="n"/>
    </row>
    <row r="1155">
      <c r="A1155" s="72" t="inlineStr">
        <is>
          <t>6110-1066</t>
        </is>
      </c>
      <c r="B1155" s="72" t="inlineStr">
        <is>
          <t>Maintenance Contracts</t>
        </is>
      </c>
      <c r="C1155" s="72" t="inlineStr">
        <is>
          <t>Debit</t>
        </is>
      </c>
      <c r="D1155" s="72" t="inlineStr">
        <is>
          <t>Reg</t>
        </is>
      </c>
      <c r="E1155" s="72" t="inlineStr">
        <is>
          <t>Inc</t>
        </is>
      </c>
      <c r="F1155" s="12" t="n">
        <v>8</v>
      </c>
      <c r="G1155" s="12" t="n">
        <v>1</v>
      </c>
      <c r="H1155" s="72" t="n"/>
      <c r="I1155" s="72" t="n"/>
      <c r="J1155" s="72" t="n"/>
      <c r="K1155" s="72" t="inlineStr">
        <is>
          <t>6199-9999</t>
        </is>
      </c>
      <c r="L1155" s="72" t="inlineStr">
        <is>
          <t>Cash Flow</t>
        </is>
      </c>
    </row>
    <row r="1156">
      <c r="A1156" s="72" t="inlineStr">
        <is>
          <t>6110-1067</t>
        </is>
      </c>
      <c r="B1156" s="72" t="inlineStr">
        <is>
          <t>HVAC Heat Ventilation Air</t>
        </is>
      </c>
      <c r="C1156" s="72" t="inlineStr">
        <is>
          <t>Debit</t>
        </is>
      </c>
      <c r="D1156" s="72" t="inlineStr">
        <is>
          <t>Reg</t>
        </is>
      </c>
      <c r="E1156" s="72" t="inlineStr">
        <is>
          <t>Inc</t>
        </is>
      </c>
      <c r="F1156" s="12" t="n">
        <v>8</v>
      </c>
      <c r="G1156" s="12" t="n">
        <v>1</v>
      </c>
      <c r="H1156" s="72" t="n"/>
      <c r="I1156" s="72" t="n"/>
      <c r="J1156" s="72" t="n"/>
      <c r="K1156" s="72" t="inlineStr">
        <is>
          <t>6199-9999</t>
        </is>
      </c>
      <c r="L1156" s="72" t="n"/>
    </row>
    <row r="1157">
      <c r="A1157" s="72" t="inlineStr">
        <is>
          <t>6110-1070</t>
        </is>
      </c>
      <c r="B1157" s="72" t="inlineStr">
        <is>
          <t>Electrical Repair and Maintenance</t>
        </is>
      </c>
      <c r="C1157" s="72" t="inlineStr">
        <is>
          <t>Debit</t>
        </is>
      </c>
      <c r="D1157" s="72" t="inlineStr">
        <is>
          <t>Reg</t>
        </is>
      </c>
      <c r="E1157" s="72" t="inlineStr">
        <is>
          <t>Inc</t>
        </is>
      </c>
      <c r="F1157" s="12" t="n">
        <v>8</v>
      </c>
      <c r="G1157" s="12" t="n">
        <v>1</v>
      </c>
      <c r="H1157" s="72" t="n"/>
      <c r="I1157" s="72" t="n"/>
      <c r="J1157" s="72" t="n"/>
      <c r="K1157" s="72" t="inlineStr">
        <is>
          <t>6199-9999</t>
        </is>
      </c>
      <c r="L1157" s="72" t="n"/>
    </row>
    <row r="1158">
      <c r="A1158" s="72" t="inlineStr">
        <is>
          <t>6110-1075</t>
        </is>
      </c>
      <c r="B1158" s="72" t="inlineStr">
        <is>
          <t>Elevator Inspection Repair Contract</t>
        </is>
      </c>
      <c r="C1158" s="72" t="inlineStr">
        <is>
          <t>Debit</t>
        </is>
      </c>
      <c r="D1158" s="72" t="inlineStr">
        <is>
          <t>Reg</t>
        </is>
      </c>
      <c r="E1158" s="72" t="inlineStr">
        <is>
          <t>Inc</t>
        </is>
      </c>
      <c r="F1158" s="12" t="n">
        <v>8</v>
      </c>
      <c r="G1158" s="12" t="n">
        <v>1</v>
      </c>
      <c r="H1158" s="72" t="n"/>
      <c r="I1158" s="72" t="n"/>
      <c r="J1158" s="72" t="n"/>
      <c r="K1158" s="72" t="inlineStr">
        <is>
          <t>6199-9999</t>
        </is>
      </c>
      <c r="L1158" s="72" t="n"/>
    </row>
    <row r="1159">
      <c r="A1159" s="72" t="inlineStr">
        <is>
          <t>6110-1100</t>
        </is>
      </c>
      <c r="B1159" s="72" t="inlineStr">
        <is>
          <t>Carpet Cleaning</t>
        </is>
      </c>
      <c r="C1159" s="72" t="inlineStr">
        <is>
          <t>Debit</t>
        </is>
      </c>
      <c r="D1159" s="72" t="inlineStr">
        <is>
          <t>Reg</t>
        </is>
      </c>
      <c r="E1159" s="72" t="inlineStr">
        <is>
          <t>Inc</t>
        </is>
      </c>
      <c r="F1159" s="12" t="n">
        <v>8</v>
      </c>
      <c r="G1159" s="12" t="n">
        <v>1</v>
      </c>
      <c r="H1159" s="72" t="n"/>
      <c r="I1159" s="72" t="n"/>
      <c r="J1159" s="72" t="n"/>
      <c r="K1159" s="72" t="inlineStr">
        <is>
          <t>6199-9999</t>
        </is>
      </c>
      <c r="L1159" s="72" t="n"/>
    </row>
    <row r="1160">
      <c r="A1160" s="72" t="inlineStr">
        <is>
          <t>6110-1110</t>
        </is>
      </c>
      <c r="B1160" s="72" t="inlineStr">
        <is>
          <t>Equipment Rental</t>
        </is>
      </c>
      <c r="C1160" s="72" t="inlineStr">
        <is>
          <t>Debit</t>
        </is>
      </c>
      <c r="D1160" s="72" t="inlineStr">
        <is>
          <t>Reg</t>
        </is>
      </c>
      <c r="E1160" s="72" t="inlineStr">
        <is>
          <t>Inc</t>
        </is>
      </c>
      <c r="F1160" s="12" t="n">
        <v>8</v>
      </c>
      <c r="G1160" s="12" t="n">
        <v>1</v>
      </c>
      <c r="H1160" s="72" t="n"/>
      <c r="I1160" s="72" t="n"/>
      <c r="J1160" s="72" t="n"/>
      <c r="K1160" s="72" t="inlineStr">
        <is>
          <t>6199-9999</t>
        </is>
      </c>
      <c r="L1160" s="72" t="n"/>
    </row>
    <row r="1161">
      <c r="A1161" s="72" t="inlineStr">
        <is>
          <t>6110-1150</t>
        </is>
      </c>
      <c r="B1161" s="72" t="inlineStr">
        <is>
          <t>Testing  Licensing and  Inspections</t>
        </is>
      </c>
      <c r="C1161" s="72" t="inlineStr">
        <is>
          <t>Debit</t>
        </is>
      </c>
      <c r="D1161" s="72" t="inlineStr">
        <is>
          <t>Reg</t>
        </is>
      </c>
      <c r="E1161" s="72" t="inlineStr">
        <is>
          <t>Inc</t>
        </is>
      </c>
      <c r="F1161" s="12" t="n">
        <v>8</v>
      </c>
      <c r="G1161" s="12" t="n">
        <v>1</v>
      </c>
      <c r="H1161" s="72" t="n"/>
      <c r="I1161" s="72" t="n"/>
      <c r="J1161" s="72" t="n"/>
      <c r="K1161" s="72" t="inlineStr">
        <is>
          <t>6199-9999</t>
        </is>
      </c>
      <c r="L1161" s="72" t="n"/>
    </row>
    <row r="1162">
      <c r="A1162" s="72" t="inlineStr">
        <is>
          <t>6110-1175</t>
        </is>
      </c>
      <c r="B1162" s="72" t="inlineStr">
        <is>
          <t>Extermination</t>
        </is>
      </c>
      <c r="C1162" s="72" t="inlineStr">
        <is>
          <t>Debit</t>
        </is>
      </c>
      <c r="D1162" s="72" t="inlineStr">
        <is>
          <t>Reg</t>
        </is>
      </c>
      <c r="E1162" s="72" t="inlineStr">
        <is>
          <t>Inc</t>
        </is>
      </c>
      <c r="F1162" s="12" t="n">
        <v>8</v>
      </c>
      <c r="G1162" s="12" t="n">
        <v>1</v>
      </c>
      <c r="H1162" s="72" t="n"/>
      <c r="I1162" s="72" t="n"/>
      <c r="J1162" s="72" t="n"/>
      <c r="K1162" s="72" t="inlineStr">
        <is>
          <t>6199-9999</t>
        </is>
      </c>
      <c r="L1162" s="72" t="n"/>
    </row>
    <row r="1163">
      <c r="A1163" s="72" t="inlineStr">
        <is>
          <t>6110-1180</t>
        </is>
      </c>
      <c r="B1163" s="72" t="inlineStr">
        <is>
          <t>Water Softener and Conditioner</t>
        </is>
      </c>
      <c r="C1163" s="72" t="inlineStr">
        <is>
          <t>Debit</t>
        </is>
      </c>
      <c r="D1163" s="72" t="inlineStr">
        <is>
          <t>Reg</t>
        </is>
      </c>
      <c r="E1163" s="72" t="inlineStr">
        <is>
          <t>Inc</t>
        </is>
      </c>
      <c r="F1163" s="12" t="n">
        <v>8</v>
      </c>
      <c r="G1163" s="12" t="n">
        <v>1</v>
      </c>
      <c r="H1163" s="72" t="n"/>
      <c r="I1163" s="72" t="n"/>
      <c r="J1163" s="72" t="n"/>
      <c r="K1163" s="72" t="inlineStr">
        <is>
          <t>6199-9999</t>
        </is>
      </c>
      <c r="L1163" s="72" t="n"/>
    </row>
    <row r="1164">
      <c r="A1164" s="72" t="inlineStr">
        <is>
          <t>6199-9999</t>
        </is>
      </c>
      <c r="B1164" s="72" t="inlineStr">
        <is>
          <t>TOTAL REPAIRS AND MAINTENANCE</t>
        </is>
      </c>
      <c r="C1164" s="72" t="inlineStr">
        <is>
          <t>Debit</t>
        </is>
      </c>
      <c r="D1164" s="72" t="inlineStr">
        <is>
          <t>Tot</t>
        </is>
      </c>
      <c r="E1164" s="72" t="inlineStr">
        <is>
          <t>Inc</t>
        </is>
      </c>
      <c r="F1164" s="12" t="n">
        <v>12</v>
      </c>
      <c r="G1164" s="12" t="n">
        <v>1</v>
      </c>
      <c r="H1164" s="72" t="n"/>
      <c r="I1164" s="72" t="n"/>
      <c r="J1164" s="72" t="n"/>
      <c r="K1164" s="72" t="inlineStr">
        <is>
          <t>7999-9000</t>
        </is>
      </c>
      <c r="L1164" s="72" t="n"/>
    </row>
    <row r="1165">
      <c r="A1165" s="72" t="inlineStr">
        <is>
          <t>6200-0000</t>
        </is>
      </c>
      <c r="B1165" s="72" t="inlineStr">
        <is>
          <t>GROUNDS</t>
        </is>
      </c>
      <c r="C1165" s="72" t="inlineStr">
        <is>
          <t>Debit</t>
        </is>
      </c>
      <c r="D1165" s="72" t="inlineStr">
        <is>
          <t>Head</t>
        </is>
      </c>
      <c r="E1165" s="72" t="inlineStr">
        <is>
          <t>Inc</t>
        </is>
      </c>
      <c r="F1165" s="12" t="n">
        <v>4</v>
      </c>
      <c r="G1165" s="12" t="n">
        <v>2</v>
      </c>
      <c r="H1165" s="72" t="n"/>
      <c r="I1165" s="72" t="n"/>
      <c r="J1165" s="72" t="n"/>
      <c r="K1165" s="72" t="n"/>
      <c r="L1165" s="72" t="n"/>
    </row>
    <row r="1166">
      <c r="A1166" s="72" t="inlineStr">
        <is>
          <t>6200-0001</t>
        </is>
      </c>
      <c r="B1166" s="72" t="inlineStr">
        <is>
          <t>Trash Disposal</t>
        </is>
      </c>
      <c r="C1166" s="72" t="inlineStr">
        <is>
          <t>Debit</t>
        </is>
      </c>
      <c r="D1166" s="72" t="inlineStr">
        <is>
          <t>Reg</t>
        </is>
      </c>
      <c r="E1166" s="72" t="inlineStr">
        <is>
          <t>Inc</t>
        </is>
      </c>
      <c r="F1166" s="12" t="n">
        <v>8</v>
      </c>
      <c r="G1166" s="12" t="n">
        <v>1</v>
      </c>
      <c r="H1166" s="72" t="n"/>
      <c r="I1166" s="72" t="n"/>
      <c r="J1166" s="72" t="n"/>
      <c r="K1166" s="72" t="inlineStr">
        <is>
          <t>6299-9999</t>
        </is>
      </c>
      <c r="L1166" s="72" t="n"/>
    </row>
    <row r="1167">
      <c r="A1167" s="72" t="inlineStr">
        <is>
          <t>6200-0002</t>
        </is>
      </c>
      <c r="B1167" s="72" t="inlineStr">
        <is>
          <t>Recycling Removal</t>
        </is>
      </c>
      <c r="C1167" s="72" t="inlineStr">
        <is>
          <t>Debit</t>
        </is>
      </c>
      <c r="D1167" s="72" t="inlineStr">
        <is>
          <t>Reg</t>
        </is>
      </c>
      <c r="E1167" s="72" t="inlineStr">
        <is>
          <t>Inc</t>
        </is>
      </c>
      <c r="F1167" s="12" t="n">
        <v>8</v>
      </c>
      <c r="G1167" s="12" t="n">
        <v>1</v>
      </c>
      <c r="H1167" s="72" t="n"/>
      <c r="I1167" s="72" t="n"/>
      <c r="J1167" s="72" t="n"/>
      <c r="K1167" s="72" t="inlineStr">
        <is>
          <t>6299-9999</t>
        </is>
      </c>
      <c r="L1167" s="72" t="n"/>
    </row>
    <row r="1168">
      <c r="A1168" s="72" t="inlineStr">
        <is>
          <t>6200-0010</t>
        </is>
      </c>
      <c r="B1168" s="72" t="inlineStr">
        <is>
          <t>Landscaping</t>
        </is>
      </c>
      <c r="C1168" s="72" t="inlineStr">
        <is>
          <t>Debit</t>
        </is>
      </c>
      <c r="D1168" s="72" t="inlineStr">
        <is>
          <t>Reg</t>
        </is>
      </c>
      <c r="E1168" s="72" t="inlineStr">
        <is>
          <t>Inc</t>
        </is>
      </c>
      <c r="F1168" s="12" t="n">
        <v>8</v>
      </c>
      <c r="G1168" s="12" t="n">
        <v>1</v>
      </c>
      <c r="H1168" s="72" t="n"/>
      <c r="I1168" s="72" t="n"/>
      <c r="J1168" s="72" t="n"/>
      <c r="K1168" s="72" t="inlineStr">
        <is>
          <t>6299-9999</t>
        </is>
      </c>
      <c r="L1168" s="72" t="n"/>
    </row>
    <row r="1169">
      <c r="A1169" s="72" t="inlineStr">
        <is>
          <t>6200-0015</t>
        </is>
      </c>
      <c r="B1169" s="72" t="inlineStr">
        <is>
          <t>Snow Removal</t>
        </is>
      </c>
      <c r="C1169" s="72" t="inlineStr">
        <is>
          <t>Debit</t>
        </is>
      </c>
      <c r="D1169" s="72" t="inlineStr">
        <is>
          <t>Reg</t>
        </is>
      </c>
      <c r="E1169" s="72" t="inlineStr">
        <is>
          <t>Inc</t>
        </is>
      </c>
      <c r="F1169" s="12" t="n">
        <v>8</v>
      </c>
      <c r="G1169" s="12" t="n">
        <v>1</v>
      </c>
      <c r="H1169" s="72" t="n"/>
      <c r="I1169" s="72" t="n"/>
      <c r="J1169" s="72" t="n"/>
      <c r="K1169" s="72" t="inlineStr">
        <is>
          <t>6299-9999</t>
        </is>
      </c>
      <c r="L1169" s="72" t="n"/>
    </row>
    <row r="1170">
      <c r="A1170" s="72" t="inlineStr">
        <is>
          <t>6200-0020</t>
        </is>
      </c>
      <c r="B1170" s="72" t="inlineStr">
        <is>
          <t>Garage Repairs</t>
        </is>
      </c>
      <c r="C1170" s="72" t="inlineStr">
        <is>
          <t>Debit</t>
        </is>
      </c>
      <c r="D1170" s="72" t="inlineStr">
        <is>
          <t>Reg</t>
        </is>
      </c>
      <c r="E1170" s="72" t="inlineStr">
        <is>
          <t>Inc</t>
        </is>
      </c>
      <c r="F1170" s="12" t="n">
        <v>8</v>
      </c>
      <c r="G1170" s="12" t="n">
        <v>1</v>
      </c>
      <c r="H1170" s="72" t="n"/>
      <c r="I1170" s="72" t="n"/>
      <c r="J1170" s="72" t="n"/>
      <c r="K1170" s="72" t="inlineStr">
        <is>
          <t>6299-9999</t>
        </is>
      </c>
      <c r="L1170" s="72" t="n"/>
    </row>
    <row r="1171">
      <c r="A1171" s="72" t="inlineStr">
        <is>
          <t>6200-0030</t>
        </is>
      </c>
      <c r="B1171" s="72" t="inlineStr">
        <is>
          <t>Sprinkler System Maint &amp; Repair</t>
        </is>
      </c>
      <c r="C1171" s="72" t="inlineStr">
        <is>
          <t>Debit</t>
        </is>
      </c>
      <c r="D1171" s="72" t="inlineStr">
        <is>
          <t>Reg</t>
        </is>
      </c>
      <c r="E1171" s="72" t="inlineStr">
        <is>
          <t>Inc</t>
        </is>
      </c>
      <c r="F1171" s="12" t="n">
        <v>8</v>
      </c>
      <c r="G1171" s="12" t="n">
        <v>1</v>
      </c>
      <c r="H1171" s="72" t="n"/>
      <c r="I1171" s="72" t="n"/>
      <c r="J1171" s="72" t="n"/>
      <c r="K1171" s="72" t="inlineStr">
        <is>
          <t>6299-9999</t>
        </is>
      </c>
      <c r="L1171" s="72" t="n"/>
    </row>
    <row r="1172">
      <c r="A1172" s="72" t="inlineStr">
        <is>
          <t>6200-0040</t>
        </is>
      </c>
      <c r="B1172" s="72" t="inlineStr">
        <is>
          <t>Parking Lot Minor Repairs</t>
        </is>
      </c>
      <c r="C1172" s="72" t="inlineStr">
        <is>
          <t>Debit</t>
        </is>
      </c>
      <c r="D1172" s="72" t="inlineStr">
        <is>
          <t>Reg</t>
        </is>
      </c>
      <c r="E1172" s="72" t="inlineStr">
        <is>
          <t>Inc</t>
        </is>
      </c>
      <c r="F1172" s="12" t="n">
        <v>8</v>
      </c>
      <c r="G1172" s="12" t="n">
        <v>1</v>
      </c>
      <c r="H1172" s="72" t="n"/>
      <c r="I1172" s="72" t="n"/>
      <c r="J1172" s="72" t="n"/>
      <c r="K1172" s="72" t="inlineStr">
        <is>
          <t>6299-9999</t>
        </is>
      </c>
      <c r="L1172" s="72" t="n"/>
    </row>
    <row r="1173">
      <c r="A1173" s="72" t="inlineStr">
        <is>
          <t>6200-0045</t>
        </is>
      </c>
      <c r="B1173" s="72" t="inlineStr">
        <is>
          <t>Parking Lot Sweeping  Maintenance</t>
        </is>
      </c>
      <c r="C1173" s="72" t="inlineStr">
        <is>
          <t>Debit</t>
        </is>
      </c>
      <c r="D1173" s="72" t="inlineStr">
        <is>
          <t>Reg</t>
        </is>
      </c>
      <c r="E1173" s="72" t="inlineStr">
        <is>
          <t>Inc</t>
        </is>
      </c>
      <c r="F1173" s="12" t="n">
        <v>8</v>
      </c>
      <c r="G1173" s="12" t="n">
        <v>1</v>
      </c>
      <c r="H1173" s="72" t="n"/>
      <c r="I1173" s="72" t="n"/>
      <c r="J1173" s="72" t="n"/>
      <c r="K1173" s="72" t="inlineStr">
        <is>
          <t>6299-9999</t>
        </is>
      </c>
      <c r="L1173" s="72" t="n"/>
    </row>
    <row r="1174">
      <c r="A1174" s="72" t="inlineStr">
        <is>
          <t>6200-0050</t>
        </is>
      </c>
      <c r="B1174" s="72" t="inlineStr">
        <is>
          <t>Sidewalk and Concrete Repairs</t>
        </is>
      </c>
      <c r="C1174" s="72" t="inlineStr">
        <is>
          <t>Debit</t>
        </is>
      </c>
      <c r="D1174" s="72" t="inlineStr">
        <is>
          <t>Reg</t>
        </is>
      </c>
      <c r="E1174" s="72" t="inlineStr">
        <is>
          <t>Inc</t>
        </is>
      </c>
      <c r="F1174" s="12" t="n">
        <v>8</v>
      </c>
      <c r="G1174" s="12" t="n">
        <v>1</v>
      </c>
      <c r="H1174" s="72" t="n"/>
      <c r="I1174" s="72" t="n"/>
      <c r="J1174" s="72" t="n"/>
      <c r="K1174" s="72" t="inlineStr">
        <is>
          <t>6299-9999</t>
        </is>
      </c>
      <c r="L1174" s="72" t="n"/>
    </row>
    <row r="1175">
      <c r="A1175" s="72" t="inlineStr">
        <is>
          <t>6299-9999</t>
        </is>
      </c>
      <c r="B1175" s="72" t="inlineStr">
        <is>
          <t>TOTAL GROUNDS</t>
        </is>
      </c>
      <c r="C1175" s="72" t="inlineStr">
        <is>
          <t>Debit</t>
        </is>
      </c>
      <c r="D1175" s="72" t="inlineStr">
        <is>
          <t>Tot</t>
        </is>
      </c>
      <c r="E1175" s="72" t="inlineStr">
        <is>
          <t>Inc</t>
        </is>
      </c>
      <c r="F1175" s="12" t="n">
        <v>12</v>
      </c>
      <c r="G1175" s="12" t="n">
        <v>1</v>
      </c>
      <c r="H1175" s="72" t="n"/>
      <c r="I1175" s="72" t="n"/>
      <c r="J1175" s="72" t="n"/>
      <c r="K1175" s="72" t="inlineStr">
        <is>
          <t>7999-9000</t>
        </is>
      </c>
      <c r="L1175" s="72" t="n"/>
    </row>
    <row r="1176">
      <c r="A1176" s="72" t="inlineStr">
        <is>
          <t>6300-0000</t>
        </is>
      </c>
      <c r="B1176" s="72" t="inlineStr">
        <is>
          <t>SECURITY SAFETY OTHER EXPENSE</t>
        </is>
      </c>
      <c r="C1176" s="72" t="inlineStr">
        <is>
          <t>Debit</t>
        </is>
      </c>
      <c r="D1176" s="72" t="inlineStr">
        <is>
          <t>Head</t>
        </is>
      </c>
      <c r="E1176" s="72" t="inlineStr">
        <is>
          <t>Inc</t>
        </is>
      </c>
      <c r="F1176" s="12" t="n">
        <v>4</v>
      </c>
      <c r="G1176" s="12" t="n">
        <v>2</v>
      </c>
      <c r="H1176" s="72" t="n"/>
      <c r="I1176" s="72" t="n"/>
      <c r="J1176" s="72" t="n"/>
      <c r="K1176" s="72" t="n"/>
      <c r="L1176" s="72" t="n"/>
    </row>
    <row r="1177">
      <c r="A1177" s="72" t="inlineStr">
        <is>
          <t>6300-0005</t>
        </is>
      </c>
      <c r="B1177" s="72" t="inlineStr">
        <is>
          <t>Backflow Testing</t>
        </is>
      </c>
      <c r="C1177" s="72" t="inlineStr">
        <is>
          <t>Debit</t>
        </is>
      </c>
      <c r="D1177" s="72" t="inlineStr">
        <is>
          <t>Reg</t>
        </is>
      </c>
      <c r="E1177" s="72" t="inlineStr">
        <is>
          <t>Inc</t>
        </is>
      </c>
      <c r="F1177" s="12" t="n">
        <v>8</v>
      </c>
      <c r="G1177" s="12" t="n">
        <v>1</v>
      </c>
      <c r="H1177" s="72" t="n"/>
      <c r="I1177" s="72" t="n"/>
      <c r="J1177" s="72" t="n"/>
      <c r="K1177" s="72" t="inlineStr">
        <is>
          <t>6375-0000</t>
        </is>
      </c>
      <c r="L1177" s="72" t="n"/>
    </row>
    <row r="1178">
      <c r="A1178" s="72" t="inlineStr">
        <is>
          <t>6300-0010</t>
        </is>
      </c>
      <c r="B1178" s="72" t="inlineStr">
        <is>
          <t>Inspections for Security and Safety</t>
        </is>
      </c>
      <c r="C1178" s="72" t="inlineStr">
        <is>
          <t>Debit</t>
        </is>
      </c>
      <c r="D1178" s="72" t="inlineStr">
        <is>
          <t>Reg</t>
        </is>
      </c>
      <c r="E1178" s="72" t="inlineStr">
        <is>
          <t>Inc</t>
        </is>
      </c>
      <c r="F1178" s="12" t="n">
        <v>8</v>
      </c>
      <c r="G1178" s="12" t="n">
        <v>1</v>
      </c>
      <c r="H1178" s="72" t="n"/>
      <c r="I1178" s="72" t="n"/>
      <c r="J1178" s="72" t="n"/>
      <c r="K1178" s="72" t="inlineStr">
        <is>
          <t>6375-0000</t>
        </is>
      </c>
      <c r="L1178" s="72" t="n"/>
    </row>
    <row r="1179">
      <c r="A1179" s="72" t="inlineStr">
        <is>
          <t>6310-0000</t>
        </is>
      </c>
      <c r="B1179" s="72" t="inlineStr">
        <is>
          <t>Fire and Life Safety Maintenance</t>
        </is>
      </c>
      <c r="C1179" s="72" t="inlineStr">
        <is>
          <t>Debit</t>
        </is>
      </c>
      <c r="D1179" s="72" t="inlineStr">
        <is>
          <t>Reg</t>
        </is>
      </c>
      <c r="E1179" s="72" t="inlineStr">
        <is>
          <t>Inc</t>
        </is>
      </c>
      <c r="F1179" s="12" t="n">
        <v>8</v>
      </c>
      <c r="G1179" s="12" t="n">
        <v>1</v>
      </c>
      <c r="H1179" s="72" t="n"/>
      <c r="I1179" s="72" t="n"/>
      <c r="J1179" s="72" t="n"/>
      <c r="K1179" s="72" t="inlineStr">
        <is>
          <t>6375-0000</t>
        </is>
      </c>
      <c r="L1179" s="72" t="n"/>
    </row>
    <row r="1180">
      <c r="A1180" s="72" t="inlineStr">
        <is>
          <t>6310-0001</t>
        </is>
      </c>
      <c r="B1180" s="72" t="inlineStr">
        <is>
          <t>Security Service</t>
        </is>
      </c>
      <c r="C1180" s="72" t="inlineStr">
        <is>
          <t>Debit</t>
        </is>
      </c>
      <c r="D1180" s="72" t="inlineStr">
        <is>
          <t>Reg</t>
        </is>
      </c>
      <c r="E1180" s="72" t="inlineStr">
        <is>
          <t>Inc</t>
        </is>
      </c>
      <c r="F1180" s="12" t="n">
        <v>8</v>
      </c>
      <c r="G1180" s="12" t="n">
        <v>1</v>
      </c>
      <c r="H1180" s="72" t="n"/>
      <c r="I1180" s="72" t="n"/>
      <c r="J1180" s="72" t="n"/>
      <c r="K1180" s="72" t="inlineStr">
        <is>
          <t>6375-0000</t>
        </is>
      </c>
      <c r="L1180" s="72" t="n"/>
    </row>
    <row r="1181">
      <c r="A1181" s="72" t="inlineStr">
        <is>
          <t>6310-0002</t>
        </is>
      </c>
      <c r="B1181" s="72" t="inlineStr">
        <is>
          <t>Alarm Monitoring Service</t>
        </is>
      </c>
      <c r="C1181" s="72" t="inlineStr">
        <is>
          <t>Debit</t>
        </is>
      </c>
      <c r="D1181" s="72" t="inlineStr">
        <is>
          <t>Reg</t>
        </is>
      </c>
      <c r="E1181" s="72" t="inlineStr">
        <is>
          <t>Inc</t>
        </is>
      </c>
      <c r="F1181" s="12" t="n">
        <v>8</v>
      </c>
      <c r="G1181" s="12" t="n">
        <v>1</v>
      </c>
      <c r="H1181" s="72" t="n"/>
      <c r="I1181" s="72" t="n"/>
      <c r="J1181" s="72" t="n"/>
      <c r="K1181" s="72" t="inlineStr">
        <is>
          <t>6375-0000</t>
        </is>
      </c>
      <c r="L1181" s="72" t="n"/>
    </row>
    <row r="1182">
      <c r="A1182" s="72" t="inlineStr">
        <is>
          <t>6310-0010</t>
        </is>
      </c>
      <c r="B1182" s="72" t="inlineStr">
        <is>
          <t>Telephone Elevator and Alarms</t>
        </is>
      </c>
      <c r="C1182" s="72" t="inlineStr">
        <is>
          <t>Debit</t>
        </is>
      </c>
      <c r="D1182" s="72" t="inlineStr">
        <is>
          <t>Reg</t>
        </is>
      </c>
      <c r="E1182" s="72" t="inlineStr">
        <is>
          <t>Inc</t>
        </is>
      </c>
      <c r="F1182" s="12" t="n">
        <v>8</v>
      </c>
      <c r="G1182" s="12" t="n">
        <v>1</v>
      </c>
      <c r="H1182" s="72" t="n"/>
      <c r="I1182" s="72" t="n"/>
      <c r="J1182" s="72" t="n"/>
      <c r="K1182" s="72" t="inlineStr">
        <is>
          <t>6375-0000</t>
        </is>
      </c>
      <c r="L1182" s="72" t="n"/>
    </row>
    <row r="1183">
      <c r="A1183" s="72" t="inlineStr">
        <is>
          <t>6375-0000</t>
        </is>
      </c>
      <c r="B1183" s="72" t="inlineStr">
        <is>
          <t>TOTAL SECURITY SAFETY OTHER EXPENSES</t>
        </is>
      </c>
      <c r="C1183" s="72" t="inlineStr">
        <is>
          <t>Debit</t>
        </is>
      </c>
      <c r="D1183" s="72" t="inlineStr">
        <is>
          <t>Tot</t>
        </is>
      </c>
      <c r="E1183" s="72" t="inlineStr">
        <is>
          <t>Inc</t>
        </is>
      </c>
      <c r="F1183" s="12" t="n">
        <v>12</v>
      </c>
      <c r="G1183" s="12" t="n">
        <v>1</v>
      </c>
      <c r="H1183" s="72" t="n"/>
      <c r="I1183" s="72" t="n"/>
      <c r="J1183" s="72" t="n"/>
      <c r="K1183" s="72" t="inlineStr">
        <is>
          <t>7999-9000</t>
        </is>
      </c>
      <c r="L1183" s="72" t="n"/>
    </row>
    <row r="1184">
      <c r="A1184" s="72" t="inlineStr">
        <is>
          <t>6400-0000</t>
        </is>
      </c>
      <c r="B1184" s="72" t="inlineStr">
        <is>
          <t>UTILITIES</t>
        </is>
      </c>
      <c r="C1184" s="72" t="inlineStr">
        <is>
          <t>Debit</t>
        </is>
      </c>
      <c r="D1184" s="72" t="inlineStr">
        <is>
          <t>Head</t>
        </is>
      </c>
      <c r="E1184" s="72" t="inlineStr">
        <is>
          <t>Inc</t>
        </is>
      </c>
      <c r="F1184" s="12" t="n">
        <v>4</v>
      </c>
      <c r="G1184" s="12" t="n">
        <v>2</v>
      </c>
      <c r="H1184" s="72" t="n"/>
      <c r="I1184" s="72" t="n"/>
      <c r="J1184" s="72" t="n"/>
      <c r="K1184" s="72" t="n"/>
      <c r="L1184" s="72" t="n"/>
    </row>
    <row r="1185">
      <c r="A1185" s="72" t="inlineStr">
        <is>
          <t>6400-0010</t>
        </is>
      </c>
      <c r="B1185" s="72" t="inlineStr">
        <is>
          <t>Electricity</t>
        </is>
      </c>
      <c r="C1185" s="72" t="inlineStr">
        <is>
          <t>Debit</t>
        </is>
      </c>
      <c r="D1185" s="72" t="inlineStr">
        <is>
          <t>Reg</t>
        </is>
      </c>
      <c r="E1185" s="72" t="inlineStr">
        <is>
          <t>Inc</t>
        </is>
      </c>
      <c r="F1185" s="12" t="n">
        <v>8</v>
      </c>
      <c r="G1185" s="12" t="n">
        <v>1</v>
      </c>
      <c r="H1185" s="72" t="n"/>
      <c r="I1185" s="72" t="n"/>
      <c r="J1185" s="72" t="n"/>
      <c r="K1185" s="72" t="inlineStr">
        <is>
          <t>6425-0000</t>
        </is>
      </c>
      <c r="L1185" s="72" t="n"/>
    </row>
    <row r="1186">
      <c r="A1186" s="72" t="inlineStr">
        <is>
          <t>6400-0015</t>
        </is>
      </c>
      <c r="B1186" s="72" t="inlineStr">
        <is>
          <t>Electricity Parking Lot</t>
        </is>
      </c>
      <c r="C1186" s="72" t="inlineStr">
        <is>
          <t>Debit</t>
        </is>
      </c>
      <c r="D1186" s="72" t="inlineStr">
        <is>
          <t>Reg</t>
        </is>
      </c>
      <c r="E1186" s="72" t="inlineStr">
        <is>
          <t>Inc</t>
        </is>
      </c>
      <c r="F1186" s="12" t="n">
        <v>8</v>
      </c>
      <c r="G1186" s="12" t="n">
        <v>1</v>
      </c>
      <c r="H1186" s="72" t="n"/>
      <c r="I1186" s="72" t="n"/>
      <c r="J1186" s="72" t="n"/>
      <c r="K1186" s="72" t="inlineStr">
        <is>
          <t>6425-0000</t>
        </is>
      </c>
      <c r="L1186" s="72" t="n"/>
    </row>
    <row r="1187">
      <c r="A1187" s="72" t="inlineStr">
        <is>
          <t>6400-0020</t>
        </is>
      </c>
      <c r="B1187" s="72" t="inlineStr">
        <is>
          <t>Gas</t>
        </is>
      </c>
      <c r="C1187" s="72" t="inlineStr">
        <is>
          <t>Debit</t>
        </is>
      </c>
      <c r="D1187" s="72" t="inlineStr">
        <is>
          <t>Reg</t>
        </is>
      </c>
      <c r="E1187" s="72" t="inlineStr">
        <is>
          <t>Inc</t>
        </is>
      </c>
      <c r="F1187" s="12" t="n">
        <v>8</v>
      </c>
      <c r="G1187" s="12" t="n">
        <v>1</v>
      </c>
      <c r="H1187" s="72" t="n"/>
      <c r="I1187" s="72" t="n"/>
      <c r="J1187" s="72" t="n"/>
      <c r="K1187" s="72" t="inlineStr">
        <is>
          <t>6425-0000</t>
        </is>
      </c>
      <c r="L1187" s="72" t="n"/>
    </row>
    <row r="1188">
      <c r="A1188" s="72" t="inlineStr">
        <is>
          <t>6400-0025</t>
        </is>
      </c>
      <c r="B1188" s="72" t="inlineStr">
        <is>
          <t>Gas and Electric Combo Billing</t>
        </is>
      </c>
      <c r="C1188" s="72" t="inlineStr">
        <is>
          <t>Debit</t>
        </is>
      </c>
      <c r="D1188" s="72" t="inlineStr">
        <is>
          <t>Reg</t>
        </is>
      </c>
      <c r="E1188" s="72" t="inlineStr">
        <is>
          <t>Inc</t>
        </is>
      </c>
      <c r="F1188" s="12" t="n">
        <v>8</v>
      </c>
      <c r="G1188" s="12" t="n">
        <v>1</v>
      </c>
      <c r="H1188" s="72" t="n"/>
      <c r="I1188" s="72" t="n"/>
      <c r="J1188" s="72" t="n"/>
      <c r="K1188" s="72" t="inlineStr">
        <is>
          <t>6425-0000</t>
        </is>
      </c>
      <c r="L1188" s="72" t="inlineStr">
        <is>
          <t>Cash Flow</t>
        </is>
      </c>
    </row>
    <row r="1189">
      <c r="A1189" s="72" t="inlineStr">
        <is>
          <t>6400-0030</t>
        </is>
      </c>
      <c r="B1189" s="72" t="inlineStr">
        <is>
          <t>Water and Sewer</t>
        </is>
      </c>
      <c r="C1189" s="72" t="inlineStr">
        <is>
          <t>Debit</t>
        </is>
      </c>
      <c r="D1189" s="72" t="inlineStr">
        <is>
          <t>Reg</t>
        </is>
      </c>
      <c r="E1189" s="72" t="inlineStr">
        <is>
          <t>Inc</t>
        </is>
      </c>
      <c r="F1189" s="12" t="n">
        <v>8</v>
      </c>
      <c r="G1189" s="12" t="n">
        <v>1</v>
      </c>
      <c r="H1189" s="72" t="n"/>
      <c r="I1189" s="72" t="n"/>
      <c r="J1189" s="72" t="n"/>
      <c r="K1189" s="72" t="inlineStr">
        <is>
          <t>6425-0000</t>
        </is>
      </c>
      <c r="L1189" s="72" t="n"/>
    </row>
    <row r="1190">
      <c r="A1190" s="72" t="inlineStr">
        <is>
          <t>6400-0035</t>
        </is>
      </c>
      <c r="B1190" s="72" t="inlineStr">
        <is>
          <t>Electricity Vacant Unit</t>
        </is>
      </c>
      <c r="C1190" s="72" t="inlineStr">
        <is>
          <t>Debit</t>
        </is>
      </c>
      <c r="D1190" s="72" t="inlineStr">
        <is>
          <t>Reg</t>
        </is>
      </c>
      <c r="E1190" s="72" t="inlineStr">
        <is>
          <t>Inc</t>
        </is>
      </c>
      <c r="F1190" s="12" t="n">
        <v>8</v>
      </c>
      <c r="G1190" s="12" t="n">
        <v>1</v>
      </c>
      <c r="H1190" s="72" t="n"/>
      <c r="I1190" s="72" t="n"/>
      <c r="J1190" s="72" t="n"/>
      <c r="K1190" s="72" t="inlineStr">
        <is>
          <t>6425-0000</t>
        </is>
      </c>
      <c r="L1190" s="72" t="n"/>
    </row>
    <row r="1191">
      <c r="A1191" s="72" t="inlineStr">
        <is>
          <t>6400-0040</t>
        </is>
      </c>
      <c r="B1191" s="72" t="inlineStr">
        <is>
          <t>Gas Vacant Unit</t>
        </is>
      </c>
      <c r="C1191" s="72" t="inlineStr">
        <is>
          <t>Debit</t>
        </is>
      </c>
      <c r="D1191" s="72" t="inlineStr">
        <is>
          <t>Reg</t>
        </is>
      </c>
      <c r="E1191" s="72" t="inlineStr">
        <is>
          <t>Inc</t>
        </is>
      </c>
      <c r="F1191" s="12" t="n">
        <v>8</v>
      </c>
      <c r="G1191" s="12" t="n">
        <v>1</v>
      </c>
      <c r="H1191" s="72" t="n"/>
      <c r="I1191" s="72" t="n"/>
      <c r="J1191" s="72" t="n"/>
      <c r="K1191" s="72" t="inlineStr">
        <is>
          <t>6425-0000</t>
        </is>
      </c>
      <c r="L1191" s="72" t="inlineStr">
        <is>
          <t>Exclude</t>
        </is>
      </c>
    </row>
    <row r="1192">
      <c r="A1192" s="72" t="inlineStr">
        <is>
          <t>6400-0045</t>
        </is>
      </c>
      <c r="B1192" s="72" t="inlineStr">
        <is>
          <t>Steam Utilities</t>
        </is>
      </c>
      <c r="C1192" s="72" t="inlineStr">
        <is>
          <t>Debit</t>
        </is>
      </c>
      <c r="D1192" s="72" t="inlineStr">
        <is>
          <t>Reg</t>
        </is>
      </c>
      <c r="E1192" s="72" t="inlineStr">
        <is>
          <t>Inc</t>
        </is>
      </c>
      <c r="F1192" s="12" t="n">
        <v>8</v>
      </c>
      <c r="G1192" s="12" t="n">
        <v>1</v>
      </c>
      <c r="H1192" s="72" t="n"/>
      <c r="I1192" s="72" t="n"/>
      <c r="J1192" s="72" t="n"/>
      <c r="K1192" s="72" t="inlineStr">
        <is>
          <t>6425-0000</t>
        </is>
      </c>
      <c r="L1192" s="72" t="n"/>
    </row>
    <row r="1193">
      <c r="A1193" s="72" t="inlineStr">
        <is>
          <t>6400-0046</t>
        </is>
      </c>
      <c r="B1193" s="72" t="inlineStr">
        <is>
          <t>Internet Services</t>
        </is>
      </c>
      <c r="C1193" s="72" t="inlineStr">
        <is>
          <t>Debit</t>
        </is>
      </c>
      <c r="D1193" s="72" t="inlineStr">
        <is>
          <t>Reg</t>
        </is>
      </c>
      <c r="E1193" s="72" t="inlineStr">
        <is>
          <t>Inc</t>
        </is>
      </c>
      <c r="F1193" s="12" t="n">
        <v>8</v>
      </c>
      <c r="G1193" s="12" t="n">
        <v>1</v>
      </c>
      <c r="H1193" s="72" t="n"/>
      <c r="I1193" s="72" t="n"/>
      <c r="J1193" s="72" t="n"/>
      <c r="K1193" s="72" t="inlineStr">
        <is>
          <t>6425-0000</t>
        </is>
      </c>
      <c r="L1193" s="72" t="n"/>
    </row>
    <row r="1194">
      <c r="A1194" s="72" t="inlineStr">
        <is>
          <t>6400-0047</t>
        </is>
      </c>
      <c r="B1194" s="72" t="inlineStr">
        <is>
          <t>Telephone Service</t>
        </is>
      </c>
      <c r="C1194" s="72" t="inlineStr">
        <is>
          <t>Debit</t>
        </is>
      </c>
      <c r="D1194" s="72" t="inlineStr">
        <is>
          <t>Reg</t>
        </is>
      </c>
      <c r="E1194" s="72" t="inlineStr">
        <is>
          <t>Inc</t>
        </is>
      </c>
      <c r="F1194" s="12" t="n">
        <v>8</v>
      </c>
      <c r="G1194" s="12" t="n">
        <v>1</v>
      </c>
      <c r="H1194" s="72" t="n"/>
      <c r="I1194" s="72" t="n"/>
      <c r="J1194" s="72" t="n"/>
      <c r="K1194" s="72" t="inlineStr">
        <is>
          <t>6425-0000</t>
        </is>
      </c>
      <c r="L1194" s="72" t="n"/>
    </row>
    <row r="1195">
      <c r="A1195" s="72" t="inlineStr">
        <is>
          <t>6425-0000</t>
        </is>
      </c>
      <c r="B1195" s="72" t="inlineStr">
        <is>
          <t>TOTAL UTILITIES</t>
        </is>
      </c>
      <c r="C1195" s="72" t="inlineStr">
        <is>
          <t>Debit</t>
        </is>
      </c>
      <c r="D1195" s="72" t="inlineStr">
        <is>
          <t>Tot</t>
        </is>
      </c>
      <c r="E1195" s="72" t="inlineStr">
        <is>
          <t>Inc</t>
        </is>
      </c>
      <c r="F1195" s="12" t="n">
        <v>12</v>
      </c>
      <c r="G1195" s="12" t="n">
        <v>1</v>
      </c>
      <c r="H1195" s="72" t="n"/>
      <c r="I1195" s="72" t="n"/>
      <c r="J1195" s="72" t="n"/>
      <c r="K1195" s="72" t="inlineStr">
        <is>
          <t>7999-9000</t>
        </is>
      </c>
      <c r="L1195" s="72" t="n"/>
    </row>
    <row r="1196">
      <c r="A1196" s="72" t="inlineStr">
        <is>
          <t>6450-0000</t>
        </is>
      </c>
      <c r="B1196" s="72" t="inlineStr">
        <is>
          <t>ADMINISTRATIVE and MANAGEMENT</t>
        </is>
      </c>
      <c r="C1196" s="72" t="inlineStr">
        <is>
          <t>Debit</t>
        </is>
      </c>
      <c r="D1196" s="72" t="inlineStr">
        <is>
          <t>Head</t>
        </is>
      </c>
      <c r="E1196" s="72" t="inlineStr">
        <is>
          <t>Inc</t>
        </is>
      </c>
      <c r="F1196" s="12" t="n">
        <v>4</v>
      </c>
      <c r="G1196" s="12" t="n">
        <v>2</v>
      </c>
      <c r="H1196" s="72" t="n"/>
      <c r="I1196" s="72" t="n"/>
      <c r="J1196" s="72" t="n"/>
      <c r="K1196" s="72" t="n"/>
      <c r="L1196" s="72" t="n"/>
    </row>
    <row r="1197">
      <c r="A1197" s="72" t="inlineStr">
        <is>
          <t>6450-0010</t>
        </is>
      </c>
      <c r="B1197" s="72" t="inlineStr">
        <is>
          <t>Management Fee</t>
        </is>
      </c>
      <c r="C1197" s="72" t="inlineStr">
        <is>
          <t>Debit</t>
        </is>
      </c>
      <c r="D1197" s="72" t="inlineStr">
        <is>
          <t>Reg</t>
        </is>
      </c>
      <c r="E1197" s="72" t="inlineStr">
        <is>
          <t>Inc</t>
        </is>
      </c>
      <c r="F1197" s="12" t="n">
        <v>8</v>
      </c>
      <c r="G1197" s="12" t="n">
        <v>1</v>
      </c>
      <c r="H1197" s="72" t="n"/>
      <c r="I1197" s="72" t="n"/>
      <c r="J1197" s="72" t="n"/>
      <c r="K1197" s="72" t="inlineStr">
        <is>
          <t>6455-0000</t>
        </is>
      </c>
      <c r="L1197" s="72" t="n"/>
    </row>
    <row r="1198">
      <c r="A1198" s="72" t="inlineStr">
        <is>
          <t>6450-0020</t>
        </is>
      </c>
      <c r="B1198" s="72" t="inlineStr">
        <is>
          <t>Asset Management Fee</t>
        </is>
      </c>
      <c r="C1198" s="72" t="inlineStr">
        <is>
          <t>Debit</t>
        </is>
      </c>
      <c r="D1198" s="72" t="inlineStr">
        <is>
          <t>Reg</t>
        </is>
      </c>
      <c r="E1198" s="72" t="inlineStr">
        <is>
          <t>Inc</t>
        </is>
      </c>
      <c r="F1198" s="12" t="n">
        <v>8</v>
      </c>
      <c r="G1198" s="12" t="n">
        <v>1</v>
      </c>
      <c r="H1198" s="72" t="n"/>
      <c r="I1198" s="72" t="n"/>
      <c r="J1198" s="72" t="n"/>
      <c r="K1198" s="72" t="inlineStr">
        <is>
          <t>6455-0000</t>
        </is>
      </c>
      <c r="L1198" s="72" t="inlineStr">
        <is>
          <t>Exclude</t>
        </is>
      </c>
    </row>
    <row r="1199">
      <c r="A1199" s="72" t="inlineStr">
        <is>
          <t>6450-0030</t>
        </is>
      </c>
      <c r="B1199" s="72" t="inlineStr">
        <is>
          <t>General Contracting Fee</t>
        </is>
      </c>
      <c r="C1199" s="72" t="inlineStr">
        <is>
          <t>Debit</t>
        </is>
      </c>
      <c r="D1199" s="72" t="inlineStr">
        <is>
          <t>Reg</t>
        </is>
      </c>
      <c r="E1199" s="72" t="inlineStr">
        <is>
          <t>Inc</t>
        </is>
      </c>
      <c r="F1199" s="12" t="n">
        <v>8</v>
      </c>
      <c r="G1199" s="12" t="n">
        <v>1</v>
      </c>
      <c r="H1199" s="72" t="n"/>
      <c r="I1199" s="72" t="n"/>
      <c r="J1199" s="72" t="n"/>
      <c r="K1199" s="72" t="inlineStr">
        <is>
          <t>6455-0000</t>
        </is>
      </c>
      <c r="L1199" s="72" t="n"/>
    </row>
    <row r="1200">
      <c r="A1200" s="72" t="inlineStr">
        <is>
          <t>6450-0050</t>
        </is>
      </c>
      <c r="B1200" s="72" t="inlineStr">
        <is>
          <t>Association Fees</t>
        </is>
      </c>
      <c r="C1200" s="72" t="inlineStr">
        <is>
          <t>Debit</t>
        </is>
      </c>
      <c r="D1200" s="72" t="inlineStr">
        <is>
          <t>Reg</t>
        </is>
      </c>
      <c r="E1200" s="72" t="inlineStr">
        <is>
          <t>Inc</t>
        </is>
      </c>
      <c r="F1200" s="12" t="n">
        <v>8</v>
      </c>
      <c r="G1200" s="12" t="n">
        <v>1</v>
      </c>
      <c r="H1200" s="72" t="n"/>
      <c r="I1200" s="72" t="n"/>
      <c r="J1200" s="72" t="n"/>
      <c r="K1200" s="72" t="inlineStr">
        <is>
          <t>6455-0000</t>
        </is>
      </c>
      <c r="L1200" s="72" t="n"/>
    </row>
    <row r="1201">
      <c r="A1201" s="72" t="inlineStr">
        <is>
          <t>6450-0070</t>
        </is>
      </c>
      <c r="B1201" s="72" t="inlineStr">
        <is>
          <t>Acquisition Fees</t>
        </is>
      </c>
      <c r="C1201" s="72" t="inlineStr">
        <is>
          <t>Debit</t>
        </is>
      </c>
      <c r="D1201" s="72" t="inlineStr">
        <is>
          <t>Reg</t>
        </is>
      </c>
      <c r="E1201" s="72" t="inlineStr">
        <is>
          <t>Inc</t>
        </is>
      </c>
      <c r="F1201" s="12" t="n">
        <v>8</v>
      </c>
      <c r="G1201" s="12" t="n">
        <v>1</v>
      </c>
      <c r="H1201" s="72" t="n"/>
      <c r="I1201" s="72" t="n"/>
      <c r="J1201" s="72" t="n"/>
      <c r="K1201" s="72" t="inlineStr">
        <is>
          <t>6455-0000</t>
        </is>
      </c>
      <c r="L1201" s="72" t="inlineStr">
        <is>
          <t>Exclude</t>
        </is>
      </c>
    </row>
    <row r="1202">
      <c r="A1202" s="72" t="inlineStr">
        <is>
          <t>6455-0000</t>
        </is>
      </c>
      <c r="B1202" s="72" t="inlineStr">
        <is>
          <t>TOTAL ADMINISTRATIVE &amp; MANAGEMENT EXPENSES</t>
        </is>
      </c>
      <c r="C1202" s="72" t="inlineStr">
        <is>
          <t>Debit</t>
        </is>
      </c>
      <c r="D1202" s="72" t="inlineStr">
        <is>
          <t>Tot</t>
        </is>
      </c>
      <c r="E1202" s="72" t="inlineStr">
        <is>
          <t>Inc</t>
        </is>
      </c>
      <c r="F1202" s="12" t="n">
        <v>12</v>
      </c>
      <c r="G1202" s="12" t="n">
        <v>1</v>
      </c>
      <c r="H1202" s="72" t="n"/>
      <c r="I1202" s="72" t="n"/>
      <c r="J1202" s="72" t="n"/>
      <c r="K1202" s="72" t="inlineStr">
        <is>
          <t>7999-9000</t>
        </is>
      </c>
      <c r="L1202" s="72" t="n"/>
    </row>
    <row r="1203">
      <c r="A1203" s="72" t="inlineStr">
        <is>
          <t>6460-0000</t>
        </is>
      </c>
      <c r="B1203" s="72" t="inlineStr">
        <is>
          <t>PROPERTY TAXES AND INSURANCE</t>
        </is>
      </c>
      <c r="C1203" s="72" t="inlineStr">
        <is>
          <t>Debit</t>
        </is>
      </c>
      <c r="D1203" s="72" t="inlineStr">
        <is>
          <t>Head</t>
        </is>
      </c>
      <c r="E1203" s="72" t="inlineStr">
        <is>
          <t>Inc</t>
        </is>
      </c>
      <c r="F1203" s="12" t="n">
        <v>4</v>
      </c>
      <c r="G1203" s="12" t="n">
        <v>2</v>
      </c>
      <c r="H1203" s="72" t="n"/>
      <c r="I1203" s="72" t="n"/>
      <c r="J1203" s="72" t="n"/>
      <c r="K1203" s="72" t="n"/>
      <c r="L1203" s="72" t="n"/>
    </row>
    <row r="1204">
      <c r="A1204" s="72" t="inlineStr">
        <is>
          <t>6461-0000</t>
        </is>
      </c>
      <c r="B1204" s="72" t="inlineStr">
        <is>
          <t>Property Tax</t>
        </is>
      </c>
      <c r="C1204" s="72" t="inlineStr">
        <is>
          <t>Debit</t>
        </is>
      </c>
      <c r="D1204" s="72" t="inlineStr">
        <is>
          <t>Reg</t>
        </is>
      </c>
      <c r="E1204" s="72" t="inlineStr">
        <is>
          <t>Inc</t>
        </is>
      </c>
      <c r="F1204" s="12" t="n">
        <v>8</v>
      </c>
      <c r="G1204" s="12" t="n">
        <v>1</v>
      </c>
      <c r="H1204" s="72" t="n"/>
      <c r="I1204" s="72" t="n"/>
      <c r="J1204" s="72" t="n"/>
      <c r="K1204" s="72" t="inlineStr">
        <is>
          <t>6470-0000</t>
        </is>
      </c>
      <c r="L1204" s="72" t="n"/>
    </row>
    <row r="1205">
      <c r="A1205" s="72" t="inlineStr">
        <is>
          <t>6461-0001</t>
        </is>
      </c>
      <c r="B1205" s="72" t="inlineStr">
        <is>
          <t>Property Taxes Carmen 5025-5043 N East River Rd</t>
        </is>
      </c>
      <c r="C1205" s="72" t="inlineStr">
        <is>
          <t>Debit</t>
        </is>
      </c>
      <c r="D1205" s="72" t="inlineStr">
        <is>
          <t>Reg</t>
        </is>
      </c>
      <c r="E1205" s="72" t="inlineStr">
        <is>
          <t>Inc</t>
        </is>
      </c>
      <c r="F1205" s="12" t="n">
        <v>8</v>
      </c>
      <c r="G1205" s="12" t="n">
        <v>1</v>
      </c>
      <c r="H1205" s="72" t="n"/>
      <c r="I1205" s="72" t="n"/>
      <c r="J1205" s="72" t="n"/>
      <c r="K1205" s="72" t="inlineStr">
        <is>
          <t>6470-0000</t>
        </is>
      </c>
      <c r="L1205" s="72" t="n"/>
    </row>
    <row r="1206">
      <c r="A1206" s="72" t="inlineStr">
        <is>
          <t>6461-0002</t>
        </is>
      </c>
      <c r="B1206" s="72" t="inlineStr">
        <is>
          <t>Property Tax Appeal Commercial</t>
        </is>
      </c>
      <c r="C1206" s="72" t="inlineStr">
        <is>
          <t>Debit</t>
        </is>
      </c>
      <c r="D1206" s="72" t="inlineStr">
        <is>
          <t>Reg</t>
        </is>
      </c>
      <c r="E1206" s="72" t="inlineStr">
        <is>
          <t>Inc</t>
        </is>
      </c>
      <c r="F1206" s="12" t="n">
        <v>8</v>
      </c>
      <c r="G1206" s="12" t="n">
        <v>1</v>
      </c>
      <c r="H1206" s="72" t="n"/>
      <c r="I1206" s="72" t="n"/>
      <c r="J1206" s="72" t="n"/>
      <c r="K1206" s="72" t="inlineStr">
        <is>
          <t>6470-0000</t>
        </is>
      </c>
      <c r="L1206" s="72" t="n"/>
    </row>
    <row r="1207">
      <c r="A1207" s="72" t="inlineStr">
        <is>
          <t>6461-0998</t>
        </is>
      </c>
      <c r="B1207" s="72" t="inlineStr">
        <is>
          <t>Builders Risk Insurance</t>
        </is>
      </c>
      <c r="C1207" s="72" t="inlineStr">
        <is>
          <t>Debit</t>
        </is>
      </c>
      <c r="D1207" s="72" t="inlineStr">
        <is>
          <t>Reg</t>
        </is>
      </c>
      <c r="E1207" s="72" t="inlineStr">
        <is>
          <t>Inc</t>
        </is>
      </c>
      <c r="F1207" s="12" t="n">
        <v>8</v>
      </c>
      <c r="G1207" s="12" t="n">
        <v>1</v>
      </c>
      <c r="H1207" s="72" t="n"/>
      <c r="I1207" s="72" t="n"/>
      <c r="J1207" s="72" t="n"/>
      <c r="K1207" s="72" t="inlineStr">
        <is>
          <t>6470-0000</t>
        </is>
      </c>
      <c r="L1207" s="72" t="n"/>
    </row>
    <row r="1208">
      <c r="A1208" s="72" t="inlineStr">
        <is>
          <t>6461-0999</t>
        </is>
      </c>
      <c r="B1208" s="72" t="inlineStr">
        <is>
          <t>Business Owners Insurance</t>
        </is>
      </c>
      <c r="C1208" s="72" t="inlineStr">
        <is>
          <t>Debit</t>
        </is>
      </c>
      <c r="D1208" s="72" t="inlineStr">
        <is>
          <t>Reg</t>
        </is>
      </c>
      <c r="E1208" s="72" t="inlineStr">
        <is>
          <t>Inc</t>
        </is>
      </c>
      <c r="F1208" s="12" t="n">
        <v>8</v>
      </c>
      <c r="G1208" s="12" t="n">
        <v>1</v>
      </c>
      <c r="H1208" s="72" t="n"/>
      <c r="I1208" s="72" t="n"/>
      <c r="J1208" s="72" t="n"/>
      <c r="K1208" s="72" t="inlineStr">
        <is>
          <t>6470-0000</t>
        </is>
      </c>
      <c r="L1208" s="72" t="n"/>
    </row>
    <row r="1209">
      <c r="A1209" s="72" t="inlineStr">
        <is>
          <t>6461-1000</t>
        </is>
      </c>
      <c r="B1209" s="72" t="inlineStr">
        <is>
          <t>Property Insurance</t>
        </is>
      </c>
      <c r="C1209" s="72" t="inlineStr">
        <is>
          <t>Debit</t>
        </is>
      </c>
      <c r="D1209" s="72" t="inlineStr">
        <is>
          <t>Reg</t>
        </is>
      </c>
      <c r="E1209" s="72" t="inlineStr">
        <is>
          <t>Inc</t>
        </is>
      </c>
      <c r="F1209" s="12" t="n">
        <v>8</v>
      </c>
      <c r="G1209" s="12" t="n">
        <v>1</v>
      </c>
      <c r="H1209" s="72" t="n"/>
      <c r="I1209" s="72" t="n"/>
      <c r="J1209" s="72" t="n"/>
      <c r="K1209" s="72" t="inlineStr">
        <is>
          <t>6470-0000</t>
        </is>
      </c>
      <c r="L1209" s="72" t="n"/>
    </row>
    <row r="1210">
      <c r="A1210" s="72" t="inlineStr">
        <is>
          <t>6461-1001</t>
        </is>
      </c>
      <c r="B1210" s="72" t="inlineStr">
        <is>
          <t>General Liability Insurance</t>
        </is>
      </c>
      <c r="C1210" s="72" t="inlineStr">
        <is>
          <t>Debit</t>
        </is>
      </c>
      <c r="D1210" s="72" t="inlineStr">
        <is>
          <t>Reg</t>
        </is>
      </c>
      <c r="E1210" s="72" t="inlineStr">
        <is>
          <t>Inc</t>
        </is>
      </c>
      <c r="F1210" s="12" t="n">
        <v>8</v>
      </c>
      <c r="G1210" s="12" t="n">
        <v>1</v>
      </c>
      <c r="H1210" s="72" t="n"/>
      <c r="I1210" s="72" t="n"/>
      <c r="J1210" s="72" t="n"/>
      <c r="K1210" s="72" t="inlineStr">
        <is>
          <t>6470-0000</t>
        </is>
      </c>
      <c r="L1210" s="72" t="n"/>
    </row>
    <row r="1211">
      <c r="A1211" s="72" t="inlineStr">
        <is>
          <t>6461-1002</t>
        </is>
      </c>
      <c r="B1211" s="72" t="inlineStr">
        <is>
          <t>Insurance Expense - Other</t>
        </is>
      </c>
      <c r="C1211" s="72" t="inlineStr">
        <is>
          <t>Debit</t>
        </is>
      </c>
      <c r="D1211" s="72" t="inlineStr">
        <is>
          <t>Reg</t>
        </is>
      </c>
      <c r="E1211" s="72" t="inlineStr">
        <is>
          <t>Inc</t>
        </is>
      </c>
      <c r="F1211" s="12" t="n">
        <v>8</v>
      </c>
      <c r="G1211" s="12" t="n">
        <v>1</v>
      </c>
      <c r="H1211" s="72" t="n"/>
      <c r="I1211" s="72" t="n"/>
      <c r="J1211" s="72" t="n"/>
      <c r="K1211" s="72" t="inlineStr">
        <is>
          <t>6470-0000</t>
        </is>
      </c>
      <c r="L1211" s="72" t="n"/>
    </row>
    <row r="1212">
      <c r="A1212" s="72" t="inlineStr">
        <is>
          <t>6470-0000</t>
        </is>
      </c>
      <c r="B1212" s="72" t="inlineStr">
        <is>
          <t>TOTAL PROPERTY TAXES &amp; INSURANCE</t>
        </is>
      </c>
      <c r="C1212" s="72" t="inlineStr">
        <is>
          <t>Debit</t>
        </is>
      </c>
      <c r="D1212" s="72" t="inlineStr">
        <is>
          <t>Tot</t>
        </is>
      </c>
      <c r="E1212" s="72" t="inlineStr">
        <is>
          <t>Inc</t>
        </is>
      </c>
      <c r="F1212" s="12" t="n">
        <v>12</v>
      </c>
      <c r="G1212" s="12" t="n">
        <v>1</v>
      </c>
      <c r="H1212" s="72" t="n"/>
      <c r="I1212" s="72" t="n"/>
      <c r="J1212" s="72" t="n"/>
      <c r="K1212" s="72" t="inlineStr">
        <is>
          <t>7999-9000</t>
        </is>
      </c>
      <c r="L1212" s="72" t="n"/>
    </row>
    <row r="1213">
      <c r="A1213" s="72" t="inlineStr">
        <is>
          <t>7000-0000</t>
        </is>
      </c>
      <c r="B1213" s="72" t="inlineStr">
        <is>
          <t>GENERAL &amp; ADMINISTRATIVE</t>
        </is>
      </c>
      <c r="C1213" s="72" t="inlineStr">
        <is>
          <t>Debit</t>
        </is>
      </c>
      <c r="D1213" s="72" t="inlineStr">
        <is>
          <t>Head</t>
        </is>
      </c>
      <c r="E1213" s="72" t="inlineStr">
        <is>
          <t>Inc</t>
        </is>
      </c>
      <c r="F1213" s="12" t="n">
        <v>4</v>
      </c>
      <c r="G1213" s="12" t="n">
        <v>2</v>
      </c>
      <c r="H1213" s="72" t="n"/>
      <c r="I1213" s="72" t="n"/>
      <c r="J1213" s="72" t="n"/>
      <c r="K1213" s="72" t="n"/>
      <c r="L1213" s="72" t="n"/>
    </row>
    <row r="1214">
      <c r="A1214" s="72" t="inlineStr">
        <is>
          <t>7000-0001</t>
        </is>
      </c>
      <c r="B1214" s="72" t="inlineStr">
        <is>
          <t>Additional Cleaning</t>
        </is>
      </c>
      <c r="C1214" s="72" t="inlineStr">
        <is>
          <t>Debit</t>
        </is>
      </c>
      <c r="D1214" s="72" t="inlineStr">
        <is>
          <t>Reg</t>
        </is>
      </c>
      <c r="E1214" s="72" t="inlineStr">
        <is>
          <t>Inc</t>
        </is>
      </c>
      <c r="F1214" s="12" t="n">
        <v>8</v>
      </c>
      <c r="G1214" s="12" t="n">
        <v>1</v>
      </c>
      <c r="H1214" s="72" t="n"/>
      <c r="I1214" s="72" t="n"/>
      <c r="J1214" s="72" t="n"/>
      <c r="K1214" s="72" t="inlineStr">
        <is>
          <t>7000-1000</t>
        </is>
      </c>
      <c r="L1214" s="72" t="n"/>
    </row>
    <row r="1215">
      <c r="A1215" s="72" t="inlineStr">
        <is>
          <t>7000-0008</t>
        </is>
      </c>
      <c r="B1215" s="72" t="inlineStr">
        <is>
          <t>Meeting Meals</t>
        </is>
      </c>
      <c r="C1215" s="72" t="inlineStr">
        <is>
          <t>Debit</t>
        </is>
      </c>
      <c r="D1215" s="72" t="inlineStr">
        <is>
          <t>Reg</t>
        </is>
      </c>
      <c r="E1215" s="72" t="inlineStr">
        <is>
          <t>Inc</t>
        </is>
      </c>
      <c r="F1215" s="12" t="n">
        <v>8</v>
      </c>
      <c r="G1215" s="12" t="n">
        <v>1</v>
      </c>
      <c r="H1215" s="72" t="n"/>
      <c r="I1215" s="72" t="n"/>
      <c r="J1215" s="72" t="n"/>
      <c r="K1215" s="72" t="inlineStr">
        <is>
          <t>7000-1000</t>
        </is>
      </c>
      <c r="L1215" s="72" t="n"/>
    </row>
    <row r="1216">
      <c r="A1216" s="72" t="inlineStr">
        <is>
          <t>7000-0009</t>
        </is>
      </c>
      <c r="B1216" s="72" t="inlineStr">
        <is>
          <t>Meals &amp; Entertainment</t>
        </is>
      </c>
      <c r="C1216" s="72" t="inlineStr">
        <is>
          <t>Debit</t>
        </is>
      </c>
      <c r="D1216" s="72" t="inlineStr">
        <is>
          <t>Reg</t>
        </is>
      </c>
      <c r="E1216" s="72" t="inlineStr">
        <is>
          <t>Inc</t>
        </is>
      </c>
      <c r="F1216" s="12" t="n">
        <v>8</v>
      </c>
      <c r="G1216" s="12" t="n">
        <v>1</v>
      </c>
      <c r="H1216" s="72" t="n"/>
      <c r="I1216" s="72" t="n"/>
      <c r="J1216" s="72" t="n"/>
      <c r="K1216" s="72" t="inlineStr">
        <is>
          <t>7000-1000</t>
        </is>
      </c>
      <c r="L1216" s="72" t="n"/>
    </row>
    <row r="1217">
      <c r="A1217" s="72" t="inlineStr">
        <is>
          <t>7000-0010</t>
        </is>
      </c>
      <c r="B1217" s="72" t="inlineStr">
        <is>
          <t>Maintenance Unrecoverable</t>
        </is>
      </c>
      <c r="C1217" s="72" t="inlineStr">
        <is>
          <t>Debit</t>
        </is>
      </c>
      <c r="D1217" s="72" t="inlineStr">
        <is>
          <t>Reg</t>
        </is>
      </c>
      <c r="E1217" s="72" t="inlineStr">
        <is>
          <t>Inc</t>
        </is>
      </c>
      <c r="F1217" s="12" t="n">
        <v>8</v>
      </c>
      <c r="G1217" s="12" t="n">
        <v>1</v>
      </c>
      <c r="H1217" s="72" t="n"/>
      <c r="I1217" s="72" t="n"/>
      <c r="J1217" s="72" t="n"/>
      <c r="K1217" s="72" t="inlineStr">
        <is>
          <t>7000-1000</t>
        </is>
      </c>
      <c r="L1217" s="72" t="n"/>
    </row>
    <row r="1218">
      <c r="A1218" s="72" t="inlineStr">
        <is>
          <t>7000-0012</t>
        </is>
      </c>
      <c r="B1218" s="72" t="inlineStr">
        <is>
          <t>Parking</t>
        </is>
      </c>
      <c r="C1218" s="72" t="inlineStr">
        <is>
          <t>Debit</t>
        </is>
      </c>
      <c r="D1218" s="72" t="inlineStr">
        <is>
          <t>Reg</t>
        </is>
      </c>
      <c r="E1218" s="72" t="inlineStr">
        <is>
          <t>Inc</t>
        </is>
      </c>
      <c r="F1218" s="12" t="n">
        <v>8</v>
      </c>
      <c r="G1218" s="12" t="n">
        <v>1</v>
      </c>
      <c r="H1218" s="72" t="n"/>
      <c r="I1218" s="72" t="n"/>
      <c r="J1218" s="72" t="n"/>
      <c r="K1218" s="72" t="inlineStr">
        <is>
          <t>7000-1000</t>
        </is>
      </c>
      <c r="L1218" s="72" t="n"/>
    </row>
    <row r="1219">
      <c r="A1219" s="72" t="inlineStr">
        <is>
          <t>7000-0013</t>
        </is>
      </c>
      <c r="B1219" s="72" t="inlineStr">
        <is>
          <t>Vehicle Expense</t>
        </is>
      </c>
      <c r="C1219" s="72" t="inlineStr">
        <is>
          <t>Debit</t>
        </is>
      </c>
      <c r="D1219" s="72" t="inlineStr">
        <is>
          <t>Reg</t>
        </is>
      </c>
      <c r="E1219" s="72" t="inlineStr">
        <is>
          <t>Inc</t>
        </is>
      </c>
      <c r="F1219" s="12" t="n">
        <v>8</v>
      </c>
      <c r="G1219" s="12" t="n">
        <v>1</v>
      </c>
      <c r="H1219" s="72" t="n"/>
      <c r="I1219" s="72" t="n"/>
      <c r="J1219" s="72" t="n"/>
      <c r="K1219" s="72" t="inlineStr">
        <is>
          <t>7000-1000</t>
        </is>
      </c>
      <c r="L1219" s="72" t="n"/>
    </row>
    <row r="1220">
      <c r="A1220" s="72" t="inlineStr">
        <is>
          <t>7000-0014</t>
        </is>
      </c>
      <c r="B1220" s="72" t="inlineStr">
        <is>
          <t>Equipment Expense</t>
        </is>
      </c>
      <c r="C1220" s="72" t="inlineStr">
        <is>
          <t>Debit</t>
        </is>
      </c>
      <c r="D1220" s="72" t="inlineStr">
        <is>
          <t>Reg</t>
        </is>
      </c>
      <c r="E1220" s="72" t="inlineStr">
        <is>
          <t>Inc</t>
        </is>
      </c>
      <c r="F1220" s="12" t="n">
        <v>8</v>
      </c>
      <c r="G1220" s="12" t="n">
        <v>1</v>
      </c>
      <c r="H1220" s="72" t="n"/>
      <c r="I1220" s="72" t="n"/>
      <c r="J1220" s="72" t="n"/>
      <c r="K1220" s="72" t="inlineStr">
        <is>
          <t>7000-1000</t>
        </is>
      </c>
      <c r="L1220" s="72" t="n"/>
    </row>
    <row r="1221">
      <c r="A1221" s="72" t="inlineStr">
        <is>
          <t>7000-0015</t>
        </is>
      </c>
      <c r="B1221" s="72" t="inlineStr">
        <is>
          <t>HVAC Non Recoverable</t>
        </is>
      </c>
      <c r="C1221" s="72" t="inlineStr">
        <is>
          <t>Debit</t>
        </is>
      </c>
      <c r="D1221" s="72" t="inlineStr">
        <is>
          <t>Reg</t>
        </is>
      </c>
      <c r="E1221" s="72" t="inlineStr">
        <is>
          <t>Inc</t>
        </is>
      </c>
      <c r="F1221" s="12" t="n">
        <v>8</v>
      </c>
      <c r="G1221" s="12" t="n">
        <v>1</v>
      </c>
      <c r="H1221" s="72" t="n"/>
      <c r="I1221" s="72" t="n"/>
      <c r="J1221" s="72" t="n"/>
      <c r="K1221" s="72" t="inlineStr">
        <is>
          <t>7000-1000</t>
        </is>
      </c>
      <c r="L1221" s="72" t="n"/>
    </row>
    <row r="1222">
      <c r="A1222" s="72" t="inlineStr">
        <is>
          <t>7000-0020</t>
        </is>
      </c>
      <c r="B1222" s="72" t="inlineStr">
        <is>
          <t>Office Utilities</t>
        </is>
      </c>
      <c r="C1222" s="72" t="inlineStr">
        <is>
          <t>Debit</t>
        </is>
      </c>
      <c r="D1222" s="72" t="inlineStr">
        <is>
          <t>Reg</t>
        </is>
      </c>
      <c r="E1222" s="72" t="inlineStr">
        <is>
          <t>Inc</t>
        </is>
      </c>
      <c r="F1222" s="12" t="n">
        <v>8</v>
      </c>
      <c r="G1222" s="12" t="n">
        <v>1</v>
      </c>
      <c r="H1222" s="72" t="n"/>
      <c r="I1222" s="72" t="n"/>
      <c r="J1222" s="72" t="n"/>
      <c r="K1222" s="72" t="inlineStr">
        <is>
          <t>7000-1000</t>
        </is>
      </c>
      <c r="L1222" s="72" t="n"/>
    </row>
    <row r="1223">
      <c r="A1223" s="72" t="inlineStr">
        <is>
          <t>7000-0026</t>
        </is>
      </c>
      <c r="B1223" s="72" t="inlineStr">
        <is>
          <t>Software</t>
        </is>
      </c>
      <c r="C1223" s="72" t="inlineStr">
        <is>
          <t>Debit</t>
        </is>
      </c>
      <c r="D1223" s="72" t="inlineStr">
        <is>
          <t>Reg</t>
        </is>
      </c>
      <c r="E1223" s="72" t="inlineStr">
        <is>
          <t>Inc</t>
        </is>
      </c>
      <c r="F1223" s="12" t="n">
        <v>8</v>
      </c>
      <c r="G1223" s="12" t="n">
        <v>1</v>
      </c>
      <c r="H1223" s="72" t="n"/>
      <c r="I1223" s="72" t="n"/>
      <c r="J1223" s="72" t="n"/>
      <c r="K1223" s="72" t="inlineStr">
        <is>
          <t>7000-1000</t>
        </is>
      </c>
      <c r="L1223" s="72" t="n"/>
    </row>
    <row r="1224">
      <c r="A1224" s="72" t="inlineStr">
        <is>
          <t>7000-0035</t>
        </is>
      </c>
      <c r="B1224" s="72" t="inlineStr">
        <is>
          <t>Indoor Plant Rental and Maintenance</t>
        </is>
      </c>
      <c r="C1224" s="72" t="inlineStr">
        <is>
          <t>Debit</t>
        </is>
      </c>
      <c r="D1224" s="72" t="inlineStr">
        <is>
          <t>Reg</t>
        </is>
      </c>
      <c r="E1224" s="72" t="inlineStr">
        <is>
          <t>Inc</t>
        </is>
      </c>
      <c r="F1224" s="12" t="n">
        <v>8</v>
      </c>
      <c r="G1224" s="12" t="n">
        <v>1</v>
      </c>
      <c r="H1224" s="72" t="n"/>
      <c r="I1224" s="72" t="n"/>
      <c r="J1224" s="72" t="n"/>
      <c r="K1224" s="72" t="inlineStr">
        <is>
          <t>7000-1000</t>
        </is>
      </c>
      <c r="L1224" s="72" t="n"/>
    </row>
    <row r="1225">
      <c r="A1225" s="72" t="inlineStr">
        <is>
          <t>7000-0040</t>
        </is>
      </c>
      <c r="B1225" s="72" t="inlineStr">
        <is>
          <t>Association Fees</t>
        </is>
      </c>
      <c r="C1225" s="72" t="inlineStr">
        <is>
          <t>Debit</t>
        </is>
      </c>
      <c r="D1225" s="72" t="inlineStr">
        <is>
          <t>Reg</t>
        </is>
      </c>
      <c r="E1225" s="72" t="inlineStr">
        <is>
          <t>Inc</t>
        </is>
      </c>
      <c r="F1225" s="12" t="n">
        <v>8</v>
      </c>
      <c r="G1225" s="12" t="n">
        <v>1</v>
      </c>
      <c r="H1225" s="72" t="n"/>
      <c r="I1225" s="72" t="n"/>
      <c r="J1225" s="72" t="n"/>
      <c r="K1225" s="72" t="inlineStr">
        <is>
          <t>7000-1000</t>
        </is>
      </c>
      <c r="L1225" s="72" t="n"/>
    </row>
    <row r="1226">
      <c r="A1226" s="72" t="inlineStr">
        <is>
          <t>7000-0045</t>
        </is>
      </c>
      <c r="B1226" s="72" t="inlineStr">
        <is>
          <t>Bank Charges Expense</t>
        </is>
      </c>
      <c r="C1226" s="72" t="inlineStr">
        <is>
          <t>Debit</t>
        </is>
      </c>
      <c r="D1226" s="72" t="inlineStr">
        <is>
          <t>Reg</t>
        </is>
      </c>
      <c r="E1226" s="72" t="inlineStr">
        <is>
          <t>Inc</t>
        </is>
      </c>
      <c r="F1226" s="12" t="n">
        <v>8</v>
      </c>
      <c r="G1226" s="12" t="n">
        <v>1</v>
      </c>
      <c r="H1226" s="72" t="n"/>
      <c r="I1226" s="72" t="n"/>
      <c r="J1226" s="72" t="n"/>
      <c r="K1226" s="72" t="inlineStr">
        <is>
          <t>7000-1000</t>
        </is>
      </c>
      <c r="L1226" s="72" t="n"/>
    </row>
    <row r="1227">
      <c r="A1227" s="72" t="inlineStr">
        <is>
          <t>7000-0046</t>
        </is>
      </c>
      <c r="B1227" s="72" t="inlineStr">
        <is>
          <t>Late Fee Expense</t>
        </is>
      </c>
      <c r="C1227" s="72" t="inlineStr">
        <is>
          <t>Debit</t>
        </is>
      </c>
      <c r="D1227" s="72" t="inlineStr">
        <is>
          <t>Reg</t>
        </is>
      </c>
      <c r="E1227" s="72" t="inlineStr">
        <is>
          <t>Inc</t>
        </is>
      </c>
      <c r="F1227" s="12" t="n">
        <v>8</v>
      </c>
      <c r="G1227" s="12" t="n">
        <v>1</v>
      </c>
      <c r="H1227" s="72" t="n"/>
      <c r="I1227" s="72" t="n"/>
      <c r="J1227" s="72" t="n"/>
      <c r="K1227" s="72" t="inlineStr">
        <is>
          <t>7000-1000</t>
        </is>
      </c>
      <c r="L1227" s="72" t="n"/>
    </row>
    <row r="1228">
      <c r="A1228" s="72" t="inlineStr">
        <is>
          <t>7000-0047</t>
        </is>
      </c>
      <c r="B1228" s="72" t="inlineStr">
        <is>
          <t>Credit Card Processing Fees</t>
        </is>
      </c>
      <c r="C1228" s="72" t="inlineStr">
        <is>
          <t>Debit</t>
        </is>
      </c>
      <c r="D1228" s="72" t="inlineStr">
        <is>
          <t>Reg</t>
        </is>
      </c>
      <c r="E1228" s="72" t="inlineStr">
        <is>
          <t>Inc</t>
        </is>
      </c>
      <c r="F1228" s="12" t="n">
        <v>8</v>
      </c>
      <c r="G1228" s="12" t="n">
        <v>1</v>
      </c>
      <c r="H1228" s="72" t="n"/>
      <c r="I1228" s="72" t="n"/>
      <c r="J1228" s="72" t="n"/>
      <c r="K1228" s="72" t="inlineStr">
        <is>
          <t>7000-1000</t>
        </is>
      </c>
      <c r="L1228" s="72" t="n"/>
    </row>
    <row r="1229">
      <c r="A1229" s="72" t="inlineStr">
        <is>
          <t>7000-0048</t>
        </is>
      </c>
      <c r="B1229" s="72" t="inlineStr">
        <is>
          <t>Payable Processing Fees</t>
        </is>
      </c>
      <c r="C1229" s="72" t="inlineStr">
        <is>
          <t>Debit</t>
        </is>
      </c>
      <c r="D1229" s="72" t="inlineStr">
        <is>
          <t>Reg</t>
        </is>
      </c>
      <c r="E1229" s="72" t="inlineStr">
        <is>
          <t>Inc</t>
        </is>
      </c>
      <c r="F1229" s="12" t="n">
        <v>8</v>
      </c>
      <c r="G1229" s="12" t="n">
        <v>1</v>
      </c>
      <c r="H1229" s="72" t="n"/>
      <c r="I1229" s="72" t="n"/>
      <c r="J1229" s="72" t="n"/>
      <c r="K1229" s="72" t="inlineStr">
        <is>
          <t>7000-1000</t>
        </is>
      </c>
      <c r="L1229" s="72" t="n"/>
    </row>
    <row r="1230">
      <c r="A1230" s="72" t="inlineStr">
        <is>
          <t>7000-0050</t>
        </is>
      </c>
      <c r="B1230" s="72" t="inlineStr">
        <is>
          <t>Postage and Shipping Fees</t>
        </is>
      </c>
      <c r="C1230" s="72" t="inlineStr">
        <is>
          <t>Debit</t>
        </is>
      </c>
      <c r="D1230" s="72" t="inlineStr">
        <is>
          <t>Reg</t>
        </is>
      </c>
      <c r="E1230" s="72" t="inlineStr">
        <is>
          <t>Inc</t>
        </is>
      </c>
      <c r="F1230" s="12" t="n">
        <v>8</v>
      </c>
      <c r="G1230" s="12" t="n">
        <v>1</v>
      </c>
      <c r="H1230" s="72" t="n"/>
      <c r="I1230" s="72" t="n"/>
      <c r="J1230" s="72" t="n"/>
      <c r="K1230" s="72" t="inlineStr">
        <is>
          <t>7000-1000</t>
        </is>
      </c>
      <c r="L1230" s="72" t="inlineStr">
        <is>
          <t>1099</t>
        </is>
      </c>
    </row>
    <row r="1231">
      <c r="A1231" s="72" t="inlineStr">
        <is>
          <t>7000-0054</t>
        </is>
      </c>
      <c r="B1231" s="72" t="inlineStr">
        <is>
          <t>Travel Expenses</t>
        </is>
      </c>
      <c r="C1231" s="72" t="inlineStr">
        <is>
          <t>Debit</t>
        </is>
      </c>
      <c r="D1231" s="72" t="inlineStr">
        <is>
          <t>Reg</t>
        </is>
      </c>
      <c r="E1231" s="72" t="inlineStr">
        <is>
          <t>Inc</t>
        </is>
      </c>
      <c r="F1231" s="12" t="n">
        <v>8</v>
      </c>
      <c r="G1231" s="12" t="n">
        <v>1</v>
      </c>
      <c r="H1231" s="72" t="n"/>
      <c r="I1231" s="72" t="n"/>
      <c r="J1231" s="72" t="n"/>
      <c r="K1231" s="72" t="inlineStr">
        <is>
          <t>7000-1000</t>
        </is>
      </c>
      <c r="L1231" s="72" t="inlineStr">
        <is>
          <t>1099</t>
        </is>
      </c>
    </row>
    <row r="1232">
      <c r="A1232" s="72" t="inlineStr">
        <is>
          <t>7000-0060</t>
        </is>
      </c>
      <c r="B1232" s="72" t="inlineStr">
        <is>
          <t>Office Supplies</t>
        </is>
      </c>
      <c r="C1232" s="72" t="inlineStr">
        <is>
          <t>Debit</t>
        </is>
      </c>
      <c r="D1232" s="72" t="inlineStr">
        <is>
          <t>Reg</t>
        </is>
      </c>
      <c r="E1232" s="72" t="inlineStr">
        <is>
          <t>Inc</t>
        </is>
      </c>
      <c r="F1232" s="12" t="n">
        <v>8</v>
      </c>
      <c r="G1232" s="12" t="n">
        <v>1</v>
      </c>
      <c r="H1232" s="72" t="n"/>
      <c r="I1232" s="72" t="n"/>
      <c r="J1232" s="72" t="n"/>
      <c r="K1232" s="72" t="inlineStr">
        <is>
          <t>7000-1000</t>
        </is>
      </c>
      <c r="L1232" s="72" t="n"/>
    </row>
    <row r="1233">
      <c r="A1233" s="72" t="inlineStr">
        <is>
          <t>7000-0065</t>
        </is>
      </c>
      <c r="B1233" s="72" t="inlineStr">
        <is>
          <t>Dues and Subscriptions</t>
        </is>
      </c>
      <c r="C1233" s="72" t="inlineStr">
        <is>
          <t>Debit</t>
        </is>
      </c>
      <c r="D1233" s="72" t="inlineStr">
        <is>
          <t>Reg</t>
        </is>
      </c>
      <c r="E1233" s="72" t="inlineStr">
        <is>
          <t>Inc</t>
        </is>
      </c>
      <c r="F1233" s="12" t="n">
        <v>8</v>
      </c>
      <c r="G1233" s="12" t="n">
        <v>1</v>
      </c>
      <c r="H1233" s="72" t="n"/>
      <c r="I1233" s="72" t="n"/>
      <c r="J1233" s="72" t="n"/>
      <c r="K1233" s="72" t="inlineStr">
        <is>
          <t>7000-1000</t>
        </is>
      </c>
      <c r="L1233" s="72" t="n"/>
    </row>
    <row r="1234">
      <c r="A1234" s="72" t="inlineStr">
        <is>
          <t>7000-0070</t>
        </is>
      </c>
      <c r="B1234" s="72" t="inlineStr">
        <is>
          <t>Fines and Penalties</t>
        </is>
      </c>
      <c r="C1234" s="72" t="inlineStr">
        <is>
          <t>Debit</t>
        </is>
      </c>
      <c r="D1234" s="72" t="inlineStr">
        <is>
          <t>Reg</t>
        </is>
      </c>
      <c r="E1234" s="72" t="inlineStr">
        <is>
          <t>Inc</t>
        </is>
      </c>
      <c r="F1234" s="12" t="n">
        <v>8</v>
      </c>
      <c r="G1234" s="12" t="n">
        <v>1</v>
      </c>
      <c r="H1234" s="72" t="n"/>
      <c r="I1234" s="72" t="n"/>
      <c r="J1234" s="72" t="n"/>
      <c r="K1234" s="72" t="inlineStr">
        <is>
          <t>7000-1000</t>
        </is>
      </c>
      <c r="L1234" s="72" t="n"/>
    </row>
    <row r="1235">
      <c r="A1235" s="72" t="inlineStr">
        <is>
          <t>7000-0075</t>
        </is>
      </c>
      <c r="B1235" s="72" t="inlineStr">
        <is>
          <t>Laundry Maintenance</t>
        </is>
      </c>
      <c r="C1235" s="72" t="inlineStr">
        <is>
          <t>Debit</t>
        </is>
      </c>
      <c r="D1235" s="72" t="inlineStr">
        <is>
          <t>Reg</t>
        </is>
      </c>
      <c r="E1235" s="72" t="inlineStr">
        <is>
          <t>Inc</t>
        </is>
      </c>
      <c r="F1235" s="12" t="n">
        <v>8</v>
      </c>
      <c r="G1235" s="12" t="n">
        <v>1</v>
      </c>
      <c r="H1235" s="72" t="n"/>
      <c r="I1235" s="72" t="n"/>
      <c r="J1235" s="72" t="n"/>
      <c r="K1235" s="72" t="inlineStr">
        <is>
          <t>7000-1000</t>
        </is>
      </c>
      <c r="L1235" s="72" t="n"/>
    </row>
    <row r="1236">
      <c r="A1236" s="72" t="inlineStr">
        <is>
          <t>7000-0999</t>
        </is>
      </c>
      <c r="B1236" s="72" t="inlineStr">
        <is>
          <t>Miscellaneous Expense</t>
        </is>
      </c>
      <c r="C1236" s="72" t="inlineStr">
        <is>
          <t>Debit</t>
        </is>
      </c>
      <c r="D1236" s="72" t="inlineStr">
        <is>
          <t>Reg</t>
        </is>
      </c>
      <c r="E1236" s="72" t="inlineStr">
        <is>
          <t>Inc</t>
        </is>
      </c>
      <c r="F1236" s="12" t="n">
        <v>8</v>
      </c>
      <c r="G1236" s="12" t="n">
        <v>1</v>
      </c>
      <c r="H1236" s="72" t="n"/>
      <c r="I1236" s="72" t="n"/>
      <c r="J1236" s="72" t="n"/>
      <c r="K1236" s="72" t="inlineStr">
        <is>
          <t>7000-1000</t>
        </is>
      </c>
      <c r="L1236" s="72" t="n"/>
    </row>
    <row r="1237">
      <c r="A1237" s="72" t="inlineStr">
        <is>
          <t>7000-1000</t>
        </is>
      </c>
      <c r="B1237" s="72" t="inlineStr">
        <is>
          <t>TOTAL G and A EXPENSE</t>
        </is>
      </c>
      <c r="C1237" s="72" t="inlineStr">
        <is>
          <t>Debit</t>
        </is>
      </c>
      <c r="D1237" s="72" t="inlineStr">
        <is>
          <t>Tot</t>
        </is>
      </c>
      <c r="E1237" s="72" t="inlineStr">
        <is>
          <t>Inc</t>
        </is>
      </c>
      <c r="F1237" s="12" t="n">
        <v>12</v>
      </c>
      <c r="G1237" s="12" t="n">
        <v>1</v>
      </c>
      <c r="H1237" s="72" t="n"/>
      <c r="I1237" s="72" t="n"/>
      <c r="J1237" s="72" t="n"/>
      <c r="K1237" s="72" t="inlineStr">
        <is>
          <t>7999-9000</t>
        </is>
      </c>
      <c r="L1237" s="72" t="n"/>
    </row>
    <row r="1238">
      <c r="A1238" s="72" t="inlineStr">
        <is>
          <t>7200-0000</t>
        </is>
      </c>
      <c r="B1238" s="72" t="inlineStr">
        <is>
          <t>PROFESSIONAL FEES</t>
        </is>
      </c>
      <c r="C1238" s="72" t="inlineStr">
        <is>
          <t>Debit</t>
        </is>
      </c>
      <c r="D1238" s="72" t="inlineStr">
        <is>
          <t>Head</t>
        </is>
      </c>
      <c r="E1238" s="72" t="inlineStr">
        <is>
          <t>Inc</t>
        </is>
      </c>
      <c r="F1238" s="12" t="n">
        <v>4</v>
      </c>
      <c r="G1238" s="12" t="n">
        <v>2</v>
      </c>
      <c r="H1238" s="72" t="n"/>
      <c r="I1238" s="72" t="n"/>
      <c r="J1238" s="72" t="n"/>
      <c r="K1238" s="72" t="n"/>
      <c r="L1238" s="72" t="n"/>
    </row>
    <row r="1239">
      <c r="A1239" s="72" t="inlineStr">
        <is>
          <t>7200-0001</t>
        </is>
      </c>
      <c r="B1239" s="72" t="inlineStr">
        <is>
          <t>Answering Service</t>
        </is>
      </c>
      <c r="C1239" s="72" t="inlineStr">
        <is>
          <t>Debit</t>
        </is>
      </c>
      <c r="D1239" s="72" t="inlineStr">
        <is>
          <t>Reg</t>
        </is>
      </c>
      <c r="E1239" s="72" t="inlineStr">
        <is>
          <t>Inc</t>
        </is>
      </c>
      <c r="F1239" s="12" t="n">
        <v>8</v>
      </c>
      <c r="G1239" s="12" t="n">
        <v>1</v>
      </c>
      <c r="H1239" s="72" t="n"/>
      <c r="I1239" s="72" t="n"/>
      <c r="J1239" s="72" t="n"/>
      <c r="K1239" s="72" t="inlineStr">
        <is>
          <t>7200-0100</t>
        </is>
      </c>
      <c r="L1239" s="72" t="n"/>
    </row>
    <row r="1240">
      <c r="A1240" s="72" t="inlineStr">
        <is>
          <t>7200-0002</t>
        </is>
      </c>
      <c r="B1240" s="72" t="inlineStr">
        <is>
          <t>Communication Center</t>
        </is>
      </c>
      <c r="C1240" s="72" t="inlineStr">
        <is>
          <t>Debit</t>
        </is>
      </c>
      <c r="D1240" s="72" t="inlineStr">
        <is>
          <t>Reg</t>
        </is>
      </c>
      <c r="E1240" s="72" t="inlineStr">
        <is>
          <t>Inc</t>
        </is>
      </c>
      <c r="F1240" s="12" t="n">
        <v>8</v>
      </c>
      <c r="G1240" s="12" t="n">
        <v>1</v>
      </c>
      <c r="H1240" s="72" t="n"/>
      <c r="I1240" s="72" t="n"/>
      <c r="J1240" s="72" t="n"/>
      <c r="K1240" s="72" t="inlineStr">
        <is>
          <t>7200-0100</t>
        </is>
      </c>
      <c r="L1240" s="72" t="n"/>
    </row>
    <row r="1241">
      <c r="A1241" s="72" t="inlineStr">
        <is>
          <t>7200-0015</t>
        </is>
      </c>
      <c r="B1241" s="72" t="inlineStr">
        <is>
          <t>Legal Accounting and Servicing</t>
        </is>
      </c>
      <c r="C1241" s="72" t="inlineStr">
        <is>
          <t>Debit</t>
        </is>
      </c>
      <c r="D1241" s="72" t="inlineStr">
        <is>
          <t>Reg</t>
        </is>
      </c>
      <c r="E1241" s="72" t="inlineStr">
        <is>
          <t>Inc</t>
        </is>
      </c>
      <c r="F1241" s="12" t="n">
        <v>8</v>
      </c>
      <c r="G1241" s="12" t="n">
        <v>1</v>
      </c>
      <c r="H1241" s="72" t="n"/>
      <c r="I1241" s="72" t="n"/>
      <c r="J1241" s="72" t="n"/>
      <c r="K1241" s="72" t="inlineStr">
        <is>
          <t>7200-0100</t>
        </is>
      </c>
      <c r="L1241" s="72" t="n"/>
    </row>
    <row r="1242">
      <c r="A1242" s="72" t="inlineStr">
        <is>
          <t>7200-0020</t>
        </is>
      </c>
      <c r="B1242" s="72" t="inlineStr">
        <is>
          <t>Professional Fees</t>
        </is>
      </c>
      <c r="C1242" s="72" t="inlineStr">
        <is>
          <t>Debit</t>
        </is>
      </c>
      <c r="D1242" s="72" t="inlineStr">
        <is>
          <t>Reg</t>
        </is>
      </c>
      <c r="E1242" s="72" t="inlineStr">
        <is>
          <t>Inc</t>
        </is>
      </c>
      <c r="F1242" s="12" t="n">
        <v>8</v>
      </c>
      <c r="G1242" s="12" t="n">
        <v>1</v>
      </c>
      <c r="H1242" s="72" t="n"/>
      <c r="I1242" s="72" t="n"/>
      <c r="J1242" s="72" t="n"/>
      <c r="K1242" s="72" t="inlineStr">
        <is>
          <t>7200-0100</t>
        </is>
      </c>
      <c r="L1242" s="72" t="n"/>
    </row>
    <row r="1243">
      <c r="A1243" s="72" t="inlineStr">
        <is>
          <t>7200-0100</t>
        </is>
      </c>
      <c r="B1243" s="72" t="inlineStr">
        <is>
          <t>TOTAL PROFESSIONAL FEES</t>
        </is>
      </c>
      <c r="C1243" s="72" t="inlineStr">
        <is>
          <t>Debit</t>
        </is>
      </c>
      <c r="D1243" s="72" t="inlineStr">
        <is>
          <t>Tot</t>
        </is>
      </c>
      <c r="E1243" s="72" t="inlineStr">
        <is>
          <t>Inc</t>
        </is>
      </c>
      <c r="F1243" s="12" t="n">
        <v>12</v>
      </c>
      <c r="G1243" s="12" t="n">
        <v>1</v>
      </c>
      <c r="H1243" s="72" t="n"/>
      <c r="I1243" s="72" t="n"/>
      <c r="J1243" s="72" t="n"/>
      <c r="K1243" s="72" t="inlineStr">
        <is>
          <t>7999-9000</t>
        </is>
      </c>
      <c r="L1243" s="72" t="n"/>
    </row>
    <row r="1244">
      <c r="A1244" s="72" t="inlineStr">
        <is>
          <t>7300-0000</t>
        </is>
      </c>
      <c r="B1244" s="72" t="inlineStr">
        <is>
          <t>PAYROLL EXPENSE</t>
        </is>
      </c>
      <c r="C1244" s="72" t="inlineStr">
        <is>
          <t>Debit</t>
        </is>
      </c>
      <c r="D1244" s="72" t="inlineStr">
        <is>
          <t>Head</t>
        </is>
      </c>
      <c r="E1244" s="72" t="inlineStr">
        <is>
          <t>Inc</t>
        </is>
      </c>
      <c r="F1244" s="12" t="n">
        <v>8</v>
      </c>
      <c r="G1244" s="12" t="n">
        <v>2</v>
      </c>
      <c r="H1244" s="72" t="n"/>
      <c r="I1244" s="72" t="n"/>
      <c r="J1244" s="72" t="n"/>
      <c r="K1244" s="72" t="n"/>
      <c r="L1244" s="72" t="n"/>
    </row>
    <row r="1245">
      <c r="A1245" s="72" t="inlineStr">
        <is>
          <t>7310-0000</t>
        </is>
      </c>
      <c r="B1245" s="72" t="inlineStr">
        <is>
          <t>SUPERVISORY PAYROLL</t>
        </is>
      </c>
      <c r="C1245" s="72" t="inlineStr">
        <is>
          <t>Debit</t>
        </is>
      </c>
      <c r="D1245" s="72" t="inlineStr">
        <is>
          <t>Head</t>
        </is>
      </c>
      <c r="E1245" s="72" t="inlineStr">
        <is>
          <t>Inc</t>
        </is>
      </c>
      <c r="F1245" s="12" t="n">
        <v>8</v>
      </c>
      <c r="G1245" s="12" t="n">
        <v>2</v>
      </c>
      <c r="H1245" s="72" t="n"/>
      <c r="I1245" s="72" t="n"/>
      <c r="J1245" s="72" t="n"/>
      <c r="K1245" s="72" t="n"/>
      <c r="L1245" s="72" t="n"/>
    </row>
    <row r="1246">
      <c r="A1246" s="72" t="inlineStr">
        <is>
          <t>7310-0005</t>
        </is>
      </c>
      <c r="B1246" s="72" t="inlineStr">
        <is>
          <t>Supervisory Payroll Expense</t>
        </is>
      </c>
      <c r="C1246" s="72" t="inlineStr">
        <is>
          <t>Debit</t>
        </is>
      </c>
      <c r="D1246" s="72" t="inlineStr">
        <is>
          <t>Reg</t>
        </is>
      </c>
      <c r="E1246" s="72" t="inlineStr">
        <is>
          <t>Inc</t>
        </is>
      </c>
      <c r="F1246" s="12" t="n">
        <v>10</v>
      </c>
      <c r="G1246" s="12" t="n">
        <v>1</v>
      </c>
      <c r="H1246" s="72" t="n"/>
      <c r="I1246" s="72" t="n"/>
      <c r="J1246" s="72" t="n"/>
      <c r="K1246" s="72" t="inlineStr">
        <is>
          <t>7310-0100</t>
        </is>
      </c>
      <c r="L1246" s="72" t="n"/>
    </row>
    <row r="1247">
      <c r="A1247" s="72" t="inlineStr">
        <is>
          <t>7310-0010</t>
        </is>
      </c>
      <c r="B1247" s="72" t="inlineStr">
        <is>
          <t>Supervisory Workers Comp Insurance</t>
        </is>
      </c>
      <c r="C1247" s="72" t="inlineStr">
        <is>
          <t>Debit</t>
        </is>
      </c>
      <c r="D1247" s="72" t="inlineStr">
        <is>
          <t>Reg</t>
        </is>
      </c>
      <c r="E1247" s="72" t="inlineStr">
        <is>
          <t>Inc</t>
        </is>
      </c>
      <c r="F1247" s="12" t="n">
        <v>10</v>
      </c>
      <c r="G1247" s="12" t="n">
        <v>1</v>
      </c>
      <c r="H1247" s="72" t="n"/>
      <c r="I1247" s="72" t="n"/>
      <c r="J1247" s="72" t="n"/>
      <c r="K1247" s="72" t="inlineStr">
        <is>
          <t>7310-0100</t>
        </is>
      </c>
      <c r="L1247" s="72" t="n"/>
    </row>
    <row r="1248">
      <c r="A1248" s="72" t="inlineStr">
        <is>
          <t>7310-0100</t>
        </is>
      </c>
      <c r="B1248" s="72" t="inlineStr">
        <is>
          <t>TOTAL SUPERVISORY PAYROLL</t>
        </is>
      </c>
      <c r="C1248" s="72" t="inlineStr">
        <is>
          <t>Debit</t>
        </is>
      </c>
      <c r="D1248" s="72" t="inlineStr">
        <is>
          <t>Tot</t>
        </is>
      </c>
      <c r="E1248" s="72" t="inlineStr">
        <is>
          <t>Inc</t>
        </is>
      </c>
      <c r="F1248" s="12" t="n">
        <v>12</v>
      </c>
      <c r="G1248" s="12" t="n">
        <v>1</v>
      </c>
      <c r="H1248" s="72" t="n"/>
      <c r="I1248" s="72" t="n"/>
      <c r="J1248" s="72" t="n"/>
      <c r="K1248" s="72" t="inlineStr">
        <is>
          <t>7500-0000</t>
        </is>
      </c>
      <c r="L1248" s="72" t="n"/>
    </row>
    <row r="1249">
      <c r="A1249" s="72" t="inlineStr">
        <is>
          <t>7320-0000</t>
        </is>
      </c>
      <c r="B1249" s="72" t="inlineStr">
        <is>
          <t>Bonus</t>
        </is>
      </c>
      <c r="C1249" s="72" t="inlineStr">
        <is>
          <t>Debit</t>
        </is>
      </c>
      <c r="D1249" s="72" t="inlineStr">
        <is>
          <t>Reg</t>
        </is>
      </c>
      <c r="E1249" s="72" t="inlineStr">
        <is>
          <t>Inc</t>
        </is>
      </c>
      <c r="F1249" s="12" t="n">
        <v>10</v>
      </c>
      <c r="G1249" s="12" t="n">
        <v>1</v>
      </c>
      <c r="H1249" s="72" t="n"/>
      <c r="I1249" s="72" t="n"/>
      <c r="J1249" s="72" t="n"/>
      <c r="K1249" s="72" t="inlineStr">
        <is>
          <t>7500-0000</t>
        </is>
      </c>
      <c r="L1249" s="72" t="n"/>
    </row>
    <row r="1250">
      <c r="A1250" s="72" t="inlineStr">
        <is>
          <t>7330-0000</t>
        </is>
      </c>
      <c r="B1250" s="72" t="inlineStr">
        <is>
          <t>Clerical Salaries</t>
        </is>
      </c>
      <c r="C1250" s="72" t="inlineStr">
        <is>
          <t>Debit</t>
        </is>
      </c>
      <c r="D1250" s="72" t="inlineStr">
        <is>
          <t>Reg</t>
        </is>
      </c>
      <c r="E1250" s="72" t="inlineStr">
        <is>
          <t>Inc</t>
        </is>
      </c>
      <c r="F1250" s="12" t="n">
        <v>10</v>
      </c>
      <c r="G1250" s="12" t="n">
        <v>1</v>
      </c>
      <c r="H1250" s="72" t="n"/>
      <c r="I1250" s="72" t="n"/>
      <c r="J1250" s="72" t="n"/>
      <c r="K1250" s="72" t="inlineStr">
        <is>
          <t>7500-0000</t>
        </is>
      </c>
      <c r="L1250" s="72" t="n"/>
    </row>
    <row r="1251">
      <c r="A1251" s="72" t="inlineStr">
        <is>
          <t>7340-0000</t>
        </is>
      </c>
      <c r="B1251" s="72" t="inlineStr">
        <is>
          <t>Payroll exp</t>
        </is>
      </c>
      <c r="C1251" s="72" t="inlineStr">
        <is>
          <t>Debit</t>
        </is>
      </c>
      <c r="D1251" s="72" t="inlineStr">
        <is>
          <t>Reg</t>
        </is>
      </c>
      <c r="E1251" s="72" t="inlineStr">
        <is>
          <t>Inc</t>
        </is>
      </c>
      <c r="F1251" s="12" t="n">
        <v>10</v>
      </c>
      <c r="G1251" s="12" t="n">
        <v>1</v>
      </c>
      <c r="H1251" s="72" t="n"/>
      <c r="I1251" s="72" t="n"/>
      <c r="J1251" s="72" t="n"/>
      <c r="K1251" s="72" t="inlineStr">
        <is>
          <t>7500-0000</t>
        </is>
      </c>
      <c r="L1251" s="72" t="inlineStr">
        <is>
          <t>1099, AP</t>
        </is>
      </c>
    </row>
    <row r="1252">
      <c r="A1252" s="72" t="inlineStr">
        <is>
          <t>7400-0000</t>
        </is>
      </c>
      <c r="B1252" s="72" t="inlineStr">
        <is>
          <t>Payroll Taxes</t>
        </is>
      </c>
      <c r="C1252" s="72" t="inlineStr">
        <is>
          <t>Debit</t>
        </is>
      </c>
      <c r="D1252" s="72" t="inlineStr">
        <is>
          <t>Reg</t>
        </is>
      </c>
      <c r="E1252" s="72" t="inlineStr">
        <is>
          <t>Inc</t>
        </is>
      </c>
      <c r="F1252" s="12" t="n">
        <v>10</v>
      </c>
      <c r="G1252" s="12" t="n">
        <v>1</v>
      </c>
      <c r="H1252" s="72" t="n"/>
      <c r="I1252" s="72" t="n"/>
      <c r="J1252" s="72" t="n"/>
      <c r="K1252" s="72" t="inlineStr">
        <is>
          <t>7500-0000</t>
        </is>
      </c>
      <c r="L1252" s="72" t="n"/>
    </row>
    <row r="1253">
      <c r="A1253" s="72" t="inlineStr">
        <is>
          <t>7400-0001</t>
        </is>
      </c>
      <c r="B1253" s="72" t="inlineStr">
        <is>
          <t>Payroll 1099 Contractor</t>
        </is>
      </c>
      <c r="C1253" s="72" t="inlineStr">
        <is>
          <t>Debit</t>
        </is>
      </c>
      <c r="D1253" s="72" t="inlineStr">
        <is>
          <t>Reg</t>
        </is>
      </c>
      <c r="E1253" s="72" t="inlineStr">
        <is>
          <t>Inc</t>
        </is>
      </c>
      <c r="F1253" s="12" t="n">
        <v>10</v>
      </c>
      <c r="G1253" s="12" t="n">
        <v>1</v>
      </c>
      <c r="H1253" s="72" t="n"/>
      <c r="I1253" s="72" t="n"/>
      <c r="J1253" s="72" t="n"/>
      <c r="K1253" s="72" t="inlineStr">
        <is>
          <t>7500-0000</t>
        </is>
      </c>
      <c r="L1253" s="72" t="n"/>
    </row>
    <row r="1254">
      <c r="A1254" s="72" t="inlineStr">
        <is>
          <t>7400-0002</t>
        </is>
      </c>
      <c r="B1254" s="72" t="inlineStr">
        <is>
          <t>Employee Health Insurance</t>
        </is>
      </c>
      <c r="C1254" s="72" t="inlineStr">
        <is>
          <t>Debit</t>
        </is>
      </c>
      <c r="D1254" s="72" t="inlineStr">
        <is>
          <t>Reg</t>
        </is>
      </c>
      <c r="E1254" s="72" t="inlineStr">
        <is>
          <t>Inc</t>
        </is>
      </c>
      <c r="F1254" s="12" t="n">
        <v>10</v>
      </c>
      <c r="G1254" s="12" t="n">
        <v>1</v>
      </c>
      <c r="H1254" s="72" t="n"/>
      <c r="I1254" s="72" t="n"/>
      <c r="J1254" s="72" t="n"/>
      <c r="K1254" s="72" t="inlineStr">
        <is>
          <t>7500-0000</t>
        </is>
      </c>
      <c r="L1254" s="72" t="n"/>
    </row>
    <row r="1255">
      <c r="A1255" s="72" t="inlineStr">
        <is>
          <t>7400-0003</t>
        </is>
      </c>
      <c r="B1255" s="72" t="inlineStr">
        <is>
          <t>Workers Comp Insurance</t>
        </is>
      </c>
      <c r="C1255" s="72" t="inlineStr">
        <is>
          <t>Debit</t>
        </is>
      </c>
      <c r="D1255" s="72" t="inlineStr">
        <is>
          <t>Reg</t>
        </is>
      </c>
      <c r="E1255" s="72" t="inlineStr">
        <is>
          <t>Inc</t>
        </is>
      </c>
      <c r="F1255" s="12" t="n">
        <v>10</v>
      </c>
      <c r="G1255" s="12" t="n">
        <v>1</v>
      </c>
      <c r="H1255" s="72" t="n"/>
      <c r="I1255" s="72" t="n"/>
      <c r="J1255" s="72" t="n"/>
      <c r="K1255" s="72" t="inlineStr">
        <is>
          <t>7500-0000</t>
        </is>
      </c>
      <c r="L1255" s="72" t="n"/>
    </row>
    <row r="1256">
      <c r="A1256" s="72" t="inlineStr">
        <is>
          <t>7400-0010</t>
        </is>
      </c>
      <c r="B1256" s="72" t="inlineStr">
        <is>
          <t>Medical Plan Contributions</t>
        </is>
      </c>
      <c r="C1256" s="72" t="inlineStr">
        <is>
          <t>Debit</t>
        </is>
      </c>
      <c r="D1256" s="72" t="inlineStr">
        <is>
          <t>Reg</t>
        </is>
      </c>
      <c r="E1256" s="72" t="inlineStr">
        <is>
          <t>Inc</t>
        </is>
      </c>
      <c r="F1256" s="12" t="n">
        <v>10</v>
      </c>
      <c r="G1256" s="12" t="n">
        <v>1</v>
      </c>
      <c r="H1256" s="72" t="n"/>
      <c r="I1256" s="72" t="n"/>
      <c r="J1256" s="72" t="n"/>
      <c r="K1256" s="72" t="inlineStr">
        <is>
          <t>7500-0000</t>
        </is>
      </c>
      <c r="L1256" s="72" t="n"/>
    </row>
    <row r="1257">
      <c r="A1257" s="72" t="inlineStr">
        <is>
          <t>7400-0050</t>
        </is>
      </c>
      <c r="B1257" s="72" t="inlineStr">
        <is>
          <t>Uniforms</t>
        </is>
      </c>
      <c r="C1257" s="72" t="inlineStr">
        <is>
          <t>Debit</t>
        </is>
      </c>
      <c r="D1257" s="72" t="inlineStr">
        <is>
          <t>Reg</t>
        </is>
      </c>
      <c r="E1257" s="72" t="inlineStr">
        <is>
          <t>Inc</t>
        </is>
      </c>
      <c r="F1257" s="12" t="n">
        <v>10</v>
      </c>
      <c r="G1257" s="12" t="n">
        <v>1</v>
      </c>
      <c r="H1257" s="72" t="n"/>
      <c r="I1257" s="72" t="n"/>
      <c r="J1257" s="72" t="n"/>
      <c r="K1257" s="72" t="inlineStr">
        <is>
          <t>7500-0000</t>
        </is>
      </c>
      <c r="L1257" s="72" t="n"/>
    </row>
    <row r="1258">
      <c r="A1258" s="72" t="inlineStr">
        <is>
          <t>7500-0000</t>
        </is>
      </c>
      <c r="B1258" s="72" t="inlineStr">
        <is>
          <t>TOTAL PAYROLL</t>
        </is>
      </c>
      <c r="C1258" s="72" t="inlineStr">
        <is>
          <t>Debit</t>
        </is>
      </c>
      <c r="D1258" s="72" t="inlineStr">
        <is>
          <t>Tot</t>
        </is>
      </c>
      <c r="E1258" s="72" t="inlineStr">
        <is>
          <t>Inc</t>
        </is>
      </c>
      <c r="F1258" s="12" t="n">
        <v>12</v>
      </c>
      <c r="G1258" s="12" t="n">
        <v>1</v>
      </c>
      <c r="H1258" s="72" t="n"/>
      <c r="I1258" s="72" t="n"/>
      <c r="J1258" s="72" t="n"/>
      <c r="K1258" s="72" t="inlineStr">
        <is>
          <t>7999-9000</t>
        </is>
      </c>
      <c r="L1258" s="72" t="n"/>
    </row>
    <row r="1259">
      <c r="A1259" s="72" t="inlineStr">
        <is>
          <t>7999-9000</t>
        </is>
      </c>
      <c r="B1259" s="72" t="inlineStr">
        <is>
          <t>TOTAL NET OPERATING EXPENSES</t>
        </is>
      </c>
      <c r="C1259" s="72" t="inlineStr">
        <is>
          <t>Debit</t>
        </is>
      </c>
      <c r="D1259" s="72" t="inlineStr">
        <is>
          <t>Tot</t>
        </is>
      </c>
      <c r="E1259" s="72" t="inlineStr">
        <is>
          <t>Inc</t>
        </is>
      </c>
      <c r="F1259" s="12" t="n">
        <v>4</v>
      </c>
      <c r="G1259" s="12" t="n">
        <v>2</v>
      </c>
      <c r="H1259" s="72" t="n"/>
      <c r="I1259" s="72" t="n"/>
      <c r="J1259" s="72" t="n"/>
      <c r="K1259" s="72" t="inlineStr">
        <is>
          <t>7999-9999</t>
        </is>
      </c>
      <c r="L1259" s="72" t="n"/>
    </row>
    <row r="1260">
      <c r="A1260" s="72" t="inlineStr">
        <is>
          <t>7999-9999</t>
        </is>
      </c>
      <c r="B1260" s="72" t="inlineStr">
        <is>
          <t>NET OPERATING INCOME</t>
        </is>
      </c>
      <c r="C1260" s="72" t="inlineStr">
        <is>
          <t>Credit</t>
        </is>
      </c>
      <c r="D1260" s="72" t="inlineStr">
        <is>
          <t>Tot</t>
        </is>
      </c>
      <c r="E1260" s="72" t="inlineStr">
        <is>
          <t>Inc</t>
        </is>
      </c>
      <c r="F1260" s="12" t="n">
        <v>4</v>
      </c>
      <c r="G1260" s="12" t="n">
        <v>2</v>
      </c>
      <c r="H1260" s="72" t="n"/>
      <c r="I1260" s="72" t="n"/>
      <c r="J1260" s="72" t="n"/>
      <c r="K1260" s="72" t="inlineStr">
        <is>
          <t>9090-0000</t>
        </is>
      </c>
      <c r="L1260" s="72" t="n"/>
    </row>
    <row r="1261">
      <c r="A1261" s="72" t="inlineStr">
        <is>
          <t>8000-0000</t>
        </is>
      </c>
      <c r="B1261" s="72" t="inlineStr">
        <is>
          <t>NON RECURRING EXPENSES</t>
        </is>
      </c>
      <c r="C1261" s="72" t="inlineStr">
        <is>
          <t>Debit</t>
        </is>
      </c>
      <c r="D1261" s="72" t="inlineStr">
        <is>
          <t>Head</t>
        </is>
      </c>
      <c r="E1261" s="72" t="inlineStr">
        <is>
          <t>Inc</t>
        </is>
      </c>
      <c r="F1261" s="12" t="n">
        <v>4</v>
      </c>
      <c r="G1261" s="12" t="n">
        <v>2</v>
      </c>
      <c r="H1261" s="72" t="n"/>
      <c r="I1261" s="72" t="n"/>
      <c r="J1261" s="72" t="n"/>
      <c r="K1261" s="72" t="n"/>
      <c r="L1261" s="72" t="n"/>
    </row>
    <row r="1262">
      <c r="A1262" s="72" t="inlineStr">
        <is>
          <t>8000-0001</t>
        </is>
      </c>
      <c r="B1262" s="72" t="inlineStr">
        <is>
          <t>Insurance Claim</t>
        </is>
      </c>
      <c r="C1262" s="72" t="inlineStr">
        <is>
          <t>Debit</t>
        </is>
      </c>
      <c r="D1262" s="72" t="inlineStr">
        <is>
          <t>Reg</t>
        </is>
      </c>
      <c r="E1262" s="72" t="inlineStr">
        <is>
          <t>Inc</t>
        </is>
      </c>
      <c r="F1262" s="12" t="n">
        <v>8</v>
      </c>
      <c r="G1262" s="12" t="n">
        <v>1</v>
      </c>
      <c r="H1262" s="72" t="n"/>
      <c r="I1262" s="72" t="n"/>
      <c r="J1262" s="72" t="n"/>
      <c r="K1262" s="72" t="inlineStr">
        <is>
          <t>8390-0000</t>
        </is>
      </c>
      <c r="L1262" s="72" t="n"/>
    </row>
    <row r="1263">
      <c r="A1263" s="72" t="inlineStr">
        <is>
          <t>8000-0010</t>
        </is>
      </c>
      <c r="B1263" s="72" t="inlineStr">
        <is>
          <t>DO NOT USE</t>
        </is>
      </c>
      <c r="C1263" s="72" t="inlineStr">
        <is>
          <t>Debit</t>
        </is>
      </c>
      <c r="D1263" s="72" t="inlineStr">
        <is>
          <t>Reg</t>
        </is>
      </c>
      <c r="E1263" s="72" t="inlineStr">
        <is>
          <t>Inc</t>
        </is>
      </c>
      <c r="F1263" s="12" t="n">
        <v>0</v>
      </c>
      <c r="G1263" s="12" t="n">
        <v>1</v>
      </c>
      <c r="H1263" s="72" t="n"/>
      <c r="I1263" s="72" t="n"/>
      <c r="J1263" s="72" t="n"/>
      <c r="K1263" s="72" t="n"/>
      <c r="L1263" s="72" t="n"/>
    </row>
    <row r="1264">
      <c r="A1264" s="72" t="inlineStr">
        <is>
          <t>8100-0000</t>
        </is>
      </c>
      <c r="B1264" s="72" t="inlineStr">
        <is>
          <t>Construction ReHab</t>
        </is>
      </c>
      <c r="C1264" s="72" t="inlineStr">
        <is>
          <t>Debit</t>
        </is>
      </c>
      <c r="D1264" s="72" t="inlineStr">
        <is>
          <t>Reg</t>
        </is>
      </c>
      <c r="E1264" s="72" t="inlineStr">
        <is>
          <t>Inc</t>
        </is>
      </c>
      <c r="F1264" s="12" t="n">
        <v>8</v>
      </c>
      <c r="G1264" s="12" t="n">
        <v>1</v>
      </c>
      <c r="H1264" s="72" t="n"/>
      <c r="I1264" s="72" t="n"/>
      <c r="J1264" s="72" t="n"/>
      <c r="K1264" s="72" t="inlineStr">
        <is>
          <t>8390-0000</t>
        </is>
      </c>
      <c r="L1264" s="72" t="n"/>
    </row>
    <row r="1265">
      <c r="A1265" s="72" t="inlineStr">
        <is>
          <t>8100-1000</t>
        </is>
      </c>
      <c r="B1265" s="72" t="inlineStr">
        <is>
          <t>Depreciation Expense</t>
        </is>
      </c>
      <c r="C1265" s="72" t="inlineStr">
        <is>
          <t>Debit</t>
        </is>
      </c>
      <c r="D1265" s="72" t="inlineStr">
        <is>
          <t>Reg</t>
        </is>
      </c>
      <c r="E1265" s="72" t="inlineStr">
        <is>
          <t>Inc</t>
        </is>
      </c>
      <c r="F1265" s="12" t="n">
        <v>8</v>
      </c>
      <c r="G1265" s="12" t="n">
        <v>1</v>
      </c>
      <c r="H1265" s="72" t="n"/>
      <c r="I1265" s="72" t="n"/>
      <c r="J1265" s="72" t="n"/>
      <c r="K1265" s="72" t="n"/>
      <c r="L1265" s="72" t="n"/>
    </row>
    <row r="1266">
      <c r="A1266" s="72" t="inlineStr">
        <is>
          <t>8100-1001</t>
        </is>
      </c>
      <c r="B1266" s="72" t="inlineStr">
        <is>
          <t>Amortization</t>
        </is>
      </c>
      <c r="C1266" s="72" t="inlineStr">
        <is>
          <t>Debit</t>
        </is>
      </c>
      <c r="D1266" s="72" t="inlineStr">
        <is>
          <t>Reg</t>
        </is>
      </c>
      <c r="E1266" s="72" t="inlineStr">
        <is>
          <t>Inc</t>
        </is>
      </c>
      <c r="F1266" s="12" t="n">
        <v>8</v>
      </c>
      <c r="G1266" s="12" t="n">
        <v>1</v>
      </c>
      <c r="H1266" s="72" t="n"/>
      <c r="I1266" s="72" t="n"/>
      <c r="J1266" s="72" t="n"/>
      <c r="K1266" s="72" t="n"/>
      <c r="L1266" s="72" t="n"/>
    </row>
    <row r="1267">
      <c r="A1267" s="72" t="inlineStr">
        <is>
          <t>8100-1002</t>
        </is>
      </c>
      <c r="B1267" s="72" t="inlineStr">
        <is>
          <t>Depreciation Expense - 754</t>
        </is>
      </c>
      <c r="C1267" s="72" t="inlineStr">
        <is>
          <t>Debit</t>
        </is>
      </c>
      <c r="D1267" s="72" t="inlineStr">
        <is>
          <t>Reg</t>
        </is>
      </c>
      <c r="E1267" s="72" t="inlineStr">
        <is>
          <t>Inc</t>
        </is>
      </c>
      <c r="F1267" s="12" t="n">
        <v>8</v>
      </c>
      <c r="G1267" s="12" t="n">
        <v>1</v>
      </c>
      <c r="H1267" s="72" t="n"/>
      <c r="I1267" s="72" t="n"/>
      <c r="J1267" s="72" t="n"/>
      <c r="K1267" s="72" t="n"/>
      <c r="L1267" s="72" t="n"/>
    </row>
    <row r="1268">
      <c r="A1268" s="72" t="inlineStr">
        <is>
          <t>8100-1003</t>
        </is>
      </c>
      <c r="B1268" s="72" t="inlineStr">
        <is>
          <t>A/D Building 754</t>
        </is>
      </c>
      <c r="C1268" s="72" t="inlineStr">
        <is>
          <t>Credit</t>
        </is>
      </c>
      <c r="D1268" s="72" t="inlineStr">
        <is>
          <t>Reg</t>
        </is>
      </c>
      <c r="E1268" s="72" t="inlineStr">
        <is>
          <t>Bal</t>
        </is>
      </c>
      <c r="F1268" s="12" t="n">
        <v>1</v>
      </c>
      <c r="G1268" s="12" t="n">
        <v>1</v>
      </c>
      <c r="H1268" s="72" t="n"/>
      <c r="I1268" s="72" t="n"/>
      <c r="J1268" s="72" t="n"/>
      <c r="K1268" s="72" t="inlineStr">
        <is>
          <t>1890-0000</t>
        </is>
      </c>
      <c r="L1268" s="72" t="inlineStr">
        <is>
          <t>Cash Flow</t>
        </is>
      </c>
    </row>
    <row r="1269">
      <c r="A1269" s="72" t="inlineStr">
        <is>
          <t>8110-0000</t>
        </is>
      </c>
      <c r="B1269" s="72" t="inlineStr">
        <is>
          <t>Elevator Repair/Replace Major</t>
        </is>
      </c>
      <c r="C1269" s="72" t="inlineStr">
        <is>
          <t>Debit</t>
        </is>
      </c>
      <c r="D1269" s="72" t="inlineStr">
        <is>
          <t>Reg</t>
        </is>
      </c>
      <c r="E1269" s="72" t="inlineStr">
        <is>
          <t>Inc</t>
        </is>
      </c>
      <c r="F1269" s="12" t="n">
        <v>8</v>
      </c>
      <c r="G1269" s="12" t="n">
        <v>1</v>
      </c>
      <c r="H1269" s="72" t="n"/>
      <c r="I1269" s="72" t="n"/>
      <c r="J1269" s="72" t="n"/>
      <c r="K1269" s="72" t="inlineStr">
        <is>
          <t>8390-0000</t>
        </is>
      </c>
      <c r="L1269" s="72" t="n"/>
    </row>
    <row r="1270">
      <c r="A1270" s="72" t="inlineStr">
        <is>
          <t>8150-0000</t>
        </is>
      </c>
      <c r="B1270" s="72" t="inlineStr">
        <is>
          <t>Carpet, Flooring and Cabinet Replacement</t>
        </is>
      </c>
      <c r="C1270" s="72" t="inlineStr">
        <is>
          <t>Debit</t>
        </is>
      </c>
      <c r="D1270" s="72" t="inlineStr">
        <is>
          <t>Reg</t>
        </is>
      </c>
      <c r="E1270" s="72" t="inlineStr">
        <is>
          <t>Inc</t>
        </is>
      </c>
      <c r="F1270" s="12" t="n">
        <v>8</v>
      </c>
      <c r="G1270" s="12" t="n">
        <v>1</v>
      </c>
      <c r="H1270" s="72" t="n"/>
      <c r="I1270" s="72" t="n"/>
      <c r="J1270" s="72" t="n"/>
      <c r="K1270" s="72" t="inlineStr">
        <is>
          <t>8390-0000</t>
        </is>
      </c>
      <c r="L1270" s="72" t="n"/>
    </row>
    <row r="1271">
      <c r="A1271" s="72" t="inlineStr">
        <is>
          <t>8160-0000</t>
        </is>
      </c>
      <c r="B1271" s="72" t="inlineStr">
        <is>
          <t>Painting</t>
        </is>
      </c>
      <c r="C1271" s="72" t="inlineStr">
        <is>
          <t>Debit</t>
        </is>
      </c>
      <c r="D1271" s="72" t="inlineStr">
        <is>
          <t>Reg</t>
        </is>
      </c>
      <c r="E1271" s="72" t="inlineStr">
        <is>
          <t>Inc</t>
        </is>
      </c>
      <c r="F1271" s="12" t="n">
        <v>8</v>
      </c>
      <c r="G1271" s="12" t="n">
        <v>1</v>
      </c>
      <c r="H1271" s="72" t="n"/>
      <c r="I1271" s="72" t="n"/>
      <c r="J1271" s="72" t="n"/>
      <c r="K1271" s="72" t="inlineStr">
        <is>
          <t>8390-0000</t>
        </is>
      </c>
      <c r="L1271" s="72" t="n"/>
    </row>
    <row r="1272">
      <c r="A1272" s="72" t="inlineStr">
        <is>
          <t>8161-0000</t>
        </is>
      </c>
      <c r="B1272" s="72" t="inlineStr">
        <is>
          <t>Blinds, Window, Window Treatments, Doors</t>
        </is>
      </c>
      <c r="C1272" s="72" t="inlineStr">
        <is>
          <t>Debit</t>
        </is>
      </c>
      <c r="D1272" s="72" t="inlineStr">
        <is>
          <t>Reg</t>
        </is>
      </c>
      <c r="E1272" s="72" t="inlineStr">
        <is>
          <t>Inc</t>
        </is>
      </c>
      <c r="F1272" s="12" t="n">
        <v>8</v>
      </c>
      <c r="G1272" s="12" t="n">
        <v>1</v>
      </c>
      <c r="H1272" s="72" t="n"/>
      <c r="I1272" s="72" t="n"/>
      <c r="J1272" s="72" t="n"/>
      <c r="K1272" s="72" t="inlineStr">
        <is>
          <t>8390-0000</t>
        </is>
      </c>
      <c r="L1272" s="72" t="n"/>
    </row>
    <row r="1273">
      <c r="A1273" s="72" t="inlineStr">
        <is>
          <t>8170-0000</t>
        </is>
      </c>
      <c r="B1273" s="72" t="inlineStr">
        <is>
          <t>Signage and Awnings</t>
        </is>
      </c>
      <c r="C1273" s="72" t="inlineStr">
        <is>
          <t>Debit</t>
        </is>
      </c>
      <c r="D1273" s="72" t="inlineStr">
        <is>
          <t>Reg</t>
        </is>
      </c>
      <c r="E1273" s="72" t="inlineStr">
        <is>
          <t>Inc</t>
        </is>
      </c>
      <c r="F1273" s="12" t="n">
        <v>8</v>
      </c>
      <c r="G1273" s="12" t="n">
        <v>1</v>
      </c>
      <c r="H1273" s="72" t="n"/>
      <c r="I1273" s="72" t="n"/>
      <c r="J1273" s="72" t="n"/>
      <c r="K1273" s="72" t="inlineStr">
        <is>
          <t>8390-0000</t>
        </is>
      </c>
      <c r="L1273" s="72" t="n"/>
    </row>
    <row r="1274">
      <c r="A1274" s="72" t="inlineStr">
        <is>
          <t>8179-9999</t>
        </is>
      </c>
      <c r="B1274" s="72" t="inlineStr">
        <is>
          <t>Repairs Major</t>
        </is>
      </c>
      <c r="C1274" s="72" t="inlineStr">
        <is>
          <t>Debit</t>
        </is>
      </c>
      <c r="D1274" s="72" t="inlineStr">
        <is>
          <t>Reg</t>
        </is>
      </c>
      <c r="E1274" s="72" t="inlineStr">
        <is>
          <t>Inc</t>
        </is>
      </c>
      <c r="F1274" s="12" t="n">
        <v>8</v>
      </c>
      <c r="G1274" s="12" t="n">
        <v>1</v>
      </c>
      <c r="H1274" s="72" t="n"/>
      <c r="I1274" s="72" t="n"/>
      <c r="J1274" s="72" t="n"/>
      <c r="K1274" s="72" t="inlineStr">
        <is>
          <t>8390-0000</t>
        </is>
      </c>
      <c r="L1274" s="72" t="n"/>
    </row>
    <row r="1275">
      <c r="A1275" s="72" t="inlineStr">
        <is>
          <t>8180-0000</t>
        </is>
      </c>
      <c r="B1275" s="72" t="inlineStr">
        <is>
          <t>Appliances</t>
        </is>
      </c>
      <c r="C1275" s="72" t="inlineStr">
        <is>
          <t>Debit</t>
        </is>
      </c>
      <c r="D1275" s="72" t="inlineStr">
        <is>
          <t>Reg</t>
        </is>
      </c>
      <c r="E1275" s="72" t="inlineStr">
        <is>
          <t>Inc</t>
        </is>
      </c>
      <c r="F1275" s="12" t="n">
        <v>8</v>
      </c>
      <c r="G1275" s="12" t="n">
        <v>1</v>
      </c>
      <c r="H1275" s="72" t="n"/>
      <c r="I1275" s="72" t="n"/>
      <c r="J1275" s="72" t="n"/>
      <c r="K1275" s="72" t="inlineStr">
        <is>
          <t>8390-0000</t>
        </is>
      </c>
      <c r="L1275" s="72" t="n"/>
    </row>
    <row r="1276">
      <c r="A1276" s="72" t="inlineStr">
        <is>
          <t>8180-0001</t>
        </is>
      </c>
      <c r="B1276" s="72" t="inlineStr">
        <is>
          <t>Roof Repairs and Replacement Major</t>
        </is>
      </c>
      <c r="C1276" s="72" t="inlineStr">
        <is>
          <t>Debit</t>
        </is>
      </c>
      <c r="D1276" s="72" t="inlineStr">
        <is>
          <t>Reg</t>
        </is>
      </c>
      <c r="E1276" s="72" t="inlineStr">
        <is>
          <t>Inc</t>
        </is>
      </c>
      <c r="F1276" s="12" t="n">
        <v>8</v>
      </c>
      <c r="G1276" s="12" t="n">
        <v>1</v>
      </c>
      <c r="H1276" s="72" t="n"/>
      <c r="I1276" s="72" t="n"/>
      <c r="J1276" s="72" t="n"/>
      <c r="K1276" s="72" t="inlineStr">
        <is>
          <t>8390-0000</t>
        </is>
      </c>
      <c r="L1276" s="72" t="n"/>
    </row>
    <row r="1277">
      <c r="A1277" s="72" t="inlineStr">
        <is>
          <t>8180-0002</t>
        </is>
      </c>
      <c r="B1277" s="72" t="inlineStr">
        <is>
          <t>Parking Lot Repairs and Replacement Major</t>
        </is>
      </c>
      <c r="C1277" s="72" t="inlineStr">
        <is>
          <t>Debit</t>
        </is>
      </c>
      <c r="D1277" s="72" t="inlineStr">
        <is>
          <t>Reg</t>
        </is>
      </c>
      <c r="E1277" s="72" t="inlineStr">
        <is>
          <t>Inc</t>
        </is>
      </c>
      <c r="F1277" s="12" t="n">
        <v>8</v>
      </c>
      <c r="G1277" s="12" t="n">
        <v>1</v>
      </c>
      <c r="H1277" s="72" t="n"/>
      <c r="I1277" s="72" t="n"/>
      <c r="J1277" s="72" t="n"/>
      <c r="K1277" s="72" t="inlineStr">
        <is>
          <t>8390-0000</t>
        </is>
      </c>
      <c r="L1277" s="72" t="n"/>
    </row>
    <row r="1278">
      <c r="A1278" s="72" t="inlineStr">
        <is>
          <t>8180-0003</t>
        </is>
      </c>
      <c r="B1278" s="72" t="inlineStr">
        <is>
          <t>Ceiling Tiles</t>
        </is>
      </c>
      <c r="C1278" s="72" t="inlineStr">
        <is>
          <t>Debit</t>
        </is>
      </c>
      <c r="D1278" s="72" t="inlineStr">
        <is>
          <t>Reg</t>
        </is>
      </c>
      <c r="E1278" s="72" t="inlineStr">
        <is>
          <t>Inc</t>
        </is>
      </c>
      <c r="F1278" s="12" t="n">
        <v>8</v>
      </c>
      <c r="G1278" s="12" t="n">
        <v>1</v>
      </c>
      <c r="H1278" s="72" t="n"/>
      <c r="I1278" s="72" t="n"/>
      <c r="J1278" s="72" t="n"/>
      <c r="K1278" s="72" t="inlineStr">
        <is>
          <t>8390-0000</t>
        </is>
      </c>
      <c r="L1278" s="72" t="n"/>
    </row>
    <row r="1279">
      <c r="A1279" s="72" t="inlineStr">
        <is>
          <t>8180-0004</t>
        </is>
      </c>
      <c r="B1279" s="72" t="inlineStr">
        <is>
          <t>Boiler, A/C, Hot H2O and Furnace Replacement</t>
        </is>
      </c>
      <c r="C1279" s="72" t="inlineStr">
        <is>
          <t>Debit</t>
        </is>
      </c>
      <c r="D1279" s="72" t="inlineStr">
        <is>
          <t>Reg</t>
        </is>
      </c>
      <c r="E1279" s="72" t="inlineStr">
        <is>
          <t>Inc</t>
        </is>
      </c>
      <c r="F1279" s="12" t="n">
        <v>8</v>
      </c>
      <c r="G1279" s="12" t="n">
        <v>1</v>
      </c>
      <c r="H1279" s="72" t="n"/>
      <c r="I1279" s="72" t="n"/>
      <c r="J1279" s="72" t="n"/>
      <c r="K1279" s="72" t="inlineStr">
        <is>
          <t>8390-0000</t>
        </is>
      </c>
      <c r="L1279" s="72" t="n"/>
    </row>
    <row r="1280">
      <c r="A1280" s="72" t="inlineStr">
        <is>
          <t>8180-0005</t>
        </is>
      </c>
      <c r="B1280" s="72" t="inlineStr">
        <is>
          <t>Storefront</t>
        </is>
      </c>
      <c r="C1280" s="72" t="inlineStr">
        <is>
          <t>Debit</t>
        </is>
      </c>
      <c r="D1280" s="72" t="inlineStr">
        <is>
          <t>Reg</t>
        </is>
      </c>
      <c r="E1280" s="72" t="inlineStr">
        <is>
          <t>Inc</t>
        </is>
      </c>
      <c r="F1280" s="12" t="n">
        <v>8</v>
      </c>
      <c r="G1280" s="12" t="n">
        <v>1</v>
      </c>
      <c r="H1280" s="72" t="n"/>
      <c r="I1280" s="72" t="n"/>
      <c r="J1280" s="72" t="n"/>
      <c r="K1280" s="72" t="inlineStr">
        <is>
          <t>8390-0000</t>
        </is>
      </c>
      <c r="L1280" s="72" t="n"/>
    </row>
    <row r="1281">
      <c r="A1281" s="72" t="inlineStr">
        <is>
          <t>8180-0009</t>
        </is>
      </c>
      <c r="B1281" s="72" t="inlineStr">
        <is>
          <t>Tenant Improvement</t>
        </is>
      </c>
      <c r="C1281" s="72" t="inlineStr">
        <is>
          <t>Debit</t>
        </is>
      </c>
      <c r="D1281" s="72" t="inlineStr">
        <is>
          <t>Reg</t>
        </is>
      </c>
      <c r="E1281" s="72" t="inlineStr">
        <is>
          <t>Inc</t>
        </is>
      </c>
      <c r="F1281" s="12" t="n">
        <v>8</v>
      </c>
      <c r="G1281" s="12" t="n">
        <v>1</v>
      </c>
      <c r="H1281" s="72" t="n"/>
      <c r="I1281" s="72" t="n"/>
      <c r="J1281" s="72" t="n"/>
      <c r="K1281" s="72" t="inlineStr">
        <is>
          <t>8390-0000</t>
        </is>
      </c>
      <c r="L1281" s="72" t="n"/>
    </row>
    <row r="1282">
      <c r="A1282" s="72" t="inlineStr">
        <is>
          <t>8180-0010</t>
        </is>
      </c>
      <c r="B1282" s="72" t="inlineStr">
        <is>
          <t>Real Property Improvement</t>
        </is>
      </c>
      <c r="C1282" s="72" t="inlineStr">
        <is>
          <t>Debit</t>
        </is>
      </c>
      <c r="D1282" s="72" t="inlineStr">
        <is>
          <t>Reg</t>
        </is>
      </c>
      <c r="E1282" s="72" t="inlineStr">
        <is>
          <t>Inc</t>
        </is>
      </c>
      <c r="F1282" s="12" t="n">
        <v>8</v>
      </c>
      <c r="G1282" s="12" t="n">
        <v>1</v>
      </c>
      <c r="H1282" s="72" t="n"/>
      <c r="I1282" s="72" t="n"/>
      <c r="J1282" s="72" t="n"/>
      <c r="K1282" s="72" t="inlineStr">
        <is>
          <t>8390-0000</t>
        </is>
      </c>
      <c r="L1282" s="72" t="n"/>
    </row>
    <row r="1283">
      <c r="A1283" s="72" t="inlineStr">
        <is>
          <t>8180-0011</t>
        </is>
      </c>
      <c r="B1283" s="72" t="inlineStr">
        <is>
          <t>Plumbing Repairs Major</t>
        </is>
      </c>
      <c r="C1283" s="72" t="inlineStr">
        <is>
          <t>Debit</t>
        </is>
      </c>
      <c r="D1283" s="72" t="inlineStr">
        <is>
          <t>Reg</t>
        </is>
      </c>
      <c r="E1283" s="72" t="inlineStr">
        <is>
          <t>Inc</t>
        </is>
      </c>
      <c r="F1283" s="12" t="n">
        <v>8</v>
      </c>
      <c r="G1283" s="12" t="n">
        <v>1</v>
      </c>
      <c r="H1283" s="72" t="n"/>
      <c r="I1283" s="72" t="n"/>
      <c r="J1283" s="72" t="n"/>
      <c r="K1283" s="72" t="inlineStr">
        <is>
          <t>8390-0000</t>
        </is>
      </c>
      <c r="L1283" s="72" t="n"/>
    </row>
    <row r="1284">
      <c r="A1284" s="72" t="inlineStr">
        <is>
          <t>8180-0012</t>
        </is>
      </c>
      <c r="B1284" s="72" t="inlineStr">
        <is>
          <t>Landscaping and Grounds Major</t>
        </is>
      </c>
      <c r="C1284" s="72" t="inlineStr">
        <is>
          <t>Debit</t>
        </is>
      </c>
      <c r="D1284" s="72" t="inlineStr">
        <is>
          <t>Reg</t>
        </is>
      </c>
      <c r="E1284" s="72" t="inlineStr">
        <is>
          <t>Inc</t>
        </is>
      </c>
      <c r="F1284" s="12" t="n">
        <v>8</v>
      </c>
      <c r="G1284" s="12" t="n">
        <v>1</v>
      </c>
      <c r="H1284" s="72" t="n"/>
      <c r="I1284" s="72" t="n"/>
      <c r="J1284" s="72" t="n"/>
      <c r="K1284" s="72" t="inlineStr">
        <is>
          <t>8390-0000</t>
        </is>
      </c>
      <c r="L1284" s="72" t="n"/>
    </row>
    <row r="1285">
      <c r="A1285" s="72" t="inlineStr">
        <is>
          <t>8180-0013</t>
        </is>
      </c>
      <c r="B1285" s="72" t="inlineStr">
        <is>
          <t>Architectural Drawings</t>
        </is>
      </c>
      <c r="C1285" s="72" t="inlineStr">
        <is>
          <t>Debit</t>
        </is>
      </c>
      <c r="D1285" s="72" t="inlineStr">
        <is>
          <t>Reg</t>
        </is>
      </c>
      <c r="E1285" s="72" t="inlineStr">
        <is>
          <t>Inc</t>
        </is>
      </c>
      <c r="F1285" s="12" t="n">
        <v>8</v>
      </c>
      <c r="G1285" s="12" t="n">
        <v>1</v>
      </c>
      <c r="H1285" s="72" t="n"/>
      <c r="I1285" s="72" t="n"/>
      <c r="J1285" s="72" t="n"/>
      <c r="K1285" s="72" t="inlineStr">
        <is>
          <t>8390-0000</t>
        </is>
      </c>
      <c r="L1285" s="72" t="n"/>
    </row>
    <row r="1286">
      <c r="A1286" s="72" t="inlineStr">
        <is>
          <t>8180-0014</t>
        </is>
      </c>
      <c r="B1286" s="72" t="inlineStr">
        <is>
          <t>Appraisal Fees</t>
        </is>
      </c>
      <c r="C1286" s="72" t="inlineStr">
        <is>
          <t>Debit</t>
        </is>
      </c>
      <c r="D1286" s="72" t="inlineStr">
        <is>
          <t>Reg</t>
        </is>
      </c>
      <c r="E1286" s="72" t="inlineStr">
        <is>
          <t>Inc</t>
        </is>
      </c>
      <c r="F1286" s="12" t="n">
        <v>8</v>
      </c>
      <c r="G1286" s="12" t="n">
        <v>1</v>
      </c>
      <c r="H1286" s="72" t="n"/>
      <c r="I1286" s="72" t="n"/>
      <c r="J1286" s="72" t="n"/>
      <c r="K1286" s="72" t="inlineStr">
        <is>
          <t>8390-0000</t>
        </is>
      </c>
      <c r="L1286" s="72" t="n"/>
    </row>
    <row r="1287">
      <c r="A1287" s="72" t="inlineStr">
        <is>
          <t>8180-0015</t>
        </is>
      </c>
      <c r="B1287" s="72" t="inlineStr">
        <is>
          <t>Lease Administration</t>
        </is>
      </c>
      <c r="C1287" s="72" t="inlineStr">
        <is>
          <t>Debit</t>
        </is>
      </c>
      <c r="D1287" s="72" t="inlineStr">
        <is>
          <t>Reg</t>
        </is>
      </c>
      <c r="E1287" s="72" t="inlineStr">
        <is>
          <t>Inc</t>
        </is>
      </c>
      <c r="F1287" s="12" t="n">
        <v>8</v>
      </c>
      <c r="G1287" s="12" t="n">
        <v>1</v>
      </c>
      <c r="H1287" s="72" t="n"/>
      <c r="I1287" s="72" t="n"/>
      <c r="J1287" s="72" t="n"/>
      <c r="K1287" s="72" t="inlineStr">
        <is>
          <t>8390-0000</t>
        </is>
      </c>
      <c r="L1287" s="72" t="n"/>
    </row>
    <row r="1288">
      <c r="A1288" s="72" t="inlineStr">
        <is>
          <t>8180-0016</t>
        </is>
      </c>
      <c r="B1288" s="72" t="inlineStr">
        <is>
          <t>Recruitment</t>
        </is>
      </c>
      <c r="C1288" s="72" t="inlineStr">
        <is>
          <t>Debit</t>
        </is>
      </c>
      <c r="D1288" s="72" t="inlineStr">
        <is>
          <t>Reg</t>
        </is>
      </c>
      <c r="E1288" s="72" t="inlineStr">
        <is>
          <t>Inc</t>
        </is>
      </c>
      <c r="F1288" s="12" t="n">
        <v>8</v>
      </c>
      <c r="G1288" s="12" t="n">
        <v>1</v>
      </c>
      <c r="H1288" s="72" t="n"/>
      <c r="I1288" s="72" t="n"/>
      <c r="J1288" s="72" t="n"/>
      <c r="K1288" s="72" t="inlineStr">
        <is>
          <t>8390-0000</t>
        </is>
      </c>
      <c r="L1288" s="72" t="n"/>
    </row>
    <row r="1289">
      <c r="A1289" s="72" t="inlineStr">
        <is>
          <t>8180-0017</t>
        </is>
      </c>
      <c r="B1289" s="72" t="inlineStr">
        <is>
          <t>Inspections For Review to Purchase New Assets</t>
        </is>
      </c>
      <c r="C1289" s="72" t="inlineStr">
        <is>
          <t>Debit</t>
        </is>
      </c>
      <c r="D1289" s="72" t="inlineStr">
        <is>
          <t>Reg</t>
        </is>
      </c>
      <c r="E1289" s="72" t="inlineStr">
        <is>
          <t>Inc</t>
        </is>
      </c>
      <c r="F1289" s="12" t="n">
        <v>8</v>
      </c>
      <c r="G1289" s="12" t="n">
        <v>1</v>
      </c>
      <c r="H1289" s="72" t="n"/>
      <c r="I1289" s="72" t="n"/>
      <c r="J1289" s="72" t="n"/>
      <c r="K1289" s="72" t="inlineStr">
        <is>
          <t>8390-0000</t>
        </is>
      </c>
      <c r="L1289" s="72" t="n"/>
    </row>
    <row r="1290">
      <c r="A1290" s="72" t="inlineStr">
        <is>
          <t>8180-0105</t>
        </is>
      </c>
      <c r="B1290" s="72" t="inlineStr">
        <is>
          <t>Audit Services</t>
        </is>
      </c>
      <c r="C1290" s="72" t="inlineStr">
        <is>
          <t>Debit</t>
        </is>
      </c>
      <c r="D1290" s="72" t="inlineStr">
        <is>
          <t>Reg</t>
        </is>
      </c>
      <c r="E1290" s="72" t="inlineStr">
        <is>
          <t>Inc</t>
        </is>
      </c>
      <c r="F1290" s="12" t="n">
        <v>8</v>
      </c>
      <c r="G1290" s="12" t="n">
        <v>1</v>
      </c>
      <c r="H1290" s="72" t="n"/>
      <c r="I1290" s="72" t="n"/>
      <c r="J1290" s="72" t="n"/>
      <c r="K1290" s="72" t="inlineStr">
        <is>
          <t>8390-0000</t>
        </is>
      </c>
      <c r="L1290" s="72" t="n"/>
    </row>
    <row r="1291">
      <c r="A1291" s="72" t="inlineStr">
        <is>
          <t>8180-0200</t>
        </is>
      </c>
      <c r="B1291" s="72" t="inlineStr">
        <is>
          <t>Leasing Commissions</t>
        </is>
      </c>
      <c r="C1291" s="72" t="inlineStr">
        <is>
          <t>Debit</t>
        </is>
      </c>
      <c r="D1291" s="72" t="inlineStr">
        <is>
          <t>Reg</t>
        </is>
      </c>
      <c r="E1291" s="72" t="inlineStr">
        <is>
          <t>Inc</t>
        </is>
      </c>
      <c r="F1291" s="12" t="n">
        <v>8</v>
      </c>
      <c r="G1291" s="12" t="n">
        <v>1</v>
      </c>
      <c r="H1291" s="72" t="n"/>
      <c r="I1291" s="72" t="n"/>
      <c r="J1291" s="72" t="n"/>
      <c r="K1291" s="72" t="inlineStr">
        <is>
          <t>8390-0000</t>
        </is>
      </c>
      <c r="L1291" s="72" t="n"/>
    </row>
    <row r="1292">
      <c r="A1292" s="72" t="inlineStr">
        <is>
          <t>8180-0201</t>
        </is>
      </c>
      <c r="B1292" s="72" t="inlineStr">
        <is>
          <t>Sales Commissions</t>
        </is>
      </c>
      <c r="C1292" s="72" t="inlineStr">
        <is>
          <t>Debit</t>
        </is>
      </c>
      <c r="D1292" s="72" t="inlineStr">
        <is>
          <t>Reg</t>
        </is>
      </c>
      <c r="E1292" s="72" t="inlineStr">
        <is>
          <t>Inc</t>
        </is>
      </c>
      <c r="F1292" s="12" t="n">
        <v>8</v>
      </c>
      <c r="G1292" s="12" t="n">
        <v>1</v>
      </c>
      <c r="H1292" s="72" t="n"/>
      <c r="I1292" s="72" t="n"/>
      <c r="J1292" s="72" t="n"/>
      <c r="K1292" s="72" t="inlineStr">
        <is>
          <t>8390-0000</t>
        </is>
      </c>
      <c r="L1292" s="72" t="n"/>
    </row>
    <row r="1293">
      <c r="A1293" s="72" t="inlineStr">
        <is>
          <t>8180-1001</t>
        </is>
      </c>
      <c r="B1293" s="72" t="inlineStr">
        <is>
          <t>Property Rental Expense</t>
        </is>
      </c>
      <c r="C1293" s="72" t="inlineStr">
        <is>
          <t>Debit</t>
        </is>
      </c>
      <c r="D1293" s="72" t="inlineStr">
        <is>
          <t>Reg</t>
        </is>
      </c>
      <c r="E1293" s="72" t="inlineStr">
        <is>
          <t>Inc</t>
        </is>
      </c>
      <c r="F1293" s="12" t="n">
        <v>8</v>
      </c>
      <c r="G1293" s="12" t="n">
        <v>1</v>
      </c>
      <c r="H1293" s="72" t="n"/>
      <c r="I1293" s="72" t="n"/>
      <c r="J1293" s="72" t="n"/>
      <c r="K1293" s="72" t="inlineStr">
        <is>
          <t>8390-0000</t>
        </is>
      </c>
      <c r="L1293" s="72" t="n"/>
    </row>
    <row r="1294">
      <c r="A1294" s="72" t="inlineStr">
        <is>
          <t>8181-0000</t>
        </is>
      </c>
      <c r="B1294" s="72" t="inlineStr">
        <is>
          <t>Closing Costs</t>
        </is>
      </c>
      <c r="C1294" s="72" t="inlineStr">
        <is>
          <t>Debit</t>
        </is>
      </c>
      <c r="D1294" s="72" t="inlineStr">
        <is>
          <t>Reg</t>
        </is>
      </c>
      <c r="E1294" s="72" t="inlineStr">
        <is>
          <t>Inc</t>
        </is>
      </c>
      <c r="F1294" s="12" t="n">
        <v>8</v>
      </c>
      <c r="G1294" s="12" t="n">
        <v>1</v>
      </c>
      <c r="H1294" s="72" t="n"/>
      <c r="I1294" s="72" t="n"/>
      <c r="J1294" s="72" t="n"/>
      <c r="K1294" s="72" t="inlineStr">
        <is>
          <t>8390-0000</t>
        </is>
      </c>
      <c r="L1294" s="72" t="n"/>
    </row>
    <row r="1295">
      <c r="A1295" s="72" t="inlineStr">
        <is>
          <t>8181-0100</t>
        </is>
      </c>
      <c r="B1295" s="72" t="inlineStr">
        <is>
          <t>Due Diligence</t>
        </is>
      </c>
      <c r="C1295" s="72" t="inlineStr">
        <is>
          <t>Debit</t>
        </is>
      </c>
      <c r="D1295" s="72" t="inlineStr">
        <is>
          <t>Reg</t>
        </is>
      </c>
      <c r="E1295" s="72" t="inlineStr">
        <is>
          <t>Inc</t>
        </is>
      </c>
      <c r="F1295" s="12" t="n">
        <v>8</v>
      </c>
      <c r="G1295" s="12" t="n">
        <v>1</v>
      </c>
      <c r="H1295" s="72" t="n"/>
      <c r="I1295" s="72" t="n"/>
      <c r="J1295" s="72" t="n"/>
      <c r="K1295" s="72" t="inlineStr">
        <is>
          <t>8390-0000</t>
        </is>
      </c>
      <c r="L1295" s="72" t="n"/>
    </row>
    <row r="1296">
      <c r="A1296" s="72" t="inlineStr">
        <is>
          <t>8181-0101</t>
        </is>
      </c>
      <c r="B1296" s="72" t="inlineStr">
        <is>
          <t>Loan Origination Fees</t>
        </is>
      </c>
      <c r="C1296" s="72" t="inlineStr">
        <is>
          <t>Debit</t>
        </is>
      </c>
      <c r="D1296" s="72" t="inlineStr">
        <is>
          <t>Reg</t>
        </is>
      </c>
      <c r="E1296" s="72" t="inlineStr">
        <is>
          <t>Inc</t>
        </is>
      </c>
      <c r="F1296" s="12" t="n">
        <v>8</v>
      </c>
      <c r="G1296" s="12" t="n">
        <v>1</v>
      </c>
      <c r="H1296" s="72" t="n"/>
      <c r="I1296" s="72" t="n"/>
      <c r="J1296" s="72" t="n"/>
      <c r="K1296" s="72" t="inlineStr">
        <is>
          <t>8390-0000</t>
        </is>
      </c>
      <c r="L1296" s="72" t="n"/>
    </row>
    <row r="1297">
      <c r="A1297" s="72" t="inlineStr">
        <is>
          <t>8181-0102</t>
        </is>
      </c>
      <c r="B1297" s="72" t="inlineStr">
        <is>
          <t>Setup Costs</t>
        </is>
      </c>
      <c r="C1297" s="72" t="inlineStr">
        <is>
          <t>Debit</t>
        </is>
      </c>
      <c r="D1297" s="72" t="inlineStr">
        <is>
          <t>Reg</t>
        </is>
      </c>
      <c r="E1297" s="72" t="inlineStr">
        <is>
          <t>Inc</t>
        </is>
      </c>
      <c r="F1297" s="12" t="n">
        <v>8</v>
      </c>
      <c r="G1297" s="12" t="n">
        <v>1</v>
      </c>
      <c r="H1297" s="72" t="n"/>
      <c r="I1297" s="72" t="n"/>
      <c r="J1297" s="72" t="n"/>
      <c r="K1297" s="72" t="inlineStr">
        <is>
          <t>8390-0000</t>
        </is>
      </c>
      <c r="L1297" s="72" t="n"/>
    </row>
    <row r="1298">
      <c r="A1298" s="72" t="inlineStr">
        <is>
          <t>8181-0103</t>
        </is>
      </c>
      <c r="B1298" s="72" t="inlineStr">
        <is>
          <t>Professional Consulting</t>
        </is>
      </c>
      <c r="C1298" s="72" t="inlineStr">
        <is>
          <t>Debit</t>
        </is>
      </c>
      <c r="D1298" s="72" t="inlineStr">
        <is>
          <t>Reg</t>
        </is>
      </c>
      <c r="E1298" s="72" t="inlineStr">
        <is>
          <t>Inc</t>
        </is>
      </c>
      <c r="F1298" s="12" t="n">
        <v>8</v>
      </c>
      <c r="G1298" s="12" t="n">
        <v>1</v>
      </c>
      <c r="H1298" s="72" t="n"/>
      <c r="I1298" s="72" t="n"/>
      <c r="J1298" s="72" t="n"/>
      <c r="K1298" s="72" t="inlineStr">
        <is>
          <t>8390-0000</t>
        </is>
      </c>
      <c r="L1298" s="72" t="n"/>
    </row>
    <row r="1299">
      <c r="A1299" s="72" t="inlineStr">
        <is>
          <t>8181-0104</t>
        </is>
      </c>
      <c r="B1299" s="72" t="inlineStr">
        <is>
          <t>Reimburse Travel Expenses</t>
        </is>
      </c>
      <c r="C1299" s="72" t="inlineStr">
        <is>
          <t>Debit</t>
        </is>
      </c>
      <c r="D1299" s="72" t="inlineStr">
        <is>
          <t>Reg</t>
        </is>
      </c>
      <c r="E1299" s="72" t="inlineStr">
        <is>
          <t>Inc</t>
        </is>
      </c>
      <c r="F1299" s="12" t="n">
        <v>8</v>
      </c>
      <c r="G1299" s="12" t="n">
        <v>1</v>
      </c>
      <c r="H1299" s="72" t="n"/>
      <c r="I1299" s="72" t="n"/>
      <c r="J1299" s="72" t="n"/>
      <c r="K1299" s="72" t="inlineStr">
        <is>
          <t>8390-0000</t>
        </is>
      </c>
      <c r="L1299" s="72" t="n"/>
    </row>
    <row r="1300">
      <c r="A1300" s="72" t="inlineStr">
        <is>
          <t>8181-0105</t>
        </is>
      </c>
      <c r="B1300" s="72" t="inlineStr">
        <is>
          <t>Taxes &amp; Licenses</t>
        </is>
      </c>
      <c r="C1300" s="72" t="inlineStr">
        <is>
          <t>Debit</t>
        </is>
      </c>
      <c r="D1300" s="72" t="inlineStr">
        <is>
          <t>Reg</t>
        </is>
      </c>
      <c r="E1300" s="72" t="inlineStr">
        <is>
          <t>Inc</t>
        </is>
      </c>
      <c r="F1300" s="12" t="n">
        <v>8</v>
      </c>
      <c r="G1300" s="12" t="n">
        <v>1</v>
      </c>
      <c r="H1300" s="72" t="n"/>
      <c r="I1300" s="72" t="n"/>
      <c r="J1300" s="72" t="n"/>
      <c r="K1300" s="72" t="inlineStr">
        <is>
          <t>8390-0000</t>
        </is>
      </c>
      <c r="L1300" s="72" t="n"/>
    </row>
    <row r="1301">
      <c r="A1301" s="72" t="inlineStr">
        <is>
          <t>8181-0110</t>
        </is>
      </c>
      <c r="B1301" s="72" t="inlineStr">
        <is>
          <t>Acquisition Legal Fees</t>
        </is>
      </c>
      <c r="C1301" s="72" t="inlineStr">
        <is>
          <t>Debit</t>
        </is>
      </c>
      <c r="D1301" s="72" t="inlineStr">
        <is>
          <t>Reg</t>
        </is>
      </c>
      <c r="E1301" s="72" t="inlineStr">
        <is>
          <t>Inc</t>
        </is>
      </c>
      <c r="F1301" s="12" t="n">
        <v>8</v>
      </c>
      <c r="G1301" s="12" t="n">
        <v>1</v>
      </c>
      <c r="H1301" s="72" t="n"/>
      <c r="I1301" s="72" t="n"/>
      <c r="J1301" s="72" t="n"/>
      <c r="K1301" s="72" t="inlineStr">
        <is>
          <t>8390-0000</t>
        </is>
      </c>
      <c r="L1301" s="72" t="n"/>
    </row>
    <row r="1302">
      <c r="A1302" s="72" t="inlineStr">
        <is>
          <t>8181-0112</t>
        </is>
      </c>
      <c r="B1302" s="72" t="inlineStr">
        <is>
          <t>Receiver Expenses Reimbursable</t>
        </is>
      </c>
      <c r="C1302" s="72" t="inlineStr">
        <is>
          <t>Debit</t>
        </is>
      </c>
      <c r="D1302" s="72" t="inlineStr">
        <is>
          <t>Reg</t>
        </is>
      </c>
      <c r="E1302" s="72" t="inlineStr">
        <is>
          <t>Inc</t>
        </is>
      </c>
      <c r="F1302" s="12" t="n">
        <v>8</v>
      </c>
      <c r="G1302" s="12" t="n">
        <v>1</v>
      </c>
      <c r="H1302" s="72" t="n"/>
      <c r="I1302" s="72" t="n"/>
      <c r="J1302" s="72" t="n"/>
      <c r="K1302" s="72" t="inlineStr">
        <is>
          <t>8390-0000</t>
        </is>
      </c>
      <c r="L1302" s="72" t="n"/>
    </row>
    <row r="1303">
      <c r="A1303" s="72" t="inlineStr">
        <is>
          <t>8181-0113</t>
        </is>
      </c>
      <c r="B1303" s="72" t="inlineStr">
        <is>
          <t>Receiver Fees</t>
        </is>
      </c>
      <c r="C1303" s="72" t="inlineStr">
        <is>
          <t>Debit</t>
        </is>
      </c>
      <c r="D1303" s="72" t="inlineStr">
        <is>
          <t>Reg</t>
        </is>
      </c>
      <c r="E1303" s="72" t="inlineStr">
        <is>
          <t>Inc</t>
        </is>
      </c>
      <c r="F1303" s="12" t="n">
        <v>8</v>
      </c>
      <c r="G1303" s="12" t="n">
        <v>1</v>
      </c>
      <c r="H1303" s="72" t="n"/>
      <c r="I1303" s="72" t="n"/>
      <c r="J1303" s="72" t="n"/>
      <c r="K1303" s="72" t="inlineStr">
        <is>
          <t>8390-0000</t>
        </is>
      </c>
      <c r="L1303" s="72" t="n"/>
    </row>
    <row r="1304">
      <c r="A1304" s="72" t="inlineStr">
        <is>
          <t>8181-0114</t>
        </is>
      </c>
      <c r="B1304" s="72" t="inlineStr">
        <is>
          <t>RE Tax Appeal costs</t>
        </is>
      </c>
      <c r="C1304" s="72" t="inlineStr">
        <is>
          <t>Debit</t>
        </is>
      </c>
      <c r="D1304" s="72" t="inlineStr">
        <is>
          <t>Reg</t>
        </is>
      </c>
      <c r="E1304" s="72" t="inlineStr">
        <is>
          <t>Inc</t>
        </is>
      </c>
      <c r="F1304" s="12" t="n">
        <v>8</v>
      </c>
      <c r="G1304" s="12" t="n">
        <v>1</v>
      </c>
      <c r="H1304" s="72" t="n"/>
      <c r="I1304" s="72" t="n"/>
      <c r="J1304" s="72" t="n"/>
      <c r="K1304" s="72" t="inlineStr">
        <is>
          <t>8390-0000</t>
        </is>
      </c>
      <c r="L1304" s="72" t="n"/>
    </row>
    <row r="1305">
      <c r="A1305" s="72" t="inlineStr">
        <is>
          <t>8181-1000</t>
        </is>
      </c>
      <c r="B1305" s="72" t="inlineStr">
        <is>
          <t>Organizational Costs</t>
        </is>
      </c>
      <c r="C1305" s="72" t="inlineStr">
        <is>
          <t>Debit</t>
        </is>
      </c>
      <c r="D1305" s="72" t="inlineStr">
        <is>
          <t>Reg</t>
        </is>
      </c>
      <c r="E1305" s="72" t="inlineStr">
        <is>
          <t>Inc</t>
        </is>
      </c>
      <c r="F1305" s="12" t="n">
        <v>8</v>
      </c>
      <c r="G1305" s="12" t="n">
        <v>1</v>
      </c>
      <c r="H1305" s="72" t="n"/>
      <c r="I1305" s="72" t="n"/>
      <c r="J1305" s="72" t="n"/>
      <c r="K1305" s="72" t="inlineStr">
        <is>
          <t>8390-0000</t>
        </is>
      </c>
      <c r="L1305" s="72" t="n"/>
    </row>
    <row r="1306">
      <c r="A1306" s="72" t="inlineStr">
        <is>
          <t>8181-1500</t>
        </is>
      </c>
      <c r="B1306" s="72" t="inlineStr">
        <is>
          <t>Transfer To From</t>
        </is>
      </c>
      <c r="C1306" s="72" t="inlineStr">
        <is>
          <t>Debit</t>
        </is>
      </c>
      <c r="D1306" s="72" t="inlineStr">
        <is>
          <t>Reg</t>
        </is>
      </c>
      <c r="E1306" s="72" t="inlineStr">
        <is>
          <t>Inc</t>
        </is>
      </c>
      <c r="F1306" s="12" t="n">
        <v>8</v>
      </c>
      <c r="G1306" s="12" t="n">
        <v>1</v>
      </c>
      <c r="H1306" s="72" t="n"/>
      <c r="I1306" s="72" t="n"/>
      <c r="J1306" s="72" t="n"/>
      <c r="K1306" s="72" t="inlineStr">
        <is>
          <t>8390-0000</t>
        </is>
      </c>
      <c r="L1306" s="72" t="n"/>
    </row>
    <row r="1307">
      <c r="A1307" s="72" t="inlineStr">
        <is>
          <t>8181-2000</t>
        </is>
      </c>
      <c r="B1307" s="72" t="inlineStr">
        <is>
          <t>Owners Title Insurance</t>
        </is>
      </c>
      <c r="C1307" s="72" t="inlineStr">
        <is>
          <t>Debit</t>
        </is>
      </c>
      <c r="D1307" s="72" t="inlineStr">
        <is>
          <t>Reg</t>
        </is>
      </c>
      <c r="E1307" s="72" t="inlineStr">
        <is>
          <t>Inc</t>
        </is>
      </c>
      <c r="F1307" s="12" t="n">
        <v>8</v>
      </c>
      <c r="G1307" s="12" t="n">
        <v>1</v>
      </c>
      <c r="H1307" s="72" t="n"/>
      <c r="I1307" s="72" t="n"/>
      <c r="J1307" s="72" t="n"/>
      <c r="K1307" s="72" t="inlineStr">
        <is>
          <t>8390-0000</t>
        </is>
      </c>
      <c r="L1307" s="72" t="n"/>
    </row>
    <row r="1308">
      <c r="A1308" s="72" t="inlineStr">
        <is>
          <t>8181-2001</t>
        </is>
      </c>
      <c r="B1308" s="72" t="inlineStr">
        <is>
          <t>Receivership Proceeds</t>
        </is>
      </c>
      <c r="C1308" s="72" t="inlineStr">
        <is>
          <t>Credit</t>
        </is>
      </c>
      <c r="D1308" s="72" t="inlineStr">
        <is>
          <t>Reg</t>
        </is>
      </c>
      <c r="E1308" s="72" t="inlineStr">
        <is>
          <t>Inc</t>
        </is>
      </c>
      <c r="F1308" s="12" t="n">
        <v>8</v>
      </c>
      <c r="G1308" s="12" t="n">
        <v>1</v>
      </c>
      <c r="H1308" s="72" t="n"/>
      <c r="I1308" s="72" t="n"/>
      <c r="J1308" s="72" t="n"/>
      <c r="K1308" s="72" t="inlineStr">
        <is>
          <t>8390-0000</t>
        </is>
      </c>
      <c r="L1308" s="72" t="n"/>
    </row>
    <row r="1309">
      <c r="A1309" s="72" t="inlineStr">
        <is>
          <t>8389-9999</t>
        </is>
      </c>
      <c r="B1309" s="72" t="inlineStr">
        <is>
          <t>Miscelleneous Non-Operating Expense</t>
        </is>
      </c>
      <c r="C1309" s="72" t="inlineStr">
        <is>
          <t>Debit</t>
        </is>
      </c>
      <c r="D1309" s="72" t="inlineStr">
        <is>
          <t>Reg</t>
        </is>
      </c>
      <c r="E1309" s="72" t="inlineStr">
        <is>
          <t>Inc</t>
        </is>
      </c>
      <c r="F1309" s="12" t="n">
        <v>8</v>
      </c>
      <c r="G1309" s="12" t="n">
        <v>1</v>
      </c>
      <c r="H1309" s="72" t="n"/>
      <c r="I1309" s="72" t="n"/>
      <c r="J1309" s="72" t="n"/>
      <c r="K1309" s="72" t="inlineStr">
        <is>
          <t>8390-0000</t>
        </is>
      </c>
      <c r="L1309" s="72" t="inlineStr">
        <is>
          <t>Cash Flow</t>
        </is>
      </c>
    </row>
    <row r="1310">
      <c r="A1310" s="72" t="inlineStr">
        <is>
          <t>8390-0000</t>
        </is>
      </c>
      <c r="B1310" s="72" t="inlineStr">
        <is>
          <t>TOTAL NON-RECURRING EXPENSES</t>
        </is>
      </c>
      <c r="C1310" s="72" t="inlineStr">
        <is>
          <t>Debit</t>
        </is>
      </c>
      <c r="D1310" s="72" t="inlineStr">
        <is>
          <t>Tot</t>
        </is>
      </c>
      <c r="E1310" s="72" t="inlineStr">
        <is>
          <t>Inc</t>
        </is>
      </c>
      <c r="F1310" s="12" t="n">
        <v>12</v>
      </c>
      <c r="G1310" s="12" t="n">
        <v>1</v>
      </c>
      <c r="H1310" s="72" t="n"/>
      <c r="I1310" s="72" t="n"/>
      <c r="J1310" s="72" t="n"/>
      <c r="K1310" s="72" t="inlineStr">
        <is>
          <t>8990-0000</t>
        </is>
      </c>
      <c r="L1310" s="72" t="n"/>
    </row>
    <row r="1311">
      <c r="A1311" s="72" t="inlineStr">
        <is>
          <t>8500-0000</t>
        </is>
      </c>
      <c r="B1311" s="72" t="inlineStr">
        <is>
          <t>LOAN INTEREST EXPENSE</t>
        </is>
      </c>
      <c r="C1311" s="72" t="inlineStr">
        <is>
          <t>Debit</t>
        </is>
      </c>
      <c r="D1311" s="72" t="inlineStr">
        <is>
          <t>Head</t>
        </is>
      </c>
      <c r="E1311" s="72" t="inlineStr">
        <is>
          <t>Inc</t>
        </is>
      </c>
      <c r="F1311" s="12" t="n">
        <v>4</v>
      </c>
      <c r="G1311" s="12" t="n">
        <v>2</v>
      </c>
      <c r="H1311" s="72" t="n"/>
      <c r="I1311" s="72" t="n"/>
      <c r="J1311" s="72" t="n"/>
      <c r="K1311" s="72" t="n"/>
      <c r="L1311" s="72" t="n"/>
    </row>
    <row r="1312">
      <c r="A1312" s="72" t="inlineStr">
        <is>
          <t>8510-0000</t>
        </is>
      </c>
      <c r="B1312" s="72" t="inlineStr">
        <is>
          <t>1st Mortgage Interest</t>
        </is>
      </c>
      <c r="C1312" s="72" t="inlineStr">
        <is>
          <t>Debit</t>
        </is>
      </c>
      <c r="D1312" s="72" t="inlineStr">
        <is>
          <t>Reg</t>
        </is>
      </c>
      <c r="E1312" s="72" t="inlineStr">
        <is>
          <t>Inc</t>
        </is>
      </c>
      <c r="F1312" s="12" t="n">
        <v>8</v>
      </c>
      <c r="G1312" s="12" t="n">
        <v>1</v>
      </c>
      <c r="H1312" s="72" t="n"/>
      <c r="I1312" s="72" t="n"/>
      <c r="J1312" s="72" t="n"/>
      <c r="K1312" s="72" t="inlineStr">
        <is>
          <t>8590-0000</t>
        </is>
      </c>
      <c r="L1312" s="72" t="n"/>
    </row>
    <row r="1313">
      <c r="A1313" s="72" t="inlineStr">
        <is>
          <t>8520-0000</t>
        </is>
      </c>
      <c r="B1313" s="72" t="inlineStr">
        <is>
          <t>2nd Mortgage Interest</t>
        </is>
      </c>
      <c r="C1313" s="72" t="inlineStr">
        <is>
          <t>Debit</t>
        </is>
      </c>
      <c r="D1313" s="72" t="inlineStr">
        <is>
          <t>Reg</t>
        </is>
      </c>
      <c r="E1313" s="72" t="inlineStr">
        <is>
          <t>Inc</t>
        </is>
      </c>
      <c r="F1313" s="12" t="n">
        <v>8</v>
      </c>
      <c r="G1313" s="12" t="n">
        <v>1</v>
      </c>
      <c r="H1313" s="72" t="n"/>
      <c r="I1313" s="72" t="n"/>
      <c r="J1313" s="72" t="n"/>
      <c r="K1313" s="72" t="inlineStr">
        <is>
          <t>8590-0000</t>
        </is>
      </c>
      <c r="L1313" s="72" t="n"/>
    </row>
    <row r="1314">
      <c r="A1314" s="72" t="inlineStr">
        <is>
          <t>8530-0000</t>
        </is>
      </c>
      <c r="B1314" s="72" t="inlineStr">
        <is>
          <t>3rd Mortgage Interest</t>
        </is>
      </c>
      <c r="C1314" s="72" t="inlineStr">
        <is>
          <t>Debit</t>
        </is>
      </c>
      <c r="D1314" s="72" t="inlineStr">
        <is>
          <t>Reg</t>
        </is>
      </c>
      <c r="E1314" s="72" t="inlineStr">
        <is>
          <t>Inc</t>
        </is>
      </c>
      <c r="F1314" s="12" t="n">
        <v>8</v>
      </c>
      <c r="G1314" s="12" t="n">
        <v>1</v>
      </c>
      <c r="H1314" s="72" t="n"/>
      <c r="I1314" s="72" t="n"/>
      <c r="J1314" s="72" t="n"/>
      <c r="K1314" s="72" t="inlineStr">
        <is>
          <t>8590-0000</t>
        </is>
      </c>
      <c r="L1314" s="72" t="n"/>
    </row>
    <row r="1315">
      <c r="A1315" s="72" t="inlineStr">
        <is>
          <t>8540-0000</t>
        </is>
      </c>
      <c r="B1315" s="72" t="inlineStr">
        <is>
          <t>Loan Interest</t>
        </is>
      </c>
      <c r="C1315" s="72" t="inlineStr">
        <is>
          <t>Debit</t>
        </is>
      </c>
      <c r="D1315" s="72" t="inlineStr">
        <is>
          <t>Reg</t>
        </is>
      </c>
      <c r="E1315" s="72" t="inlineStr">
        <is>
          <t>Inc</t>
        </is>
      </c>
      <c r="F1315" s="12" t="n">
        <v>8</v>
      </c>
      <c r="G1315" s="12" t="n">
        <v>1</v>
      </c>
      <c r="H1315" s="72" t="n"/>
      <c r="I1315" s="72" t="n"/>
      <c r="J1315" s="72" t="n"/>
      <c r="K1315" s="72" t="inlineStr">
        <is>
          <t>8590-0000</t>
        </is>
      </c>
      <c r="L1315" s="72" t="n"/>
    </row>
    <row r="1316">
      <c r="A1316" s="72" t="inlineStr">
        <is>
          <t>8590-0000</t>
        </is>
      </c>
      <c r="B1316" s="72" t="inlineStr">
        <is>
          <t>TOTAL LOAN INTEREST</t>
        </is>
      </c>
      <c r="C1316" s="72" t="inlineStr">
        <is>
          <t>Debit</t>
        </is>
      </c>
      <c r="D1316" s="72" t="inlineStr">
        <is>
          <t>Tot</t>
        </is>
      </c>
      <c r="E1316" s="72" t="inlineStr">
        <is>
          <t>Inc</t>
        </is>
      </c>
      <c r="F1316" s="12" t="n">
        <v>12</v>
      </c>
      <c r="G1316" s="12" t="n">
        <v>1</v>
      </c>
      <c r="H1316" s="72" t="n"/>
      <c r="I1316" s="72" t="n"/>
      <c r="J1316" s="72" t="n"/>
      <c r="K1316" s="72" t="inlineStr">
        <is>
          <t>8990-0000</t>
        </is>
      </c>
      <c r="L1316" s="72" t="n"/>
    </row>
    <row r="1317">
      <c r="A1317" s="72" t="inlineStr">
        <is>
          <t>8590-0001</t>
        </is>
      </c>
      <c r="B1317" s="72" t="inlineStr">
        <is>
          <t>Federal Income Tax Payments</t>
        </is>
      </c>
      <c r="C1317" s="72" t="inlineStr">
        <is>
          <t>Debit</t>
        </is>
      </c>
      <c r="D1317" s="72" t="inlineStr">
        <is>
          <t>Reg</t>
        </is>
      </c>
      <c r="E1317" s="72" t="inlineStr">
        <is>
          <t>Inc</t>
        </is>
      </c>
      <c r="F1317" s="12" t="n">
        <v>8</v>
      </c>
      <c r="G1317" s="12" t="n">
        <v>2</v>
      </c>
      <c r="H1317" s="72" t="n"/>
      <c r="I1317" s="72" t="n"/>
      <c r="J1317" s="72" t="n"/>
      <c r="K1317" s="72" t="inlineStr">
        <is>
          <t>8990-0000</t>
        </is>
      </c>
      <c r="L1317" s="72" t="n"/>
    </row>
    <row r="1318">
      <c r="A1318" s="72" t="inlineStr">
        <is>
          <t>8590-0002</t>
        </is>
      </c>
      <c r="B1318" s="72" t="inlineStr">
        <is>
          <t>State Income Tax Payments</t>
        </is>
      </c>
      <c r="C1318" s="72" t="inlineStr">
        <is>
          <t>Debit</t>
        </is>
      </c>
      <c r="D1318" s="72" t="inlineStr">
        <is>
          <t>Reg</t>
        </is>
      </c>
      <c r="E1318" s="72" t="inlineStr">
        <is>
          <t>Inc</t>
        </is>
      </c>
      <c r="F1318" s="12" t="n">
        <v>8</v>
      </c>
      <c r="G1318" s="12" t="n">
        <v>2</v>
      </c>
      <c r="H1318" s="72" t="n"/>
      <c r="I1318" s="72" t="n"/>
      <c r="J1318" s="72" t="n"/>
      <c r="K1318" s="72" t="inlineStr">
        <is>
          <t>8990-0000</t>
        </is>
      </c>
      <c r="L1318" s="72" t="n"/>
    </row>
    <row r="1319">
      <c r="A1319" s="72" t="inlineStr">
        <is>
          <t>8590-0003</t>
        </is>
      </c>
      <c r="B1319" s="72" t="inlineStr">
        <is>
          <t>Local Income Tax Payments</t>
        </is>
      </c>
      <c r="C1319" s="72" t="inlineStr">
        <is>
          <t>Debit</t>
        </is>
      </c>
      <c r="D1319" s="72" t="inlineStr">
        <is>
          <t>Reg</t>
        </is>
      </c>
      <c r="E1319" s="72" t="inlineStr">
        <is>
          <t>Inc</t>
        </is>
      </c>
      <c r="F1319" s="12" t="n">
        <v>8</v>
      </c>
      <c r="G1319" s="12" t="n">
        <v>2</v>
      </c>
      <c r="H1319" s="72" t="n"/>
      <c r="I1319" s="72" t="n"/>
      <c r="J1319" s="72" t="n"/>
      <c r="K1319" s="72" t="inlineStr">
        <is>
          <t>8990-0000</t>
        </is>
      </c>
      <c r="L1319" s="72" t="n"/>
    </row>
    <row r="1320">
      <c r="A1320" s="72" t="inlineStr">
        <is>
          <t>8590-0004</t>
        </is>
      </c>
      <c r="B1320" s="72" t="inlineStr">
        <is>
          <t>Sales Tax</t>
        </is>
      </c>
      <c r="C1320" s="72" t="inlineStr">
        <is>
          <t>Debit</t>
        </is>
      </c>
      <c r="D1320" s="72" t="inlineStr">
        <is>
          <t>Reg</t>
        </is>
      </c>
      <c r="E1320" s="72" t="inlineStr">
        <is>
          <t>Inc</t>
        </is>
      </c>
      <c r="F1320" s="12" t="n">
        <v>8</v>
      </c>
      <c r="G1320" s="12" t="n">
        <v>2</v>
      </c>
      <c r="H1320" s="72" t="n"/>
      <c r="I1320" s="72" t="n"/>
      <c r="J1320" s="72" t="n"/>
      <c r="K1320" s="72" t="inlineStr">
        <is>
          <t>8990-0000</t>
        </is>
      </c>
      <c r="L1320" s="72" t="n"/>
    </row>
    <row r="1321">
      <c r="A1321" s="72" t="inlineStr">
        <is>
          <t>8590-0005</t>
        </is>
      </c>
      <c r="B1321" s="72" t="inlineStr">
        <is>
          <t>Parking Tax</t>
        </is>
      </c>
      <c r="C1321" s="72" t="inlineStr">
        <is>
          <t>Debit</t>
        </is>
      </c>
      <c r="D1321" s="72" t="inlineStr">
        <is>
          <t>Reg</t>
        </is>
      </c>
      <c r="E1321" s="72" t="inlineStr">
        <is>
          <t>Inc</t>
        </is>
      </c>
      <c r="F1321" s="12" t="n">
        <v>8</v>
      </c>
      <c r="G1321" s="12" t="n">
        <v>2</v>
      </c>
      <c r="H1321" s="72" t="n"/>
      <c r="I1321" s="72" t="n"/>
      <c r="J1321" s="72" t="n"/>
      <c r="K1321" s="72" t="inlineStr">
        <is>
          <t>8990-0000</t>
        </is>
      </c>
      <c r="L1321" s="72" t="n"/>
    </row>
    <row r="1322">
      <c r="A1322" s="72" t="inlineStr">
        <is>
          <t>8590-0006</t>
        </is>
      </c>
      <c r="B1322" s="72" t="inlineStr">
        <is>
          <t>Personal Property Tax</t>
        </is>
      </c>
      <c r="C1322" s="72" t="inlineStr">
        <is>
          <t>Debit</t>
        </is>
      </c>
      <c r="D1322" s="72" t="inlineStr">
        <is>
          <t>Reg</t>
        </is>
      </c>
      <c r="E1322" s="72" t="inlineStr">
        <is>
          <t>Inc</t>
        </is>
      </c>
      <c r="F1322" s="12" t="n">
        <v>8</v>
      </c>
      <c r="G1322" s="12" t="n">
        <v>2</v>
      </c>
      <c r="H1322" s="72" t="n"/>
      <c r="I1322" s="72" t="n"/>
      <c r="J1322" s="72" t="n"/>
      <c r="K1322" s="72" t="inlineStr">
        <is>
          <t>8990-0000</t>
        </is>
      </c>
      <c r="L1322" s="72" t="inlineStr">
        <is>
          <t>Cash Flow</t>
        </is>
      </c>
    </row>
    <row r="1323">
      <c r="A1323" s="72" t="inlineStr">
        <is>
          <t>8600-0000</t>
        </is>
      </c>
      <c r="B1323" s="72" t="inlineStr">
        <is>
          <t>1099 Setup</t>
        </is>
      </c>
      <c r="C1323" s="72" t="inlineStr">
        <is>
          <t>Debit</t>
        </is>
      </c>
      <c r="D1323" s="72" t="inlineStr">
        <is>
          <t>Reg</t>
        </is>
      </c>
      <c r="E1323" s="72" t="inlineStr">
        <is>
          <t>Inc</t>
        </is>
      </c>
      <c r="F1323" s="12" t="n">
        <v>8</v>
      </c>
      <c r="G1323" s="12" t="n">
        <v>1</v>
      </c>
      <c r="H1323" s="72" t="n"/>
      <c r="I1323" s="72" t="n"/>
      <c r="J1323" s="72" t="n"/>
      <c r="K1323" s="72" t="inlineStr">
        <is>
          <t>8990-0000</t>
        </is>
      </c>
      <c r="L1323" s="72" t="n"/>
    </row>
    <row r="1324">
      <c r="A1324" s="72" t="inlineStr">
        <is>
          <t>8990-0000</t>
        </is>
      </c>
      <c r="B1324" s="72" t="inlineStr">
        <is>
          <t>TOTAL EXPENSES</t>
        </is>
      </c>
      <c r="C1324" s="72" t="inlineStr">
        <is>
          <t>Debit</t>
        </is>
      </c>
      <c r="D1324" s="72" t="inlineStr">
        <is>
          <t>Tot</t>
        </is>
      </c>
      <c r="E1324" s="72" t="inlineStr">
        <is>
          <t>Inc</t>
        </is>
      </c>
      <c r="F1324" s="12" t="n">
        <v>16</v>
      </c>
      <c r="G1324" s="12" t="n">
        <v>2</v>
      </c>
      <c r="H1324" s="72" t="n"/>
      <c r="I1324" s="72" t="n"/>
      <c r="J1324" s="72" t="n"/>
      <c r="K1324" s="72" t="inlineStr">
        <is>
          <t>9090-0000</t>
        </is>
      </c>
      <c r="L1324" s="72" t="n"/>
    </row>
    <row r="1325">
      <c r="A1325" s="72" t="inlineStr">
        <is>
          <t>9000-0000</t>
        </is>
      </c>
      <c r="B1325" s="72" t="inlineStr">
        <is>
          <t>NON OPERATING INCOME</t>
        </is>
      </c>
      <c r="C1325" s="72" t="inlineStr">
        <is>
          <t>Credit</t>
        </is>
      </c>
      <c r="D1325" s="72" t="inlineStr">
        <is>
          <t>Head</t>
        </is>
      </c>
      <c r="E1325" s="72" t="inlineStr">
        <is>
          <t>Inc</t>
        </is>
      </c>
      <c r="F1325" s="12" t="n">
        <v>4</v>
      </c>
      <c r="G1325" s="12" t="n">
        <v>2</v>
      </c>
      <c r="H1325" s="72" t="n"/>
      <c r="I1325" s="72" t="n"/>
      <c r="J1325" s="72" t="n"/>
      <c r="K1325" s="72" t="n"/>
      <c r="L1325" s="72" t="n"/>
    </row>
    <row r="1326">
      <c r="A1326" s="72" t="inlineStr">
        <is>
          <t>9000-1000</t>
        </is>
      </c>
      <c r="B1326" s="72" t="inlineStr">
        <is>
          <t>Gain on Property</t>
        </is>
      </c>
      <c r="C1326" s="72" t="inlineStr">
        <is>
          <t>Credit</t>
        </is>
      </c>
      <c r="D1326" s="72" t="inlineStr">
        <is>
          <t>Reg</t>
        </is>
      </c>
      <c r="E1326" s="72" t="inlineStr">
        <is>
          <t>Inc</t>
        </is>
      </c>
      <c r="F1326" s="12" t="n">
        <v>8</v>
      </c>
      <c r="G1326" s="12" t="n">
        <v>1</v>
      </c>
      <c r="H1326" s="72" t="n"/>
      <c r="I1326" s="72" t="n"/>
      <c r="J1326" s="72" t="n"/>
      <c r="K1326" s="72" t="inlineStr">
        <is>
          <t>9000-2000</t>
        </is>
      </c>
      <c r="L1326" s="72" t="n"/>
    </row>
    <row r="1327">
      <c r="A1327" s="72" t="inlineStr">
        <is>
          <t>9000-1001</t>
        </is>
      </c>
      <c r="B1327" s="72" t="inlineStr">
        <is>
          <t>Miscellaneous Income</t>
        </is>
      </c>
      <c r="C1327" s="72" t="inlineStr">
        <is>
          <t>Credit</t>
        </is>
      </c>
      <c r="D1327" s="72" t="inlineStr">
        <is>
          <t>Reg</t>
        </is>
      </c>
      <c r="E1327" s="72" t="inlineStr">
        <is>
          <t>Inc</t>
        </is>
      </c>
      <c r="F1327" s="12" t="n">
        <v>8</v>
      </c>
      <c r="G1327" s="12" t="n">
        <v>1</v>
      </c>
      <c r="H1327" s="72" t="n"/>
      <c r="I1327" s="72" t="n"/>
      <c r="J1327" s="72" t="n"/>
      <c r="K1327" s="72" t="inlineStr">
        <is>
          <t>9000-2000</t>
        </is>
      </c>
      <c r="L1327" s="72" t="n"/>
    </row>
    <row r="1328">
      <c r="A1328" s="72" t="inlineStr">
        <is>
          <t>9000-1002</t>
        </is>
      </c>
      <c r="B1328" s="72" t="inlineStr">
        <is>
          <t>Interest on Bank Accounts</t>
        </is>
      </c>
      <c r="C1328" s="72" t="inlineStr">
        <is>
          <t>Credit</t>
        </is>
      </c>
      <c r="D1328" s="72" t="inlineStr">
        <is>
          <t>Reg</t>
        </is>
      </c>
      <c r="E1328" s="72" t="inlineStr">
        <is>
          <t>Inc</t>
        </is>
      </c>
      <c r="F1328" s="12" t="n">
        <v>8</v>
      </c>
      <c r="G1328" s="12" t="n">
        <v>1</v>
      </c>
      <c r="H1328" s="72" t="n"/>
      <c r="I1328" s="72" t="n"/>
      <c r="J1328" s="72" t="n"/>
      <c r="K1328" s="72" t="inlineStr">
        <is>
          <t>9000-2000</t>
        </is>
      </c>
      <c r="L1328" s="72" t="n"/>
    </row>
    <row r="1329">
      <c r="A1329" s="72" t="inlineStr">
        <is>
          <t>9000-1003</t>
        </is>
      </c>
      <c r="B1329" s="72" t="inlineStr">
        <is>
          <t>Property Rental Income</t>
        </is>
      </c>
      <c r="C1329" s="72" t="inlineStr">
        <is>
          <t>Credit</t>
        </is>
      </c>
      <c r="D1329" s="72" t="inlineStr">
        <is>
          <t>Reg</t>
        </is>
      </c>
      <c r="E1329" s="72" t="inlineStr">
        <is>
          <t>Inc</t>
        </is>
      </c>
      <c r="F1329" s="12" t="n">
        <v>8</v>
      </c>
      <c r="G1329" s="12" t="n">
        <v>1</v>
      </c>
      <c r="H1329" s="72" t="n"/>
      <c r="I1329" s="72" t="n"/>
      <c r="J1329" s="72" t="n"/>
      <c r="K1329" s="72" t="inlineStr">
        <is>
          <t>9000-2000</t>
        </is>
      </c>
      <c r="L1329" s="72" t="n"/>
    </row>
    <row r="1330">
      <c r="A1330" s="72" t="inlineStr">
        <is>
          <t>9000-1004</t>
        </is>
      </c>
      <c r="B1330" s="72" t="inlineStr">
        <is>
          <t>Insurance Claim Received</t>
        </is>
      </c>
      <c r="C1330" s="72" t="inlineStr">
        <is>
          <t>Credit</t>
        </is>
      </c>
      <c r="D1330" s="72" t="inlineStr">
        <is>
          <t>Reg</t>
        </is>
      </c>
      <c r="E1330" s="72" t="inlineStr">
        <is>
          <t>Inc</t>
        </is>
      </c>
      <c r="F1330" s="12" t="n">
        <v>8</v>
      </c>
      <c r="G1330" s="12" t="n">
        <v>1</v>
      </c>
      <c r="H1330" s="72" t="n"/>
      <c r="I1330" s="72" t="n"/>
      <c r="J1330" s="72" t="n"/>
      <c r="K1330" s="72" t="inlineStr">
        <is>
          <t>9000-2000</t>
        </is>
      </c>
      <c r="L1330" s="72" t="n"/>
    </row>
    <row r="1331">
      <c r="A1331" s="72" t="inlineStr">
        <is>
          <t>9000-2000</t>
        </is>
      </c>
      <c r="B1331" s="72" t="inlineStr">
        <is>
          <t>TOTAL NON OPERATING INCOME</t>
        </is>
      </c>
      <c r="C1331" s="72" t="inlineStr">
        <is>
          <t>Credit</t>
        </is>
      </c>
      <c r="D1331" s="72" t="inlineStr">
        <is>
          <t>Tot</t>
        </is>
      </c>
      <c r="E1331" s="72" t="inlineStr">
        <is>
          <t>Inc</t>
        </is>
      </c>
      <c r="F1331" s="12" t="n">
        <v>12</v>
      </c>
      <c r="G1331" s="12" t="n">
        <v>1</v>
      </c>
      <c r="H1331" s="72" t="n"/>
      <c r="I1331" s="72" t="n"/>
      <c r="J1331" s="72" t="n"/>
      <c r="K1331" s="72" t="inlineStr">
        <is>
          <t>9090-0000</t>
        </is>
      </c>
      <c r="L1331" s="72" t="n"/>
    </row>
    <row r="1332">
      <c r="A1332" s="72" t="inlineStr">
        <is>
          <t>9090-0000</t>
        </is>
      </c>
      <c r="B1332" s="72" t="inlineStr">
        <is>
          <t>NET INCOME</t>
        </is>
      </c>
      <c r="C1332" s="72" t="inlineStr">
        <is>
          <t>Credit</t>
        </is>
      </c>
      <c r="D1332" s="72" t="inlineStr">
        <is>
          <t>Tot</t>
        </is>
      </c>
      <c r="E1332" s="72" t="inlineStr">
        <is>
          <t>Inc</t>
        </is>
      </c>
      <c r="F1332" s="12" t="n">
        <v>4</v>
      </c>
      <c r="G1332" s="12" t="n">
        <v>2</v>
      </c>
      <c r="H1332" s="72" t="n"/>
      <c r="I1332" s="72" t="n"/>
      <c r="J1332" s="72" t="n"/>
      <c r="K1332" s="72" t="n"/>
      <c r="L1332" s="72" t="n"/>
    </row>
    <row r="1333">
      <c r="A1333" s="13" t="inlineStr">
        <is>
          <t>9990-0000</t>
        </is>
      </c>
      <c r="B1333" s="13" t="inlineStr">
        <is>
          <t>TOTAL OF ALL</t>
        </is>
      </c>
      <c r="C1333" s="13" t="inlineStr">
        <is>
          <t>Debit</t>
        </is>
      </c>
      <c r="D1333" s="13" t="inlineStr">
        <is>
          <t>Tot</t>
        </is>
      </c>
      <c r="E1333" s="13" t="inlineStr">
        <is>
          <t>Bal</t>
        </is>
      </c>
      <c r="F1333" s="14" t="n">
        <v>4</v>
      </c>
      <c r="G1333" s="14" t="n">
        <v>3</v>
      </c>
      <c r="H1333" s="13" t="n"/>
      <c r="I1333" s="13" t="n"/>
      <c r="J1333" s="13" t="n"/>
      <c r="K1333" s="13" t="n"/>
      <c r="L1333" s="13" t="n"/>
    </row>
    <row r="1334">
      <c r="A1334" s="15" t="n"/>
      <c r="B1334" s="15" t="n"/>
      <c r="C1334" s="15" t="n"/>
      <c r="D1334" s="15" t="n"/>
      <c r="E1334" s="15" t="n"/>
      <c r="F1334" s="16" t="n"/>
      <c r="G1334" s="16" t="n"/>
      <c r="H1334" s="15" t="n"/>
      <c r="I1334" s="15" t="n"/>
      <c r="J1334" s="15" t="n"/>
      <c r="K1334" s="15" t="n"/>
      <c r="L1334" s="15" t="n"/>
    </row>
  </sheetData>
  <mergeCells count="2">
    <mergeCell ref="A2:L2"/>
    <mergeCell ref="A1:L1"/>
  </mergeCells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A21" r:id="rId15"/>
    <hyperlink xmlns:r="http://schemas.openxmlformats.org/officeDocument/2006/relationships" ref="A22" r:id="rId16"/>
    <hyperlink xmlns:r="http://schemas.openxmlformats.org/officeDocument/2006/relationships" ref="A23" r:id="rId17"/>
    <hyperlink xmlns:r="http://schemas.openxmlformats.org/officeDocument/2006/relationships" ref="A24" r:id="rId18"/>
    <hyperlink xmlns:r="http://schemas.openxmlformats.org/officeDocument/2006/relationships" ref="A25" r:id="rId19"/>
    <hyperlink xmlns:r="http://schemas.openxmlformats.org/officeDocument/2006/relationships" ref="A26" r:id="rId20"/>
    <hyperlink xmlns:r="http://schemas.openxmlformats.org/officeDocument/2006/relationships" ref="A27" r:id="rId21"/>
    <hyperlink xmlns:r="http://schemas.openxmlformats.org/officeDocument/2006/relationships" ref="A28" r:id="rId22"/>
    <hyperlink xmlns:r="http://schemas.openxmlformats.org/officeDocument/2006/relationships" ref="A29" r:id="rId23"/>
    <hyperlink xmlns:r="http://schemas.openxmlformats.org/officeDocument/2006/relationships" ref="A30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4" r:id="rId28"/>
    <hyperlink xmlns:r="http://schemas.openxmlformats.org/officeDocument/2006/relationships" ref="A35" r:id="rId29"/>
    <hyperlink xmlns:r="http://schemas.openxmlformats.org/officeDocument/2006/relationships" ref="A36" r:id="rId30"/>
    <hyperlink xmlns:r="http://schemas.openxmlformats.org/officeDocument/2006/relationships" ref="A37" r:id="rId31"/>
    <hyperlink xmlns:r="http://schemas.openxmlformats.org/officeDocument/2006/relationships" ref="A38" r:id="rId32"/>
    <hyperlink xmlns:r="http://schemas.openxmlformats.org/officeDocument/2006/relationships" ref="A39" r:id="rId33"/>
    <hyperlink xmlns:r="http://schemas.openxmlformats.org/officeDocument/2006/relationships" ref="A40" r:id="rId34"/>
    <hyperlink xmlns:r="http://schemas.openxmlformats.org/officeDocument/2006/relationships" ref="A41" r:id="rId35"/>
    <hyperlink xmlns:r="http://schemas.openxmlformats.org/officeDocument/2006/relationships" ref="A42" r:id="rId36"/>
    <hyperlink xmlns:r="http://schemas.openxmlformats.org/officeDocument/2006/relationships" ref="A43" r:id="rId37"/>
    <hyperlink xmlns:r="http://schemas.openxmlformats.org/officeDocument/2006/relationships" ref="A44" r:id="rId38"/>
    <hyperlink xmlns:r="http://schemas.openxmlformats.org/officeDocument/2006/relationships" ref="A45" r:id="rId39"/>
    <hyperlink xmlns:r="http://schemas.openxmlformats.org/officeDocument/2006/relationships" ref="A46" r:id="rId40"/>
    <hyperlink xmlns:r="http://schemas.openxmlformats.org/officeDocument/2006/relationships" ref="A47" r:id="rId41"/>
    <hyperlink xmlns:r="http://schemas.openxmlformats.org/officeDocument/2006/relationships" ref="A48" r:id="rId42"/>
    <hyperlink xmlns:r="http://schemas.openxmlformats.org/officeDocument/2006/relationships" ref="A49" r:id="rId43"/>
    <hyperlink xmlns:r="http://schemas.openxmlformats.org/officeDocument/2006/relationships" ref="A50" r:id="rId44"/>
    <hyperlink xmlns:r="http://schemas.openxmlformats.org/officeDocument/2006/relationships" ref="A51" r:id="rId45"/>
    <hyperlink xmlns:r="http://schemas.openxmlformats.org/officeDocument/2006/relationships" ref="A52" r:id="rId46"/>
    <hyperlink xmlns:r="http://schemas.openxmlformats.org/officeDocument/2006/relationships" ref="A53" r:id="rId47"/>
    <hyperlink xmlns:r="http://schemas.openxmlformats.org/officeDocument/2006/relationships" ref="A54" r:id="rId48"/>
    <hyperlink xmlns:r="http://schemas.openxmlformats.org/officeDocument/2006/relationships" ref="A55" r:id="rId49"/>
    <hyperlink xmlns:r="http://schemas.openxmlformats.org/officeDocument/2006/relationships" ref="A56" r:id="rId50"/>
    <hyperlink xmlns:r="http://schemas.openxmlformats.org/officeDocument/2006/relationships" ref="A57" r:id="rId51"/>
    <hyperlink xmlns:r="http://schemas.openxmlformats.org/officeDocument/2006/relationships" ref="A58" r:id="rId52"/>
    <hyperlink xmlns:r="http://schemas.openxmlformats.org/officeDocument/2006/relationships" ref="A59" r:id="rId53"/>
    <hyperlink xmlns:r="http://schemas.openxmlformats.org/officeDocument/2006/relationships" ref="A60" r:id="rId54"/>
    <hyperlink xmlns:r="http://schemas.openxmlformats.org/officeDocument/2006/relationships" ref="A61" r:id="rId55"/>
    <hyperlink xmlns:r="http://schemas.openxmlformats.org/officeDocument/2006/relationships" ref="A62" r:id="rId56"/>
    <hyperlink xmlns:r="http://schemas.openxmlformats.org/officeDocument/2006/relationships" ref="A63" r:id="rId57"/>
    <hyperlink xmlns:r="http://schemas.openxmlformats.org/officeDocument/2006/relationships" ref="A64" r:id="rId58"/>
    <hyperlink xmlns:r="http://schemas.openxmlformats.org/officeDocument/2006/relationships" ref="A65" r:id="rId59"/>
    <hyperlink xmlns:r="http://schemas.openxmlformats.org/officeDocument/2006/relationships" ref="A66" r:id="rId60"/>
    <hyperlink xmlns:r="http://schemas.openxmlformats.org/officeDocument/2006/relationships" ref="A67" r:id="rId61"/>
    <hyperlink xmlns:r="http://schemas.openxmlformats.org/officeDocument/2006/relationships" ref="A68" r:id="rId62"/>
    <hyperlink xmlns:r="http://schemas.openxmlformats.org/officeDocument/2006/relationships" ref="A69" r:id="rId63"/>
    <hyperlink xmlns:r="http://schemas.openxmlformats.org/officeDocument/2006/relationships" ref="A70" r:id="rId64"/>
    <hyperlink xmlns:r="http://schemas.openxmlformats.org/officeDocument/2006/relationships" ref="A71" r:id="rId65"/>
    <hyperlink xmlns:r="http://schemas.openxmlformats.org/officeDocument/2006/relationships" ref="A72" r:id="rId66"/>
    <hyperlink xmlns:r="http://schemas.openxmlformats.org/officeDocument/2006/relationships" ref="A73" r:id="rId67"/>
    <hyperlink xmlns:r="http://schemas.openxmlformats.org/officeDocument/2006/relationships" ref="A74" r:id="rId68"/>
    <hyperlink xmlns:r="http://schemas.openxmlformats.org/officeDocument/2006/relationships" ref="A75" r:id="rId69"/>
    <hyperlink xmlns:r="http://schemas.openxmlformats.org/officeDocument/2006/relationships" ref="A76" r:id="rId70"/>
    <hyperlink xmlns:r="http://schemas.openxmlformats.org/officeDocument/2006/relationships" ref="A77" r:id="rId71"/>
    <hyperlink xmlns:r="http://schemas.openxmlformats.org/officeDocument/2006/relationships" ref="A78" r:id="rId72"/>
    <hyperlink xmlns:r="http://schemas.openxmlformats.org/officeDocument/2006/relationships" ref="A79" r:id="rId73"/>
    <hyperlink xmlns:r="http://schemas.openxmlformats.org/officeDocument/2006/relationships" ref="A80" r:id="rId74"/>
    <hyperlink xmlns:r="http://schemas.openxmlformats.org/officeDocument/2006/relationships" ref="A81" r:id="rId75"/>
    <hyperlink xmlns:r="http://schemas.openxmlformats.org/officeDocument/2006/relationships" ref="A82" r:id="rId76"/>
    <hyperlink xmlns:r="http://schemas.openxmlformats.org/officeDocument/2006/relationships" ref="A83" r:id="rId77"/>
    <hyperlink xmlns:r="http://schemas.openxmlformats.org/officeDocument/2006/relationships" ref="A84" r:id="rId78"/>
    <hyperlink xmlns:r="http://schemas.openxmlformats.org/officeDocument/2006/relationships" ref="A85" r:id="rId79"/>
    <hyperlink xmlns:r="http://schemas.openxmlformats.org/officeDocument/2006/relationships" ref="A86" r:id="rId80"/>
    <hyperlink xmlns:r="http://schemas.openxmlformats.org/officeDocument/2006/relationships" ref="A87" r:id="rId81"/>
    <hyperlink xmlns:r="http://schemas.openxmlformats.org/officeDocument/2006/relationships" ref="A88" r:id="rId82"/>
    <hyperlink xmlns:r="http://schemas.openxmlformats.org/officeDocument/2006/relationships" ref="A89" r:id="rId83"/>
    <hyperlink xmlns:r="http://schemas.openxmlformats.org/officeDocument/2006/relationships" ref="A90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6" r:id="rId90"/>
    <hyperlink xmlns:r="http://schemas.openxmlformats.org/officeDocument/2006/relationships" ref="A97" r:id="rId91"/>
    <hyperlink xmlns:r="http://schemas.openxmlformats.org/officeDocument/2006/relationships" ref="A98" r:id="rId92"/>
    <hyperlink xmlns:r="http://schemas.openxmlformats.org/officeDocument/2006/relationships" ref="A99" r:id="rId93"/>
    <hyperlink xmlns:r="http://schemas.openxmlformats.org/officeDocument/2006/relationships" ref="A100" r:id="rId94"/>
    <hyperlink xmlns:r="http://schemas.openxmlformats.org/officeDocument/2006/relationships" ref="A101" r:id="rId95"/>
    <hyperlink xmlns:r="http://schemas.openxmlformats.org/officeDocument/2006/relationships" ref="A102" r:id="rId96"/>
    <hyperlink xmlns:r="http://schemas.openxmlformats.org/officeDocument/2006/relationships" ref="A103" r:id="rId97"/>
    <hyperlink xmlns:r="http://schemas.openxmlformats.org/officeDocument/2006/relationships" ref="A104" r:id="rId98"/>
    <hyperlink xmlns:r="http://schemas.openxmlformats.org/officeDocument/2006/relationships" ref="A105" r:id="rId99"/>
    <hyperlink xmlns:r="http://schemas.openxmlformats.org/officeDocument/2006/relationships" ref="A106" r:id="rId100"/>
    <hyperlink xmlns:r="http://schemas.openxmlformats.org/officeDocument/2006/relationships" ref="A107" r:id="rId101"/>
    <hyperlink xmlns:r="http://schemas.openxmlformats.org/officeDocument/2006/relationships" ref="A108" r:id="rId102"/>
    <hyperlink xmlns:r="http://schemas.openxmlformats.org/officeDocument/2006/relationships" ref="A109" r:id="rId103"/>
    <hyperlink xmlns:r="http://schemas.openxmlformats.org/officeDocument/2006/relationships" ref="A110" r:id="rId104"/>
    <hyperlink xmlns:r="http://schemas.openxmlformats.org/officeDocument/2006/relationships" ref="A111" r:id="rId105"/>
    <hyperlink xmlns:r="http://schemas.openxmlformats.org/officeDocument/2006/relationships" ref="A112" r:id="rId106"/>
    <hyperlink xmlns:r="http://schemas.openxmlformats.org/officeDocument/2006/relationships" ref="A113" r:id="rId107"/>
    <hyperlink xmlns:r="http://schemas.openxmlformats.org/officeDocument/2006/relationships" ref="A114" r:id="rId108"/>
    <hyperlink xmlns:r="http://schemas.openxmlformats.org/officeDocument/2006/relationships" ref="A115" r:id="rId109"/>
    <hyperlink xmlns:r="http://schemas.openxmlformats.org/officeDocument/2006/relationships" ref="A116" r:id="rId110"/>
    <hyperlink xmlns:r="http://schemas.openxmlformats.org/officeDocument/2006/relationships" ref="A117" r:id="rId111"/>
    <hyperlink xmlns:r="http://schemas.openxmlformats.org/officeDocument/2006/relationships" ref="A118" r:id="rId112"/>
    <hyperlink xmlns:r="http://schemas.openxmlformats.org/officeDocument/2006/relationships" ref="A119" r:id="rId113"/>
    <hyperlink xmlns:r="http://schemas.openxmlformats.org/officeDocument/2006/relationships" ref="A120" r:id="rId114"/>
    <hyperlink xmlns:r="http://schemas.openxmlformats.org/officeDocument/2006/relationships" ref="A121" r:id="rId115"/>
    <hyperlink xmlns:r="http://schemas.openxmlformats.org/officeDocument/2006/relationships" ref="A122" r:id="rId116"/>
    <hyperlink xmlns:r="http://schemas.openxmlformats.org/officeDocument/2006/relationships" ref="A123" r:id="rId117"/>
    <hyperlink xmlns:r="http://schemas.openxmlformats.org/officeDocument/2006/relationships" ref="A124" r:id="rId118"/>
    <hyperlink xmlns:r="http://schemas.openxmlformats.org/officeDocument/2006/relationships" ref="A125" r:id="rId119"/>
    <hyperlink xmlns:r="http://schemas.openxmlformats.org/officeDocument/2006/relationships" ref="A126" r:id="rId120"/>
    <hyperlink xmlns:r="http://schemas.openxmlformats.org/officeDocument/2006/relationships" ref="A127" r:id="rId121"/>
    <hyperlink xmlns:r="http://schemas.openxmlformats.org/officeDocument/2006/relationships" ref="A128" r:id="rId122"/>
    <hyperlink xmlns:r="http://schemas.openxmlformats.org/officeDocument/2006/relationships" ref="A129" r:id="rId123"/>
    <hyperlink xmlns:r="http://schemas.openxmlformats.org/officeDocument/2006/relationships" ref="A130" r:id="rId124"/>
    <hyperlink xmlns:r="http://schemas.openxmlformats.org/officeDocument/2006/relationships" ref="A131" r:id="rId125"/>
    <hyperlink xmlns:r="http://schemas.openxmlformats.org/officeDocument/2006/relationships" ref="A132" r:id="rId126"/>
    <hyperlink xmlns:r="http://schemas.openxmlformats.org/officeDocument/2006/relationships" ref="A133" r:id="rId127"/>
    <hyperlink xmlns:r="http://schemas.openxmlformats.org/officeDocument/2006/relationships" ref="A134" r:id="rId128"/>
    <hyperlink xmlns:r="http://schemas.openxmlformats.org/officeDocument/2006/relationships" ref="A135" r:id="rId129"/>
    <hyperlink xmlns:r="http://schemas.openxmlformats.org/officeDocument/2006/relationships" ref="A136" r:id="rId130"/>
    <hyperlink xmlns:r="http://schemas.openxmlformats.org/officeDocument/2006/relationships" ref="A137" r:id="rId131"/>
    <hyperlink xmlns:r="http://schemas.openxmlformats.org/officeDocument/2006/relationships" ref="A138" r:id="rId132"/>
    <hyperlink xmlns:r="http://schemas.openxmlformats.org/officeDocument/2006/relationships" ref="A139" r:id="rId133"/>
    <hyperlink xmlns:r="http://schemas.openxmlformats.org/officeDocument/2006/relationships" ref="A140" r:id="rId134"/>
    <hyperlink xmlns:r="http://schemas.openxmlformats.org/officeDocument/2006/relationships" ref="A141" r:id="rId135"/>
    <hyperlink xmlns:r="http://schemas.openxmlformats.org/officeDocument/2006/relationships" ref="A142" r:id="rId136"/>
    <hyperlink xmlns:r="http://schemas.openxmlformats.org/officeDocument/2006/relationships" ref="A143" r:id="rId137"/>
    <hyperlink xmlns:r="http://schemas.openxmlformats.org/officeDocument/2006/relationships" ref="A144" r:id="rId138"/>
    <hyperlink xmlns:r="http://schemas.openxmlformats.org/officeDocument/2006/relationships" ref="A145" r:id="rId139"/>
    <hyperlink xmlns:r="http://schemas.openxmlformats.org/officeDocument/2006/relationships" ref="A146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2" r:id="rId146"/>
    <hyperlink xmlns:r="http://schemas.openxmlformats.org/officeDocument/2006/relationships" ref="A153" r:id="rId147"/>
    <hyperlink xmlns:r="http://schemas.openxmlformats.org/officeDocument/2006/relationships" ref="A154" r:id="rId148"/>
    <hyperlink xmlns:r="http://schemas.openxmlformats.org/officeDocument/2006/relationships" ref="A155" r:id="rId149"/>
    <hyperlink xmlns:r="http://schemas.openxmlformats.org/officeDocument/2006/relationships" ref="A156" r:id="rId150"/>
    <hyperlink xmlns:r="http://schemas.openxmlformats.org/officeDocument/2006/relationships" ref="A157" r:id="rId151"/>
    <hyperlink xmlns:r="http://schemas.openxmlformats.org/officeDocument/2006/relationships" ref="A158" r:id="rId152"/>
    <hyperlink xmlns:r="http://schemas.openxmlformats.org/officeDocument/2006/relationships" ref="A159" r:id="rId153"/>
    <hyperlink xmlns:r="http://schemas.openxmlformats.org/officeDocument/2006/relationships" ref="A160" r:id="rId154"/>
    <hyperlink xmlns:r="http://schemas.openxmlformats.org/officeDocument/2006/relationships" ref="A161" r:id="rId155"/>
    <hyperlink xmlns:r="http://schemas.openxmlformats.org/officeDocument/2006/relationships" ref="A162" r:id="rId156"/>
    <hyperlink xmlns:r="http://schemas.openxmlformats.org/officeDocument/2006/relationships" ref="A163" r:id="rId157"/>
    <hyperlink xmlns:r="http://schemas.openxmlformats.org/officeDocument/2006/relationships" ref="A164" r:id="rId158"/>
    <hyperlink xmlns:r="http://schemas.openxmlformats.org/officeDocument/2006/relationships" ref="A165" r:id="rId159"/>
    <hyperlink xmlns:r="http://schemas.openxmlformats.org/officeDocument/2006/relationships" ref="A166" r:id="rId160"/>
    <hyperlink xmlns:r="http://schemas.openxmlformats.org/officeDocument/2006/relationships" ref="A167" r:id="rId161"/>
    <hyperlink xmlns:r="http://schemas.openxmlformats.org/officeDocument/2006/relationships" ref="A168" r:id="rId162"/>
    <hyperlink xmlns:r="http://schemas.openxmlformats.org/officeDocument/2006/relationships" ref="A169" r:id="rId163"/>
    <hyperlink xmlns:r="http://schemas.openxmlformats.org/officeDocument/2006/relationships" ref="A170" r:id="rId164"/>
    <hyperlink xmlns:r="http://schemas.openxmlformats.org/officeDocument/2006/relationships" ref="A171" r:id="rId165"/>
    <hyperlink xmlns:r="http://schemas.openxmlformats.org/officeDocument/2006/relationships" ref="A172" r:id="rId166"/>
    <hyperlink xmlns:r="http://schemas.openxmlformats.org/officeDocument/2006/relationships" ref="A173" r:id="rId167"/>
    <hyperlink xmlns:r="http://schemas.openxmlformats.org/officeDocument/2006/relationships" ref="A174" r:id="rId168"/>
    <hyperlink xmlns:r="http://schemas.openxmlformats.org/officeDocument/2006/relationships" ref="A175" r:id="rId169"/>
    <hyperlink xmlns:r="http://schemas.openxmlformats.org/officeDocument/2006/relationships" ref="A176" r:id="rId170"/>
    <hyperlink xmlns:r="http://schemas.openxmlformats.org/officeDocument/2006/relationships" ref="A177" r:id="rId171"/>
    <hyperlink xmlns:r="http://schemas.openxmlformats.org/officeDocument/2006/relationships" ref="A178" r:id="rId172"/>
    <hyperlink xmlns:r="http://schemas.openxmlformats.org/officeDocument/2006/relationships" ref="A179" r:id="rId173"/>
    <hyperlink xmlns:r="http://schemas.openxmlformats.org/officeDocument/2006/relationships" ref="A180" r:id="rId174"/>
    <hyperlink xmlns:r="http://schemas.openxmlformats.org/officeDocument/2006/relationships" ref="A181" r:id="rId175"/>
    <hyperlink xmlns:r="http://schemas.openxmlformats.org/officeDocument/2006/relationships" ref="A182" r:id="rId176"/>
    <hyperlink xmlns:r="http://schemas.openxmlformats.org/officeDocument/2006/relationships" ref="A183" r:id="rId177"/>
    <hyperlink xmlns:r="http://schemas.openxmlformats.org/officeDocument/2006/relationships" ref="A184" r:id="rId178"/>
    <hyperlink xmlns:r="http://schemas.openxmlformats.org/officeDocument/2006/relationships" ref="A185" r:id="rId179"/>
    <hyperlink xmlns:r="http://schemas.openxmlformats.org/officeDocument/2006/relationships" ref="A186" r:id="rId180"/>
    <hyperlink xmlns:r="http://schemas.openxmlformats.org/officeDocument/2006/relationships" ref="A187" r:id="rId181"/>
    <hyperlink xmlns:r="http://schemas.openxmlformats.org/officeDocument/2006/relationships" ref="A188" r:id="rId182"/>
    <hyperlink xmlns:r="http://schemas.openxmlformats.org/officeDocument/2006/relationships" ref="A189" r:id="rId183"/>
    <hyperlink xmlns:r="http://schemas.openxmlformats.org/officeDocument/2006/relationships" ref="A190" r:id="rId184"/>
    <hyperlink xmlns:r="http://schemas.openxmlformats.org/officeDocument/2006/relationships" ref="A191" r:id="rId185"/>
    <hyperlink xmlns:r="http://schemas.openxmlformats.org/officeDocument/2006/relationships" ref="A192" r:id="rId186"/>
    <hyperlink xmlns:r="http://schemas.openxmlformats.org/officeDocument/2006/relationships" ref="A193" r:id="rId187"/>
    <hyperlink xmlns:r="http://schemas.openxmlformats.org/officeDocument/2006/relationships" ref="A194" r:id="rId188"/>
    <hyperlink xmlns:r="http://schemas.openxmlformats.org/officeDocument/2006/relationships" ref="A195" r:id="rId189"/>
    <hyperlink xmlns:r="http://schemas.openxmlformats.org/officeDocument/2006/relationships" ref="A196" r:id="rId190"/>
    <hyperlink xmlns:r="http://schemas.openxmlformats.org/officeDocument/2006/relationships" ref="A197" r:id="rId191"/>
    <hyperlink xmlns:r="http://schemas.openxmlformats.org/officeDocument/2006/relationships" ref="A198" r:id="rId192"/>
    <hyperlink xmlns:r="http://schemas.openxmlformats.org/officeDocument/2006/relationships" ref="A199" r:id="rId193"/>
    <hyperlink xmlns:r="http://schemas.openxmlformats.org/officeDocument/2006/relationships" ref="A200" r:id="rId194"/>
    <hyperlink xmlns:r="http://schemas.openxmlformats.org/officeDocument/2006/relationships" ref="A201" r:id="rId195"/>
    <hyperlink xmlns:r="http://schemas.openxmlformats.org/officeDocument/2006/relationships" ref="A202" r:id="rId196"/>
    <hyperlink xmlns:r="http://schemas.openxmlformats.org/officeDocument/2006/relationships" ref="A203" r:id="rId197"/>
    <hyperlink xmlns:r="http://schemas.openxmlformats.org/officeDocument/2006/relationships" ref="A204" r:id="rId198"/>
    <hyperlink xmlns:r="http://schemas.openxmlformats.org/officeDocument/2006/relationships" ref="A205" r:id="rId199"/>
    <hyperlink xmlns:r="http://schemas.openxmlformats.org/officeDocument/2006/relationships" ref="A206" r:id="rId200"/>
    <hyperlink xmlns:r="http://schemas.openxmlformats.org/officeDocument/2006/relationships" ref="A207" r:id="rId201"/>
    <hyperlink xmlns:r="http://schemas.openxmlformats.org/officeDocument/2006/relationships" ref="A208" r:id="rId202"/>
    <hyperlink xmlns:r="http://schemas.openxmlformats.org/officeDocument/2006/relationships" ref="A209" r:id="rId203"/>
    <hyperlink xmlns:r="http://schemas.openxmlformats.org/officeDocument/2006/relationships" ref="A210" r:id="rId204"/>
    <hyperlink xmlns:r="http://schemas.openxmlformats.org/officeDocument/2006/relationships" ref="A211" r:id="rId205"/>
    <hyperlink xmlns:r="http://schemas.openxmlformats.org/officeDocument/2006/relationships" ref="A212" r:id="rId206"/>
    <hyperlink xmlns:r="http://schemas.openxmlformats.org/officeDocument/2006/relationships" ref="A213" r:id="rId207"/>
    <hyperlink xmlns:r="http://schemas.openxmlformats.org/officeDocument/2006/relationships" ref="A214" r:id="rId208"/>
    <hyperlink xmlns:r="http://schemas.openxmlformats.org/officeDocument/2006/relationships" ref="A215" r:id="rId209"/>
    <hyperlink xmlns:r="http://schemas.openxmlformats.org/officeDocument/2006/relationships" ref="A216" r:id="rId210"/>
    <hyperlink xmlns:r="http://schemas.openxmlformats.org/officeDocument/2006/relationships" ref="A217" r:id="rId211"/>
    <hyperlink xmlns:r="http://schemas.openxmlformats.org/officeDocument/2006/relationships" ref="A218" r:id="rId212"/>
    <hyperlink xmlns:r="http://schemas.openxmlformats.org/officeDocument/2006/relationships" ref="A219" r:id="rId213"/>
    <hyperlink xmlns:r="http://schemas.openxmlformats.org/officeDocument/2006/relationships" ref="A220" r:id="rId214"/>
    <hyperlink xmlns:r="http://schemas.openxmlformats.org/officeDocument/2006/relationships" ref="A221" r:id="rId215"/>
    <hyperlink xmlns:r="http://schemas.openxmlformats.org/officeDocument/2006/relationships" ref="A222" r:id="rId216"/>
    <hyperlink xmlns:r="http://schemas.openxmlformats.org/officeDocument/2006/relationships" ref="A223" r:id="rId217"/>
    <hyperlink xmlns:r="http://schemas.openxmlformats.org/officeDocument/2006/relationships" ref="A224" r:id="rId218"/>
    <hyperlink xmlns:r="http://schemas.openxmlformats.org/officeDocument/2006/relationships" ref="A225" r:id="rId219"/>
    <hyperlink xmlns:r="http://schemas.openxmlformats.org/officeDocument/2006/relationships" ref="A226" r:id="rId220"/>
    <hyperlink xmlns:r="http://schemas.openxmlformats.org/officeDocument/2006/relationships" ref="A227" r:id="rId221"/>
    <hyperlink xmlns:r="http://schemas.openxmlformats.org/officeDocument/2006/relationships" ref="A228" r:id="rId222"/>
    <hyperlink xmlns:r="http://schemas.openxmlformats.org/officeDocument/2006/relationships" ref="A229" r:id="rId223"/>
    <hyperlink xmlns:r="http://schemas.openxmlformats.org/officeDocument/2006/relationships" ref="A230" r:id="rId224"/>
    <hyperlink xmlns:r="http://schemas.openxmlformats.org/officeDocument/2006/relationships" ref="A231" r:id="rId225"/>
    <hyperlink xmlns:r="http://schemas.openxmlformats.org/officeDocument/2006/relationships" ref="A232" r:id="rId226"/>
    <hyperlink xmlns:r="http://schemas.openxmlformats.org/officeDocument/2006/relationships" ref="A233" r:id="rId227"/>
    <hyperlink xmlns:r="http://schemas.openxmlformats.org/officeDocument/2006/relationships" ref="A234" r:id="rId228"/>
    <hyperlink xmlns:r="http://schemas.openxmlformats.org/officeDocument/2006/relationships" ref="A235" r:id="rId229"/>
    <hyperlink xmlns:r="http://schemas.openxmlformats.org/officeDocument/2006/relationships" ref="A236" r:id="rId230"/>
    <hyperlink xmlns:r="http://schemas.openxmlformats.org/officeDocument/2006/relationships" ref="A237" r:id="rId231"/>
    <hyperlink xmlns:r="http://schemas.openxmlformats.org/officeDocument/2006/relationships" ref="A238" r:id="rId232"/>
    <hyperlink xmlns:r="http://schemas.openxmlformats.org/officeDocument/2006/relationships" ref="A239" r:id="rId233"/>
    <hyperlink xmlns:r="http://schemas.openxmlformats.org/officeDocument/2006/relationships" ref="A240" r:id="rId234"/>
    <hyperlink xmlns:r="http://schemas.openxmlformats.org/officeDocument/2006/relationships" ref="A241" r:id="rId235"/>
    <hyperlink xmlns:r="http://schemas.openxmlformats.org/officeDocument/2006/relationships" ref="A242" r:id="rId236"/>
    <hyperlink xmlns:r="http://schemas.openxmlformats.org/officeDocument/2006/relationships" ref="A243" r:id="rId237"/>
    <hyperlink xmlns:r="http://schemas.openxmlformats.org/officeDocument/2006/relationships" ref="A244" r:id="rId238"/>
    <hyperlink xmlns:r="http://schemas.openxmlformats.org/officeDocument/2006/relationships" ref="A245" r:id="rId239"/>
    <hyperlink xmlns:r="http://schemas.openxmlformats.org/officeDocument/2006/relationships" ref="A246" r:id="rId240"/>
    <hyperlink xmlns:r="http://schemas.openxmlformats.org/officeDocument/2006/relationships" ref="A247" r:id="rId241"/>
    <hyperlink xmlns:r="http://schemas.openxmlformats.org/officeDocument/2006/relationships" ref="A248" r:id="rId242"/>
    <hyperlink xmlns:r="http://schemas.openxmlformats.org/officeDocument/2006/relationships" ref="A249" r:id="rId243"/>
    <hyperlink xmlns:r="http://schemas.openxmlformats.org/officeDocument/2006/relationships" ref="A250" r:id="rId244"/>
    <hyperlink xmlns:r="http://schemas.openxmlformats.org/officeDocument/2006/relationships" ref="A251" r:id="rId245"/>
    <hyperlink xmlns:r="http://schemas.openxmlformats.org/officeDocument/2006/relationships" ref="A252" r:id="rId246"/>
    <hyperlink xmlns:r="http://schemas.openxmlformats.org/officeDocument/2006/relationships" ref="A253" r:id="rId247"/>
    <hyperlink xmlns:r="http://schemas.openxmlformats.org/officeDocument/2006/relationships" ref="A254" r:id="rId248"/>
    <hyperlink xmlns:r="http://schemas.openxmlformats.org/officeDocument/2006/relationships" ref="A255" r:id="rId249"/>
    <hyperlink xmlns:r="http://schemas.openxmlformats.org/officeDocument/2006/relationships" ref="A256" r:id="rId250"/>
    <hyperlink xmlns:r="http://schemas.openxmlformats.org/officeDocument/2006/relationships" ref="A257" r:id="rId251"/>
    <hyperlink xmlns:r="http://schemas.openxmlformats.org/officeDocument/2006/relationships" ref="A258" r:id="rId252"/>
    <hyperlink xmlns:r="http://schemas.openxmlformats.org/officeDocument/2006/relationships" ref="A259" r:id="rId253"/>
    <hyperlink xmlns:r="http://schemas.openxmlformats.org/officeDocument/2006/relationships" ref="A260" r:id="rId254"/>
    <hyperlink xmlns:r="http://schemas.openxmlformats.org/officeDocument/2006/relationships" ref="A261" r:id="rId255"/>
    <hyperlink xmlns:r="http://schemas.openxmlformats.org/officeDocument/2006/relationships" ref="A262" r:id="rId256"/>
    <hyperlink xmlns:r="http://schemas.openxmlformats.org/officeDocument/2006/relationships" ref="A263" r:id="rId257"/>
    <hyperlink xmlns:r="http://schemas.openxmlformats.org/officeDocument/2006/relationships" ref="A264" r:id="rId258"/>
    <hyperlink xmlns:r="http://schemas.openxmlformats.org/officeDocument/2006/relationships" ref="A265" r:id="rId259"/>
    <hyperlink xmlns:r="http://schemas.openxmlformats.org/officeDocument/2006/relationships" ref="A266" r:id="rId260"/>
    <hyperlink xmlns:r="http://schemas.openxmlformats.org/officeDocument/2006/relationships" ref="A267" r:id="rId261"/>
    <hyperlink xmlns:r="http://schemas.openxmlformats.org/officeDocument/2006/relationships" ref="A268" r:id="rId262"/>
    <hyperlink xmlns:r="http://schemas.openxmlformats.org/officeDocument/2006/relationships" ref="A269" r:id="rId263"/>
    <hyperlink xmlns:r="http://schemas.openxmlformats.org/officeDocument/2006/relationships" ref="A270" r:id="rId264"/>
    <hyperlink xmlns:r="http://schemas.openxmlformats.org/officeDocument/2006/relationships" ref="A271" r:id="rId265"/>
    <hyperlink xmlns:r="http://schemas.openxmlformats.org/officeDocument/2006/relationships" ref="A272" r:id="rId266"/>
    <hyperlink xmlns:r="http://schemas.openxmlformats.org/officeDocument/2006/relationships" ref="A273" r:id="rId267"/>
    <hyperlink xmlns:r="http://schemas.openxmlformats.org/officeDocument/2006/relationships" ref="A274" r:id="rId268"/>
    <hyperlink xmlns:r="http://schemas.openxmlformats.org/officeDocument/2006/relationships" ref="A275" r:id="rId269"/>
    <hyperlink xmlns:r="http://schemas.openxmlformats.org/officeDocument/2006/relationships" ref="A276" r:id="rId270"/>
    <hyperlink xmlns:r="http://schemas.openxmlformats.org/officeDocument/2006/relationships" ref="A277" r:id="rId271"/>
    <hyperlink xmlns:r="http://schemas.openxmlformats.org/officeDocument/2006/relationships" ref="A278" r:id="rId272"/>
    <hyperlink xmlns:r="http://schemas.openxmlformats.org/officeDocument/2006/relationships" ref="A279" r:id="rId273"/>
    <hyperlink xmlns:r="http://schemas.openxmlformats.org/officeDocument/2006/relationships" ref="A280" r:id="rId274"/>
    <hyperlink xmlns:r="http://schemas.openxmlformats.org/officeDocument/2006/relationships" ref="A281" r:id="rId275"/>
    <hyperlink xmlns:r="http://schemas.openxmlformats.org/officeDocument/2006/relationships" ref="A282" r:id="rId276"/>
    <hyperlink xmlns:r="http://schemas.openxmlformats.org/officeDocument/2006/relationships" ref="A283" r:id="rId277"/>
    <hyperlink xmlns:r="http://schemas.openxmlformats.org/officeDocument/2006/relationships" ref="A284" r:id="rId278"/>
    <hyperlink xmlns:r="http://schemas.openxmlformats.org/officeDocument/2006/relationships" ref="A285" r:id="rId279"/>
    <hyperlink xmlns:r="http://schemas.openxmlformats.org/officeDocument/2006/relationships" ref="A286" r:id="rId280"/>
    <hyperlink xmlns:r="http://schemas.openxmlformats.org/officeDocument/2006/relationships" ref="A287" r:id="rId281"/>
    <hyperlink xmlns:r="http://schemas.openxmlformats.org/officeDocument/2006/relationships" ref="A288" r:id="rId282"/>
    <hyperlink xmlns:r="http://schemas.openxmlformats.org/officeDocument/2006/relationships" ref="A289" r:id="rId283"/>
    <hyperlink xmlns:r="http://schemas.openxmlformats.org/officeDocument/2006/relationships" ref="A290" r:id="rId284"/>
    <hyperlink xmlns:r="http://schemas.openxmlformats.org/officeDocument/2006/relationships" ref="A291" r:id="rId285"/>
    <hyperlink xmlns:r="http://schemas.openxmlformats.org/officeDocument/2006/relationships" ref="A292" r:id="rId286"/>
    <hyperlink xmlns:r="http://schemas.openxmlformats.org/officeDocument/2006/relationships" ref="A293" r:id="rId287"/>
    <hyperlink xmlns:r="http://schemas.openxmlformats.org/officeDocument/2006/relationships" ref="A294" r:id="rId288"/>
    <hyperlink xmlns:r="http://schemas.openxmlformats.org/officeDocument/2006/relationships" ref="A295" r:id="rId289"/>
    <hyperlink xmlns:r="http://schemas.openxmlformats.org/officeDocument/2006/relationships" ref="A296" r:id="rId290"/>
    <hyperlink xmlns:r="http://schemas.openxmlformats.org/officeDocument/2006/relationships" ref="A297" r:id="rId291"/>
    <hyperlink xmlns:r="http://schemas.openxmlformats.org/officeDocument/2006/relationships" ref="A298" r:id="rId292"/>
    <hyperlink xmlns:r="http://schemas.openxmlformats.org/officeDocument/2006/relationships" ref="A299" r:id="rId293"/>
    <hyperlink xmlns:r="http://schemas.openxmlformats.org/officeDocument/2006/relationships" ref="A300" r:id="rId294"/>
    <hyperlink xmlns:r="http://schemas.openxmlformats.org/officeDocument/2006/relationships" ref="A301" r:id="rId295"/>
    <hyperlink xmlns:r="http://schemas.openxmlformats.org/officeDocument/2006/relationships" ref="A302" r:id="rId296"/>
    <hyperlink xmlns:r="http://schemas.openxmlformats.org/officeDocument/2006/relationships" ref="A303" r:id="rId297"/>
    <hyperlink xmlns:r="http://schemas.openxmlformats.org/officeDocument/2006/relationships" ref="A304" r:id="rId298"/>
    <hyperlink xmlns:r="http://schemas.openxmlformats.org/officeDocument/2006/relationships" ref="A305" r:id="rId299"/>
    <hyperlink xmlns:r="http://schemas.openxmlformats.org/officeDocument/2006/relationships" ref="A306" r:id="rId300"/>
    <hyperlink xmlns:r="http://schemas.openxmlformats.org/officeDocument/2006/relationships" ref="A307" r:id="rId301"/>
    <hyperlink xmlns:r="http://schemas.openxmlformats.org/officeDocument/2006/relationships" ref="A308" r:id="rId302"/>
    <hyperlink xmlns:r="http://schemas.openxmlformats.org/officeDocument/2006/relationships" ref="A309" r:id="rId303"/>
    <hyperlink xmlns:r="http://schemas.openxmlformats.org/officeDocument/2006/relationships" ref="A310" r:id="rId304"/>
    <hyperlink xmlns:r="http://schemas.openxmlformats.org/officeDocument/2006/relationships" ref="A311" r:id="rId305"/>
    <hyperlink xmlns:r="http://schemas.openxmlformats.org/officeDocument/2006/relationships" ref="A312" r:id="rId306"/>
    <hyperlink xmlns:r="http://schemas.openxmlformats.org/officeDocument/2006/relationships" ref="A313" r:id="rId307"/>
    <hyperlink xmlns:r="http://schemas.openxmlformats.org/officeDocument/2006/relationships" ref="A314" r:id="rId308"/>
    <hyperlink xmlns:r="http://schemas.openxmlformats.org/officeDocument/2006/relationships" ref="A315" r:id="rId309"/>
    <hyperlink xmlns:r="http://schemas.openxmlformats.org/officeDocument/2006/relationships" ref="A316" r:id="rId310"/>
    <hyperlink xmlns:r="http://schemas.openxmlformats.org/officeDocument/2006/relationships" ref="A317" r:id="rId311"/>
    <hyperlink xmlns:r="http://schemas.openxmlformats.org/officeDocument/2006/relationships" ref="A318" r:id="rId312"/>
    <hyperlink xmlns:r="http://schemas.openxmlformats.org/officeDocument/2006/relationships" ref="A319" r:id="rId313"/>
    <hyperlink xmlns:r="http://schemas.openxmlformats.org/officeDocument/2006/relationships" ref="A320" r:id="rId314"/>
    <hyperlink xmlns:r="http://schemas.openxmlformats.org/officeDocument/2006/relationships" ref="A321" r:id="rId315"/>
    <hyperlink xmlns:r="http://schemas.openxmlformats.org/officeDocument/2006/relationships" ref="A322" r:id="rId316"/>
    <hyperlink xmlns:r="http://schemas.openxmlformats.org/officeDocument/2006/relationships" ref="A323" r:id="rId317"/>
    <hyperlink xmlns:r="http://schemas.openxmlformats.org/officeDocument/2006/relationships" ref="A324" r:id="rId318"/>
    <hyperlink xmlns:r="http://schemas.openxmlformats.org/officeDocument/2006/relationships" ref="A325" r:id="rId319"/>
    <hyperlink xmlns:r="http://schemas.openxmlformats.org/officeDocument/2006/relationships" ref="A326" r:id="rId320"/>
    <hyperlink xmlns:r="http://schemas.openxmlformats.org/officeDocument/2006/relationships" ref="A327" r:id="rId321"/>
    <hyperlink xmlns:r="http://schemas.openxmlformats.org/officeDocument/2006/relationships" ref="A328" r:id="rId322"/>
    <hyperlink xmlns:r="http://schemas.openxmlformats.org/officeDocument/2006/relationships" ref="A329" r:id="rId323"/>
    <hyperlink xmlns:r="http://schemas.openxmlformats.org/officeDocument/2006/relationships" ref="A330" r:id="rId324"/>
    <hyperlink xmlns:r="http://schemas.openxmlformats.org/officeDocument/2006/relationships" ref="A331" r:id="rId325"/>
    <hyperlink xmlns:r="http://schemas.openxmlformats.org/officeDocument/2006/relationships" ref="A332" r:id="rId326"/>
    <hyperlink xmlns:r="http://schemas.openxmlformats.org/officeDocument/2006/relationships" ref="A333" r:id="rId327"/>
    <hyperlink xmlns:r="http://schemas.openxmlformats.org/officeDocument/2006/relationships" ref="A334" r:id="rId328"/>
    <hyperlink xmlns:r="http://schemas.openxmlformats.org/officeDocument/2006/relationships" ref="A335" r:id="rId329"/>
    <hyperlink xmlns:r="http://schemas.openxmlformats.org/officeDocument/2006/relationships" ref="A336" r:id="rId330"/>
    <hyperlink xmlns:r="http://schemas.openxmlformats.org/officeDocument/2006/relationships" ref="A337" r:id="rId331"/>
    <hyperlink xmlns:r="http://schemas.openxmlformats.org/officeDocument/2006/relationships" ref="A338" r:id="rId332"/>
    <hyperlink xmlns:r="http://schemas.openxmlformats.org/officeDocument/2006/relationships" ref="A339" r:id="rId333"/>
    <hyperlink xmlns:r="http://schemas.openxmlformats.org/officeDocument/2006/relationships" ref="A340" r:id="rId334"/>
    <hyperlink xmlns:r="http://schemas.openxmlformats.org/officeDocument/2006/relationships" ref="A341" r:id="rId335"/>
    <hyperlink xmlns:r="http://schemas.openxmlformats.org/officeDocument/2006/relationships" ref="A342" r:id="rId336"/>
    <hyperlink xmlns:r="http://schemas.openxmlformats.org/officeDocument/2006/relationships" ref="A343" r:id="rId337"/>
    <hyperlink xmlns:r="http://schemas.openxmlformats.org/officeDocument/2006/relationships" ref="A344" r:id="rId338"/>
    <hyperlink xmlns:r="http://schemas.openxmlformats.org/officeDocument/2006/relationships" ref="A345" r:id="rId339"/>
    <hyperlink xmlns:r="http://schemas.openxmlformats.org/officeDocument/2006/relationships" ref="A346" r:id="rId340"/>
    <hyperlink xmlns:r="http://schemas.openxmlformats.org/officeDocument/2006/relationships" ref="A347" r:id="rId341"/>
    <hyperlink xmlns:r="http://schemas.openxmlformats.org/officeDocument/2006/relationships" ref="A348" r:id="rId342"/>
    <hyperlink xmlns:r="http://schemas.openxmlformats.org/officeDocument/2006/relationships" ref="A349" r:id="rId343"/>
    <hyperlink xmlns:r="http://schemas.openxmlformats.org/officeDocument/2006/relationships" ref="A350" r:id="rId344"/>
    <hyperlink xmlns:r="http://schemas.openxmlformats.org/officeDocument/2006/relationships" ref="A351" r:id="rId345"/>
    <hyperlink xmlns:r="http://schemas.openxmlformats.org/officeDocument/2006/relationships" ref="A352" r:id="rId346"/>
    <hyperlink xmlns:r="http://schemas.openxmlformats.org/officeDocument/2006/relationships" ref="A353" r:id="rId347"/>
    <hyperlink xmlns:r="http://schemas.openxmlformats.org/officeDocument/2006/relationships" ref="A354" r:id="rId348"/>
    <hyperlink xmlns:r="http://schemas.openxmlformats.org/officeDocument/2006/relationships" ref="A355" r:id="rId349"/>
    <hyperlink xmlns:r="http://schemas.openxmlformats.org/officeDocument/2006/relationships" ref="A356" r:id="rId350"/>
    <hyperlink xmlns:r="http://schemas.openxmlformats.org/officeDocument/2006/relationships" ref="A357" r:id="rId351"/>
    <hyperlink xmlns:r="http://schemas.openxmlformats.org/officeDocument/2006/relationships" ref="A358" r:id="rId352"/>
    <hyperlink xmlns:r="http://schemas.openxmlformats.org/officeDocument/2006/relationships" ref="A359" r:id="rId353"/>
    <hyperlink xmlns:r="http://schemas.openxmlformats.org/officeDocument/2006/relationships" ref="A360" r:id="rId354"/>
    <hyperlink xmlns:r="http://schemas.openxmlformats.org/officeDocument/2006/relationships" ref="A361" r:id="rId355"/>
    <hyperlink xmlns:r="http://schemas.openxmlformats.org/officeDocument/2006/relationships" ref="A362" r:id="rId356"/>
    <hyperlink xmlns:r="http://schemas.openxmlformats.org/officeDocument/2006/relationships" ref="A363" r:id="rId357"/>
    <hyperlink xmlns:r="http://schemas.openxmlformats.org/officeDocument/2006/relationships" ref="A364" r:id="rId358"/>
    <hyperlink xmlns:r="http://schemas.openxmlformats.org/officeDocument/2006/relationships" ref="A365" r:id="rId359"/>
    <hyperlink xmlns:r="http://schemas.openxmlformats.org/officeDocument/2006/relationships" ref="A366" r:id="rId360"/>
    <hyperlink xmlns:r="http://schemas.openxmlformats.org/officeDocument/2006/relationships" ref="A367" r:id="rId361"/>
    <hyperlink xmlns:r="http://schemas.openxmlformats.org/officeDocument/2006/relationships" ref="A368" r:id="rId362"/>
    <hyperlink xmlns:r="http://schemas.openxmlformats.org/officeDocument/2006/relationships" ref="A369" r:id="rId363"/>
    <hyperlink xmlns:r="http://schemas.openxmlformats.org/officeDocument/2006/relationships" ref="A370" r:id="rId364"/>
    <hyperlink xmlns:r="http://schemas.openxmlformats.org/officeDocument/2006/relationships" ref="A371" r:id="rId365"/>
    <hyperlink xmlns:r="http://schemas.openxmlformats.org/officeDocument/2006/relationships" ref="A372" r:id="rId366"/>
    <hyperlink xmlns:r="http://schemas.openxmlformats.org/officeDocument/2006/relationships" ref="A373" r:id="rId367"/>
    <hyperlink xmlns:r="http://schemas.openxmlformats.org/officeDocument/2006/relationships" ref="A374" r:id="rId368"/>
    <hyperlink xmlns:r="http://schemas.openxmlformats.org/officeDocument/2006/relationships" ref="A375" r:id="rId369"/>
    <hyperlink xmlns:r="http://schemas.openxmlformats.org/officeDocument/2006/relationships" ref="A376" r:id="rId370"/>
    <hyperlink xmlns:r="http://schemas.openxmlformats.org/officeDocument/2006/relationships" ref="A377" r:id="rId371"/>
    <hyperlink xmlns:r="http://schemas.openxmlformats.org/officeDocument/2006/relationships" ref="A378" r:id="rId372"/>
    <hyperlink xmlns:r="http://schemas.openxmlformats.org/officeDocument/2006/relationships" ref="A379" r:id="rId373"/>
    <hyperlink xmlns:r="http://schemas.openxmlformats.org/officeDocument/2006/relationships" ref="A380" r:id="rId374"/>
    <hyperlink xmlns:r="http://schemas.openxmlformats.org/officeDocument/2006/relationships" ref="A381" r:id="rId375"/>
    <hyperlink xmlns:r="http://schemas.openxmlformats.org/officeDocument/2006/relationships" ref="A382" r:id="rId376"/>
    <hyperlink xmlns:r="http://schemas.openxmlformats.org/officeDocument/2006/relationships" ref="A383" r:id="rId377"/>
    <hyperlink xmlns:r="http://schemas.openxmlformats.org/officeDocument/2006/relationships" ref="A384" r:id="rId378"/>
    <hyperlink xmlns:r="http://schemas.openxmlformats.org/officeDocument/2006/relationships" ref="A385" r:id="rId379"/>
    <hyperlink xmlns:r="http://schemas.openxmlformats.org/officeDocument/2006/relationships" ref="A386" r:id="rId380"/>
    <hyperlink xmlns:r="http://schemas.openxmlformats.org/officeDocument/2006/relationships" ref="A387" r:id="rId381"/>
    <hyperlink xmlns:r="http://schemas.openxmlformats.org/officeDocument/2006/relationships" ref="A388" r:id="rId382"/>
    <hyperlink xmlns:r="http://schemas.openxmlformats.org/officeDocument/2006/relationships" ref="A389" r:id="rId383"/>
    <hyperlink xmlns:r="http://schemas.openxmlformats.org/officeDocument/2006/relationships" ref="A390" r:id="rId384"/>
    <hyperlink xmlns:r="http://schemas.openxmlformats.org/officeDocument/2006/relationships" ref="A391" r:id="rId385"/>
    <hyperlink xmlns:r="http://schemas.openxmlformats.org/officeDocument/2006/relationships" ref="A392" r:id="rId386"/>
    <hyperlink xmlns:r="http://schemas.openxmlformats.org/officeDocument/2006/relationships" ref="A393" r:id="rId387"/>
    <hyperlink xmlns:r="http://schemas.openxmlformats.org/officeDocument/2006/relationships" ref="A394" r:id="rId388"/>
    <hyperlink xmlns:r="http://schemas.openxmlformats.org/officeDocument/2006/relationships" ref="A395" r:id="rId389"/>
    <hyperlink xmlns:r="http://schemas.openxmlformats.org/officeDocument/2006/relationships" ref="A396" r:id="rId390"/>
    <hyperlink xmlns:r="http://schemas.openxmlformats.org/officeDocument/2006/relationships" ref="A397" r:id="rId391"/>
    <hyperlink xmlns:r="http://schemas.openxmlformats.org/officeDocument/2006/relationships" ref="A398" r:id="rId392"/>
    <hyperlink xmlns:r="http://schemas.openxmlformats.org/officeDocument/2006/relationships" ref="A399" r:id="rId393"/>
    <hyperlink xmlns:r="http://schemas.openxmlformats.org/officeDocument/2006/relationships" ref="A400" r:id="rId394"/>
    <hyperlink xmlns:r="http://schemas.openxmlformats.org/officeDocument/2006/relationships" ref="A401" r:id="rId395"/>
    <hyperlink xmlns:r="http://schemas.openxmlformats.org/officeDocument/2006/relationships" ref="A402" r:id="rId396"/>
    <hyperlink xmlns:r="http://schemas.openxmlformats.org/officeDocument/2006/relationships" ref="A403" r:id="rId397"/>
    <hyperlink xmlns:r="http://schemas.openxmlformats.org/officeDocument/2006/relationships" ref="A404" r:id="rId398"/>
    <hyperlink xmlns:r="http://schemas.openxmlformats.org/officeDocument/2006/relationships" ref="A405" r:id="rId399"/>
    <hyperlink xmlns:r="http://schemas.openxmlformats.org/officeDocument/2006/relationships" ref="A406" r:id="rId400"/>
    <hyperlink xmlns:r="http://schemas.openxmlformats.org/officeDocument/2006/relationships" ref="A407" r:id="rId401"/>
    <hyperlink xmlns:r="http://schemas.openxmlformats.org/officeDocument/2006/relationships" ref="A408" r:id="rId402"/>
    <hyperlink xmlns:r="http://schemas.openxmlformats.org/officeDocument/2006/relationships" ref="A409" r:id="rId403"/>
    <hyperlink xmlns:r="http://schemas.openxmlformats.org/officeDocument/2006/relationships" ref="A410" r:id="rId404"/>
    <hyperlink xmlns:r="http://schemas.openxmlformats.org/officeDocument/2006/relationships" ref="A411" r:id="rId405"/>
    <hyperlink xmlns:r="http://schemas.openxmlformats.org/officeDocument/2006/relationships" ref="A412" r:id="rId406"/>
    <hyperlink xmlns:r="http://schemas.openxmlformats.org/officeDocument/2006/relationships" ref="A413" r:id="rId407"/>
    <hyperlink xmlns:r="http://schemas.openxmlformats.org/officeDocument/2006/relationships" ref="A414" r:id="rId408"/>
    <hyperlink xmlns:r="http://schemas.openxmlformats.org/officeDocument/2006/relationships" ref="A415" r:id="rId409"/>
    <hyperlink xmlns:r="http://schemas.openxmlformats.org/officeDocument/2006/relationships" ref="A416" r:id="rId410"/>
    <hyperlink xmlns:r="http://schemas.openxmlformats.org/officeDocument/2006/relationships" ref="A417" r:id="rId411"/>
    <hyperlink xmlns:r="http://schemas.openxmlformats.org/officeDocument/2006/relationships" ref="A418" r:id="rId412"/>
    <hyperlink xmlns:r="http://schemas.openxmlformats.org/officeDocument/2006/relationships" ref="A419" r:id="rId413"/>
    <hyperlink xmlns:r="http://schemas.openxmlformats.org/officeDocument/2006/relationships" ref="A420" r:id="rId414"/>
    <hyperlink xmlns:r="http://schemas.openxmlformats.org/officeDocument/2006/relationships" ref="A421" r:id="rId415"/>
    <hyperlink xmlns:r="http://schemas.openxmlformats.org/officeDocument/2006/relationships" ref="A422" r:id="rId416"/>
    <hyperlink xmlns:r="http://schemas.openxmlformats.org/officeDocument/2006/relationships" ref="A423" r:id="rId417"/>
    <hyperlink xmlns:r="http://schemas.openxmlformats.org/officeDocument/2006/relationships" ref="A424" r:id="rId418"/>
    <hyperlink xmlns:r="http://schemas.openxmlformats.org/officeDocument/2006/relationships" ref="A425" r:id="rId419"/>
    <hyperlink xmlns:r="http://schemas.openxmlformats.org/officeDocument/2006/relationships" ref="A426" r:id="rId420"/>
    <hyperlink xmlns:r="http://schemas.openxmlformats.org/officeDocument/2006/relationships" ref="A427" r:id="rId421"/>
    <hyperlink xmlns:r="http://schemas.openxmlformats.org/officeDocument/2006/relationships" ref="A428" r:id="rId422"/>
    <hyperlink xmlns:r="http://schemas.openxmlformats.org/officeDocument/2006/relationships" ref="A429" r:id="rId423"/>
    <hyperlink xmlns:r="http://schemas.openxmlformats.org/officeDocument/2006/relationships" ref="A430" r:id="rId424"/>
    <hyperlink xmlns:r="http://schemas.openxmlformats.org/officeDocument/2006/relationships" ref="A431" r:id="rId425"/>
    <hyperlink xmlns:r="http://schemas.openxmlformats.org/officeDocument/2006/relationships" ref="A432" r:id="rId426"/>
    <hyperlink xmlns:r="http://schemas.openxmlformats.org/officeDocument/2006/relationships" ref="A433" r:id="rId427"/>
    <hyperlink xmlns:r="http://schemas.openxmlformats.org/officeDocument/2006/relationships" ref="A434" r:id="rId428"/>
    <hyperlink xmlns:r="http://schemas.openxmlformats.org/officeDocument/2006/relationships" ref="A435" r:id="rId429"/>
    <hyperlink xmlns:r="http://schemas.openxmlformats.org/officeDocument/2006/relationships" ref="A436" r:id="rId430"/>
    <hyperlink xmlns:r="http://schemas.openxmlformats.org/officeDocument/2006/relationships" ref="A437" r:id="rId431"/>
    <hyperlink xmlns:r="http://schemas.openxmlformats.org/officeDocument/2006/relationships" ref="A438" r:id="rId432"/>
    <hyperlink xmlns:r="http://schemas.openxmlformats.org/officeDocument/2006/relationships" ref="A439" r:id="rId433"/>
    <hyperlink xmlns:r="http://schemas.openxmlformats.org/officeDocument/2006/relationships" ref="A440" r:id="rId434"/>
    <hyperlink xmlns:r="http://schemas.openxmlformats.org/officeDocument/2006/relationships" ref="A441" r:id="rId435"/>
    <hyperlink xmlns:r="http://schemas.openxmlformats.org/officeDocument/2006/relationships" ref="A442" r:id="rId436"/>
    <hyperlink xmlns:r="http://schemas.openxmlformats.org/officeDocument/2006/relationships" ref="A443" r:id="rId437"/>
    <hyperlink xmlns:r="http://schemas.openxmlformats.org/officeDocument/2006/relationships" ref="A444" r:id="rId438"/>
    <hyperlink xmlns:r="http://schemas.openxmlformats.org/officeDocument/2006/relationships" ref="A445" r:id="rId439"/>
    <hyperlink xmlns:r="http://schemas.openxmlformats.org/officeDocument/2006/relationships" ref="A446" r:id="rId440"/>
    <hyperlink xmlns:r="http://schemas.openxmlformats.org/officeDocument/2006/relationships" ref="A447" r:id="rId441"/>
    <hyperlink xmlns:r="http://schemas.openxmlformats.org/officeDocument/2006/relationships" ref="A448" r:id="rId442"/>
    <hyperlink xmlns:r="http://schemas.openxmlformats.org/officeDocument/2006/relationships" ref="A449" r:id="rId443"/>
    <hyperlink xmlns:r="http://schemas.openxmlformats.org/officeDocument/2006/relationships" ref="A450" r:id="rId444"/>
    <hyperlink xmlns:r="http://schemas.openxmlformats.org/officeDocument/2006/relationships" ref="A451" r:id="rId445"/>
    <hyperlink xmlns:r="http://schemas.openxmlformats.org/officeDocument/2006/relationships" ref="A452" r:id="rId446"/>
    <hyperlink xmlns:r="http://schemas.openxmlformats.org/officeDocument/2006/relationships" ref="A453" r:id="rId447"/>
    <hyperlink xmlns:r="http://schemas.openxmlformats.org/officeDocument/2006/relationships" ref="A454" r:id="rId448"/>
    <hyperlink xmlns:r="http://schemas.openxmlformats.org/officeDocument/2006/relationships" ref="A455" r:id="rId449"/>
    <hyperlink xmlns:r="http://schemas.openxmlformats.org/officeDocument/2006/relationships" ref="A456" r:id="rId450"/>
    <hyperlink xmlns:r="http://schemas.openxmlformats.org/officeDocument/2006/relationships" ref="A457" r:id="rId451"/>
    <hyperlink xmlns:r="http://schemas.openxmlformats.org/officeDocument/2006/relationships" ref="A458" r:id="rId452"/>
    <hyperlink xmlns:r="http://schemas.openxmlformats.org/officeDocument/2006/relationships" ref="A459" r:id="rId453"/>
    <hyperlink xmlns:r="http://schemas.openxmlformats.org/officeDocument/2006/relationships" ref="A460" r:id="rId454"/>
    <hyperlink xmlns:r="http://schemas.openxmlformats.org/officeDocument/2006/relationships" ref="A461" r:id="rId455"/>
    <hyperlink xmlns:r="http://schemas.openxmlformats.org/officeDocument/2006/relationships" ref="A462" r:id="rId456"/>
    <hyperlink xmlns:r="http://schemas.openxmlformats.org/officeDocument/2006/relationships" ref="A463" r:id="rId457"/>
    <hyperlink xmlns:r="http://schemas.openxmlformats.org/officeDocument/2006/relationships" ref="A464" r:id="rId458"/>
    <hyperlink xmlns:r="http://schemas.openxmlformats.org/officeDocument/2006/relationships" ref="A465" r:id="rId459"/>
    <hyperlink xmlns:r="http://schemas.openxmlformats.org/officeDocument/2006/relationships" ref="A466" r:id="rId460"/>
    <hyperlink xmlns:r="http://schemas.openxmlformats.org/officeDocument/2006/relationships" ref="A467" r:id="rId461"/>
    <hyperlink xmlns:r="http://schemas.openxmlformats.org/officeDocument/2006/relationships" ref="A468" r:id="rId462"/>
    <hyperlink xmlns:r="http://schemas.openxmlformats.org/officeDocument/2006/relationships" ref="A469" r:id="rId463"/>
    <hyperlink xmlns:r="http://schemas.openxmlformats.org/officeDocument/2006/relationships" ref="A470" r:id="rId464"/>
    <hyperlink xmlns:r="http://schemas.openxmlformats.org/officeDocument/2006/relationships" ref="A471" r:id="rId465"/>
    <hyperlink xmlns:r="http://schemas.openxmlformats.org/officeDocument/2006/relationships" ref="A472" r:id="rId466"/>
    <hyperlink xmlns:r="http://schemas.openxmlformats.org/officeDocument/2006/relationships" ref="A473" r:id="rId467"/>
    <hyperlink xmlns:r="http://schemas.openxmlformats.org/officeDocument/2006/relationships" ref="A474" r:id="rId468"/>
    <hyperlink xmlns:r="http://schemas.openxmlformats.org/officeDocument/2006/relationships" ref="A475" r:id="rId469"/>
    <hyperlink xmlns:r="http://schemas.openxmlformats.org/officeDocument/2006/relationships" ref="A476" r:id="rId470"/>
    <hyperlink xmlns:r="http://schemas.openxmlformats.org/officeDocument/2006/relationships" ref="A477" r:id="rId471"/>
    <hyperlink xmlns:r="http://schemas.openxmlformats.org/officeDocument/2006/relationships" ref="A478" r:id="rId472"/>
    <hyperlink xmlns:r="http://schemas.openxmlformats.org/officeDocument/2006/relationships" ref="A479" r:id="rId473"/>
    <hyperlink xmlns:r="http://schemas.openxmlformats.org/officeDocument/2006/relationships" ref="A480" r:id="rId474"/>
    <hyperlink xmlns:r="http://schemas.openxmlformats.org/officeDocument/2006/relationships" ref="A481" r:id="rId475"/>
    <hyperlink xmlns:r="http://schemas.openxmlformats.org/officeDocument/2006/relationships" ref="A482" r:id="rId476"/>
    <hyperlink xmlns:r="http://schemas.openxmlformats.org/officeDocument/2006/relationships" ref="A483" r:id="rId477"/>
    <hyperlink xmlns:r="http://schemas.openxmlformats.org/officeDocument/2006/relationships" ref="A484" r:id="rId478"/>
    <hyperlink xmlns:r="http://schemas.openxmlformats.org/officeDocument/2006/relationships" ref="A485" r:id="rId479"/>
    <hyperlink xmlns:r="http://schemas.openxmlformats.org/officeDocument/2006/relationships" ref="A486" r:id="rId480"/>
    <hyperlink xmlns:r="http://schemas.openxmlformats.org/officeDocument/2006/relationships" ref="A487" r:id="rId481"/>
    <hyperlink xmlns:r="http://schemas.openxmlformats.org/officeDocument/2006/relationships" ref="A488" r:id="rId482"/>
    <hyperlink xmlns:r="http://schemas.openxmlformats.org/officeDocument/2006/relationships" ref="A489" r:id="rId483"/>
    <hyperlink xmlns:r="http://schemas.openxmlformats.org/officeDocument/2006/relationships" ref="A490" r:id="rId484"/>
    <hyperlink xmlns:r="http://schemas.openxmlformats.org/officeDocument/2006/relationships" ref="A491" r:id="rId485"/>
    <hyperlink xmlns:r="http://schemas.openxmlformats.org/officeDocument/2006/relationships" ref="A492" r:id="rId486"/>
    <hyperlink xmlns:r="http://schemas.openxmlformats.org/officeDocument/2006/relationships" ref="A493" r:id="rId487"/>
    <hyperlink xmlns:r="http://schemas.openxmlformats.org/officeDocument/2006/relationships" ref="A494" r:id="rId488"/>
    <hyperlink xmlns:r="http://schemas.openxmlformats.org/officeDocument/2006/relationships" ref="A495" r:id="rId489"/>
    <hyperlink xmlns:r="http://schemas.openxmlformats.org/officeDocument/2006/relationships" ref="A496" r:id="rId490"/>
    <hyperlink xmlns:r="http://schemas.openxmlformats.org/officeDocument/2006/relationships" ref="A497" r:id="rId491"/>
    <hyperlink xmlns:r="http://schemas.openxmlformats.org/officeDocument/2006/relationships" ref="A498" r:id="rId492"/>
    <hyperlink xmlns:r="http://schemas.openxmlformats.org/officeDocument/2006/relationships" ref="A499" r:id="rId493"/>
    <hyperlink xmlns:r="http://schemas.openxmlformats.org/officeDocument/2006/relationships" ref="A500" r:id="rId494"/>
    <hyperlink xmlns:r="http://schemas.openxmlformats.org/officeDocument/2006/relationships" ref="A501" r:id="rId495"/>
    <hyperlink xmlns:r="http://schemas.openxmlformats.org/officeDocument/2006/relationships" ref="A502" r:id="rId496"/>
    <hyperlink xmlns:r="http://schemas.openxmlformats.org/officeDocument/2006/relationships" ref="A503" r:id="rId497"/>
    <hyperlink xmlns:r="http://schemas.openxmlformats.org/officeDocument/2006/relationships" ref="A504" r:id="rId498"/>
    <hyperlink xmlns:r="http://schemas.openxmlformats.org/officeDocument/2006/relationships" ref="A505" r:id="rId499"/>
    <hyperlink xmlns:r="http://schemas.openxmlformats.org/officeDocument/2006/relationships" ref="A506" r:id="rId500"/>
    <hyperlink xmlns:r="http://schemas.openxmlformats.org/officeDocument/2006/relationships" ref="A507" r:id="rId501"/>
    <hyperlink xmlns:r="http://schemas.openxmlformats.org/officeDocument/2006/relationships" ref="A508" r:id="rId502"/>
    <hyperlink xmlns:r="http://schemas.openxmlformats.org/officeDocument/2006/relationships" ref="A509" r:id="rId503"/>
    <hyperlink xmlns:r="http://schemas.openxmlformats.org/officeDocument/2006/relationships" ref="A510" r:id="rId504"/>
    <hyperlink xmlns:r="http://schemas.openxmlformats.org/officeDocument/2006/relationships" ref="A511" r:id="rId505"/>
    <hyperlink xmlns:r="http://schemas.openxmlformats.org/officeDocument/2006/relationships" ref="A512" r:id="rId506"/>
    <hyperlink xmlns:r="http://schemas.openxmlformats.org/officeDocument/2006/relationships" ref="A513" r:id="rId507"/>
    <hyperlink xmlns:r="http://schemas.openxmlformats.org/officeDocument/2006/relationships" ref="A514" r:id="rId508"/>
    <hyperlink xmlns:r="http://schemas.openxmlformats.org/officeDocument/2006/relationships" ref="A515" r:id="rId509"/>
    <hyperlink xmlns:r="http://schemas.openxmlformats.org/officeDocument/2006/relationships" ref="A516" r:id="rId510"/>
    <hyperlink xmlns:r="http://schemas.openxmlformats.org/officeDocument/2006/relationships" ref="A517" r:id="rId511"/>
    <hyperlink xmlns:r="http://schemas.openxmlformats.org/officeDocument/2006/relationships" ref="A518" r:id="rId512"/>
    <hyperlink xmlns:r="http://schemas.openxmlformats.org/officeDocument/2006/relationships" ref="A519" r:id="rId513"/>
    <hyperlink xmlns:r="http://schemas.openxmlformats.org/officeDocument/2006/relationships" ref="A520" r:id="rId514"/>
    <hyperlink xmlns:r="http://schemas.openxmlformats.org/officeDocument/2006/relationships" ref="A521" r:id="rId515"/>
    <hyperlink xmlns:r="http://schemas.openxmlformats.org/officeDocument/2006/relationships" ref="A522" r:id="rId516"/>
    <hyperlink xmlns:r="http://schemas.openxmlformats.org/officeDocument/2006/relationships" ref="A523" r:id="rId517"/>
    <hyperlink xmlns:r="http://schemas.openxmlformats.org/officeDocument/2006/relationships" ref="A524" r:id="rId518"/>
    <hyperlink xmlns:r="http://schemas.openxmlformats.org/officeDocument/2006/relationships" ref="A525" r:id="rId519"/>
    <hyperlink xmlns:r="http://schemas.openxmlformats.org/officeDocument/2006/relationships" ref="A526" r:id="rId520"/>
    <hyperlink xmlns:r="http://schemas.openxmlformats.org/officeDocument/2006/relationships" ref="A527" r:id="rId521"/>
    <hyperlink xmlns:r="http://schemas.openxmlformats.org/officeDocument/2006/relationships" ref="A528" r:id="rId522"/>
    <hyperlink xmlns:r="http://schemas.openxmlformats.org/officeDocument/2006/relationships" ref="A529" r:id="rId523"/>
    <hyperlink xmlns:r="http://schemas.openxmlformats.org/officeDocument/2006/relationships" ref="A530" r:id="rId524"/>
    <hyperlink xmlns:r="http://schemas.openxmlformats.org/officeDocument/2006/relationships" ref="A531" r:id="rId525"/>
    <hyperlink xmlns:r="http://schemas.openxmlformats.org/officeDocument/2006/relationships" ref="A532" r:id="rId526"/>
    <hyperlink xmlns:r="http://schemas.openxmlformats.org/officeDocument/2006/relationships" ref="A533" r:id="rId527"/>
    <hyperlink xmlns:r="http://schemas.openxmlformats.org/officeDocument/2006/relationships" ref="A534" r:id="rId528"/>
    <hyperlink xmlns:r="http://schemas.openxmlformats.org/officeDocument/2006/relationships" ref="A535" r:id="rId529"/>
    <hyperlink xmlns:r="http://schemas.openxmlformats.org/officeDocument/2006/relationships" ref="A536" r:id="rId530"/>
    <hyperlink xmlns:r="http://schemas.openxmlformats.org/officeDocument/2006/relationships" ref="A537" r:id="rId531"/>
    <hyperlink xmlns:r="http://schemas.openxmlformats.org/officeDocument/2006/relationships" ref="A538" r:id="rId532"/>
    <hyperlink xmlns:r="http://schemas.openxmlformats.org/officeDocument/2006/relationships" ref="A539" r:id="rId533"/>
    <hyperlink xmlns:r="http://schemas.openxmlformats.org/officeDocument/2006/relationships" ref="A540" r:id="rId534"/>
    <hyperlink xmlns:r="http://schemas.openxmlformats.org/officeDocument/2006/relationships" ref="A541" r:id="rId535"/>
    <hyperlink xmlns:r="http://schemas.openxmlformats.org/officeDocument/2006/relationships" ref="A542" r:id="rId536"/>
    <hyperlink xmlns:r="http://schemas.openxmlformats.org/officeDocument/2006/relationships" ref="A543" r:id="rId537"/>
    <hyperlink xmlns:r="http://schemas.openxmlformats.org/officeDocument/2006/relationships" ref="A544" r:id="rId538"/>
    <hyperlink xmlns:r="http://schemas.openxmlformats.org/officeDocument/2006/relationships" ref="A545" r:id="rId539"/>
    <hyperlink xmlns:r="http://schemas.openxmlformats.org/officeDocument/2006/relationships" ref="A546" r:id="rId540"/>
    <hyperlink xmlns:r="http://schemas.openxmlformats.org/officeDocument/2006/relationships" ref="A547" r:id="rId541"/>
    <hyperlink xmlns:r="http://schemas.openxmlformats.org/officeDocument/2006/relationships" ref="A548" r:id="rId542"/>
    <hyperlink xmlns:r="http://schemas.openxmlformats.org/officeDocument/2006/relationships" ref="A549" r:id="rId543"/>
    <hyperlink xmlns:r="http://schemas.openxmlformats.org/officeDocument/2006/relationships" ref="A550" r:id="rId544"/>
    <hyperlink xmlns:r="http://schemas.openxmlformats.org/officeDocument/2006/relationships" ref="A551" r:id="rId545"/>
    <hyperlink xmlns:r="http://schemas.openxmlformats.org/officeDocument/2006/relationships" ref="A552" r:id="rId546"/>
    <hyperlink xmlns:r="http://schemas.openxmlformats.org/officeDocument/2006/relationships" ref="A553" r:id="rId547"/>
    <hyperlink xmlns:r="http://schemas.openxmlformats.org/officeDocument/2006/relationships" ref="A554" r:id="rId548"/>
    <hyperlink xmlns:r="http://schemas.openxmlformats.org/officeDocument/2006/relationships" ref="A555" r:id="rId549"/>
    <hyperlink xmlns:r="http://schemas.openxmlformats.org/officeDocument/2006/relationships" ref="A556" r:id="rId550"/>
    <hyperlink xmlns:r="http://schemas.openxmlformats.org/officeDocument/2006/relationships" ref="A557" r:id="rId551"/>
    <hyperlink xmlns:r="http://schemas.openxmlformats.org/officeDocument/2006/relationships" ref="A558" r:id="rId552"/>
    <hyperlink xmlns:r="http://schemas.openxmlformats.org/officeDocument/2006/relationships" ref="A559" r:id="rId553"/>
    <hyperlink xmlns:r="http://schemas.openxmlformats.org/officeDocument/2006/relationships" ref="A560" r:id="rId554"/>
    <hyperlink xmlns:r="http://schemas.openxmlformats.org/officeDocument/2006/relationships" ref="A561" r:id="rId555"/>
    <hyperlink xmlns:r="http://schemas.openxmlformats.org/officeDocument/2006/relationships" ref="A562" r:id="rId556"/>
    <hyperlink xmlns:r="http://schemas.openxmlformats.org/officeDocument/2006/relationships" ref="A563" r:id="rId557"/>
    <hyperlink xmlns:r="http://schemas.openxmlformats.org/officeDocument/2006/relationships" ref="A564" r:id="rId558"/>
    <hyperlink xmlns:r="http://schemas.openxmlformats.org/officeDocument/2006/relationships" ref="A565" r:id="rId559"/>
    <hyperlink xmlns:r="http://schemas.openxmlformats.org/officeDocument/2006/relationships" ref="A566" r:id="rId560"/>
    <hyperlink xmlns:r="http://schemas.openxmlformats.org/officeDocument/2006/relationships" ref="A567" r:id="rId561"/>
    <hyperlink xmlns:r="http://schemas.openxmlformats.org/officeDocument/2006/relationships" ref="A568" r:id="rId562"/>
    <hyperlink xmlns:r="http://schemas.openxmlformats.org/officeDocument/2006/relationships" ref="A569" r:id="rId563"/>
    <hyperlink xmlns:r="http://schemas.openxmlformats.org/officeDocument/2006/relationships" ref="A570" r:id="rId564"/>
    <hyperlink xmlns:r="http://schemas.openxmlformats.org/officeDocument/2006/relationships" ref="A571" r:id="rId565"/>
    <hyperlink xmlns:r="http://schemas.openxmlformats.org/officeDocument/2006/relationships" ref="A572" r:id="rId566"/>
    <hyperlink xmlns:r="http://schemas.openxmlformats.org/officeDocument/2006/relationships" ref="A573" r:id="rId567"/>
    <hyperlink xmlns:r="http://schemas.openxmlformats.org/officeDocument/2006/relationships" ref="A574" r:id="rId568"/>
    <hyperlink xmlns:r="http://schemas.openxmlformats.org/officeDocument/2006/relationships" ref="A575" r:id="rId569"/>
    <hyperlink xmlns:r="http://schemas.openxmlformats.org/officeDocument/2006/relationships" ref="A576" r:id="rId570"/>
    <hyperlink xmlns:r="http://schemas.openxmlformats.org/officeDocument/2006/relationships" ref="A577" r:id="rId571"/>
    <hyperlink xmlns:r="http://schemas.openxmlformats.org/officeDocument/2006/relationships" ref="A578" r:id="rId572"/>
    <hyperlink xmlns:r="http://schemas.openxmlformats.org/officeDocument/2006/relationships" ref="A579" r:id="rId573"/>
    <hyperlink xmlns:r="http://schemas.openxmlformats.org/officeDocument/2006/relationships" ref="A580" r:id="rId574"/>
    <hyperlink xmlns:r="http://schemas.openxmlformats.org/officeDocument/2006/relationships" ref="A581" r:id="rId575"/>
    <hyperlink xmlns:r="http://schemas.openxmlformats.org/officeDocument/2006/relationships" ref="A582" r:id="rId576"/>
    <hyperlink xmlns:r="http://schemas.openxmlformats.org/officeDocument/2006/relationships" ref="A583" r:id="rId577"/>
    <hyperlink xmlns:r="http://schemas.openxmlformats.org/officeDocument/2006/relationships" ref="A584" r:id="rId578"/>
    <hyperlink xmlns:r="http://schemas.openxmlformats.org/officeDocument/2006/relationships" ref="A585" r:id="rId579"/>
    <hyperlink xmlns:r="http://schemas.openxmlformats.org/officeDocument/2006/relationships" ref="A586" r:id="rId580"/>
    <hyperlink xmlns:r="http://schemas.openxmlformats.org/officeDocument/2006/relationships" ref="A587" r:id="rId581"/>
    <hyperlink xmlns:r="http://schemas.openxmlformats.org/officeDocument/2006/relationships" ref="A588" r:id="rId582"/>
    <hyperlink xmlns:r="http://schemas.openxmlformats.org/officeDocument/2006/relationships" ref="A589" r:id="rId583"/>
    <hyperlink xmlns:r="http://schemas.openxmlformats.org/officeDocument/2006/relationships" ref="A590" r:id="rId584"/>
    <hyperlink xmlns:r="http://schemas.openxmlformats.org/officeDocument/2006/relationships" ref="A591" r:id="rId585"/>
    <hyperlink xmlns:r="http://schemas.openxmlformats.org/officeDocument/2006/relationships" ref="A592" r:id="rId586"/>
    <hyperlink xmlns:r="http://schemas.openxmlformats.org/officeDocument/2006/relationships" ref="A593" r:id="rId587"/>
    <hyperlink xmlns:r="http://schemas.openxmlformats.org/officeDocument/2006/relationships" ref="A594" r:id="rId588"/>
    <hyperlink xmlns:r="http://schemas.openxmlformats.org/officeDocument/2006/relationships" ref="A595" r:id="rId589"/>
    <hyperlink xmlns:r="http://schemas.openxmlformats.org/officeDocument/2006/relationships" ref="A596" r:id="rId590"/>
    <hyperlink xmlns:r="http://schemas.openxmlformats.org/officeDocument/2006/relationships" ref="A597" r:id="rId591"/>
    <hyperlink xmlns:r="http://schemas.openxmlformats.org/officeDocument/2006/relationships" ref="A598" r:id="rId592"/>
    <hyperlink xmlns:r="http://schemas.openxmlformats.org/officeDocument/2006/relationships" ref="A599" r:id="rId593"/>
    <hyperlink xmlns:r="http://schemas.openxmlformats.org/officeDocument/2006/relationships" ref="A600" r:id="rId594"/>
    <hyperlink xmlns:r="http://schemas.openxmlformats.org/officeDocument/2006/relationships" ref="A601" r:id="rId595"/>
    <hyperlink xmlns:r="http://schemas.openxmlformats.org/officeDocument/2006/relationships" ref="A602" r:id="rId596"/>
    <hyperlink xmlns:r="http://schemas.openxmlformats.org/officeDocument/2006/relationships" ref="A603" r:id="rId597"/>
    <hyperlink xmlns:r="http://schemas.openxmlformats.org/officeDocument/2006/relationships" ref="A604" r:id="rId598"/>
    <hyperlink xmlns:r="http://schemas.openxmlformats.org/officeDocument/2006/relationships" ref="A605" r:id="rId599"/>
    <hyperlink xmlns:r="http://schemas.openxmlformats.org/officeDocument/2006/relationships" ref="A606" r:id="rId600"/>
    <hyperlink xmlns:r="http://schemas.openxmlformats.org/officeDocument/2006/relationships" ref="A607" r:id="rId601"/>
    <hyperlink xmlns:r="http://schemas.openxmlformats.org/officeDocument/2006/relationships" ref="A608" r:id="rId602"/>
    <hyperlink xmlns:r="http://schemas.openxmlformats.org/officeDocument/2006/relationships" ref="A609" r:id="rId603"/>
    <hyperlink xmlns:r="http://schemas.openxmlformats.org/officeDocument/2006/relationships" ref="A610" r:id="rId604"/>
    <hyperlink xmlns:r="http://schemas.openxmlformats.org/officeDocument/2006/relationships" ref="A611" r:id="rId605"/>
    <hyperlink xmlns:r="http://schemas.openxmlformats.org/officeDocument/2006/relationships" ref="A612" r:id="rId606"/>
    <hyperlink xmlns:r="http://schemas.openxmlformats.org/officeDocument/2006/relationships" ref="A613" r:id="rId607"/>
    <hyperlink xmlns:r="http://schemas.openxmlformats.org/officeDocument/2006/relationships" ref="A614" r:id="rId608"/>
    <hyperlink xmlns:r="http://schemas.openxmlformats.org/officeDocument/2006/relationships" ref="A615" r:id="rId609"/>
    <hyperlink xmlns:r="http://schemas.openxmlformats.org/officeDocument/2006/relationships" ref="A616" r:id="rId610"/>
    <hyperlink xmlns:r="http://schemas.openxmlformats.org/officeDocument/2006/relationships" ref="A617" r:id="rId611"/>
    <hyperlink xmlns:r="http://schemas.openxmlformats.org/officeDocument/2006/relationships" ref="A618" r:id="rId612"/>
    <hyperlink xmlns:r="http://schemas.openxmlformats.org/officeDocument/2006/relationships" ref="A619" r:id="rId613"/>
    <hyperlink xmlns:r="http://schemas.openxmlformats.org/officeDocument/2006/relationships" ref="A620" r:id="rId614"/>
    <hyperlink xmlns:r="http://schemas.openxmlformats.org/officeDocument/2006/relationships" ref="A621" r:id="rId615"/>
    <hyperlink xmlns:r="http://schemas.openxmlformats.org/officeDocument/2006/relationships" ref="A622" r:id="rId616"/>
    <hyperlink xmlns:r="http://schemas.openxmlformats.org/officeDocument/2006/relationships" ref="A623" r:id="rId617"/>
    <hyperlink xmlns:r="http://schemas.openxmlformats.org/officeDocument/2006/relationships" ref="A624" r:id="rId618"/>
    <hyperlink xmlns:r="http://schemas.openxmlformats.org/officeDocument/2006/relationships" ref="A625" r:id="rId619"/>
    <hyperlink xmlns:r="http://schemas.openxmlformats.org/officeDocument/2006/relationships" ref="A626" r:id="rId620"/>
    <hyperlink xmlns:r="http://schemas.openxmlformats.org/officeDocument/2006/relationships" ref="A627" r:id="rId621"/>
    <hyperlink xmlns:r="http://schemas.openxmlformats.org/officeDocument/2006/relationships" ref="A628" r:id="rId622"/>
    <hyperlink xmlns:r="http://schemas.openxmlformats.org/officeDocument/2006/relationships" ref="A629" r:id="rId623"/>
    <hyperlink xmlns:r="http://schemas.openxmlformats.org/officeDocument/2006/relationships" ref="A630" r:id="rId624"/>
    <hyperlink xmlns:r="http://schemas.openxmlformats.org/officeDocument/2006/relationships" ref="A631" r:id="rId625"/>
    <hyperlink xmlns:r="http://schemas.openxmlformats.org/officeDocument/2006/relationships" ref="A632" r:id="rId626"/>
    <hyperlink xmlns:r="http://schemas.openxmlformats.org/officeDocument/2006/relationships" ref="A633" r:id="rId627"/>
    <hyperlink xmlns:r="http://schemas.openxmlformats.org/officeDocument/2006/relationships" ref="A634" r:id="rId628"/>
    <hyperlink xmlns:r="http://schemas.openxmlformats.org/officeDocument/2006/relationships" ref="A635" r:id="rId629"/>
    <hyperlink xmlns:r="http://schemas.openxmlformats.org/officeDocument/2006/relationships" ref="A636" r:id="rId630"/>
    <hyperlink xmlns:r="http://schemas.openxmlformats.org/officeDocument/2006/relationships" ref="A637" r:id="rId631"/>
    <hyperlink xmlns:r="http://schemas.openxmlformats.org/officeDocument/2006/relationships" ref="A638" r:id="rId632"/>
    <hyperlink xmlns:r="http://schemas.openxmlformats.org/officeDocument/2006/relationships" ref="A639" r:id="rId633"/>
    <hyperlink xmlns:r="http://schemas.openxmlformats.org/officeDocument/2006/relationships" ref="A640" r:id="rId634"/>
    <hyperlink xmlns:r="http://schemas.openxmlformats.org/officeDocument/2006/relationships" ref="A641" r:id="rId635"/>
    <hyperlink xmlns:r="http://schemas.openxmlformats.org/officeDocument/2006/relationships" ref="A642" r:id="rId636"/>
    <hyperlink xmlns:r="http://schemas.openxmlformats.org/officeDocument/2006/relationships" ref="A643" r:id="rId637"/>
    <hyperlink xmlns:r="http://schemas.openxmlformats.org/officeDocument/2006/relationships" ref="A644" r:id="rId638"/>
    <hyperlink xmlns:r="http://schemas.openxmlformats.org/officeDocument/2006/relationships" ref="A645" r:id="rId639"/>
    <hyperlink xmlns:r="http://schemas.openxmlformats.org/officeDocument/2006/relationships" ref="A646" r:id="rId640"/>
    <hyperlink xmlns:r="http://schemas.openxmlformats.org/officeDocument/2006/relationships" ref="A647" r:id="rId641"/>
    <hyperlink xmlns:r="http://schemas.openxmlformats.org/officeDocument/2006/relationships" ref="A648" r:id="rId642"/>
    <hyperlink xmlns:r="http://schemas.openxmlformats.org/officeDocument/2006/relationships" ref="A649" r:id="rId643"/>
    <hyperlink xmlns:r="http://schemas.openxmlformats.org/officeDocument/2006/relationships" ref="A650" r:id="rId644"/>
    <hyperlink xmlns:r="http://schemas.openxmlformats.org/officeDocument/2006/relationships" ref="A651" r:id="rId645"/>
    <hyperlink xmlns:r="http://schemas.openxmlformats.org/officeDocument/2006/relationships" ref="A652" r:id="rId646"/>
    <hyperlink xmlns:r="http://schemas.openxmlformats.org/officeDocument/2006/relationships" ref="A653" r:id="rId647"/>
    <hyperlink xmlns:r="http://schemas.openxmlformats.org/officeDocument/2006/relationships" ref="A654" r:id="rId648"/>
    <hyperlink xmlns:r="http://schemas.openxmlformats.org/officeDocument/2006/relationships" ref="A655" r:id="rId649"/>
    <hyperlink xmlns:r="http://schemas.openxmlformats.org/officeDocument/2006/relationships" ref="A656" r:id="rId650"/>
    <hyperlink xmlns:r="http://schemas.openxmlformats.org/officeDocument/2006/relationships" ref="A657" r:id="rId651"/>
    <hyperlink xmlns:r="http://schemas.openxmlformats.org/officeDocument/2006/relationships" ref="A658" r:id="rId652"/>
    <hyperlink xmlns:r="http://schemas.openxmlformats.org/officeDocument/2006/relationships" ref="A659" r:id="rId653"/>
    <hyperlink xmlns:r="http://schemas.openxmlformats.org/officeDocument/2006/relationships" ref="A660" r:id="rId654"/>
    <hyperlink xmlns:r="http://schemas.openxmlformats.org/officeDocument/2006/relationships" ref="A661" r:id="rId655"/>
    <hyperlink xmlns:r="http://schemas.openxmlformats.org/officeDocument/2006/relationships" ref="A662" r:id="rId656"/>
    <hyperlink xmlns:r="http://schemas.openxmlformats.org/officeDocument/2006/relationships" ref="A663" r:id="rId657"/>
    <hyperlink xmlns:r="http://schemas.openxmlformats.org/officeDocument/2006/relationships" ref="A664" r:id="rId658"/>
    <hyperlink xmlns:r="http://schemas.openxmlformats.org/officeDocument/2006/relationships" ref="A665" r:id="rId659"/>
    <hyperlink xmlns:r="http://schemas.openxmlformats.org/officeDocument/2006/relationships" ref="A666" r:id="rId660"/>
    <hyperlink xmlns:r="http://schemas.openxmlformats.org/officeDocument/2006/relationships" ref="A667" r:id="rId661"/>
    <hyperlink xmlns:r="http://schemas.openxmlformats.org/officeDocument/2006/relationships" ref="A668" r:id="rId662"/>
    <hyperlink xmlns:r="http://schemas.openxmlformats.org/officeDocument/2006/relationships" ref="A669" r:id="rId663"/>
    <hyperlink xmlns:r="http://schemas.openxmlformats.org/officeDocument/2006/relationships" ref="A670" r:id="rId664"/>
    <hyperlink xmlns:r="http://schemas.openxmlformats.org/officeDocument/2006/relationships" ref="A671" r:id="rId665"/>
    <hyperlink xmlns:r="http://schemas.openxmlformats.org/officeDocument/2006/relationships" ref="A672" r:id="rId666"/>
    <hyperlink xmlns:r="http://schemas.openxmlformats.org/officeDocument/2006/relationships" ref="A673" r:id="rId667"/>
    <hyperlink xmlns:r="http://schemas.openxmlformats.org/officeDocument/2006/relationships" ref="A674" r:id="rId668"/>
    <hyperlink xmlns:r="http://schemas.openxmlformats.org/officeDocument/2006/relationships" ref="A675" r:id="rId669"/>
    <hyperlink xmlns:r="http://schemas.openxmlformats.org/officeDocument/2006/relationships" ref="A676" r:id="rId670"/>
    <hyperlink xmlns:r="http://schemas.openxmlformats.org/officeDocument/2006/relationships" ref="A677" r:id="rId671"/>
    <hyperlink xmlns:r="http://schemas.openxmlformats.org/officeDocument/2006/relationships" ref="A678" r:id="rId672"/>
    <hyperlink xmlns:r="http://schemas.openxmlformats.org/officeDocument/2006/relationships" ref="A679" r:id="rId673"/>
    <hyperlink xmlns:r="http://schemas.openxmlformats.org/officeDocument/2006/relationships" ref="A680" r:id="rId674"/>
    <hyperlink xmlns:r="http://schemas.openxmlformats.org/officeDocument/2006/relationships" ref="A681" r:id="rId675"/>
    <hyperlink xmlns:r="http://schemas.openxmlformats.org/officeDocument/2006/relationships" ref="A682" r:id="rId676"/>
    <hyperlink xmlns:r="http://schemas.openxmlformats.org/officeDocument/2006/relationships" ref="A683" r:id="rId677"/>
    <hyperlink xmlns:r="http://schemas.openxmlformats.org/officeDocument/2006/relationships" ref="A684" r:id="rId678"/>
    <hyperlink xmlns:r="http://schemas.openxmlformats.org/officeDocument/2006/relationships" ref="A685" r:id="rId679"/>
    <hyperlink xmlns:r="http://schemas.openxmlformats.org/officeDocument/2006/relationships" ref="A686" r:id="rId680"/>
    <hyperlink xmlns:r="http://schemas.openxmlformats.org/officeDocument/2006/relationships" ref="A687" r:id="rId681"/>
    <hyperlink xmlns:r="http://schemas.openxmlformats.org/officeDocument/2006/relationships" ref="A688" r:id="rId682"/>
    <hyperlink xmlns:r="http://schemas.openxmlformats.org/officeDocument/2006/relationships" ref="A689" r:id="rId683"/>
    <hyperlink xmlns:r="http://schemas.openxmlformats.org/officeDocument/2006/relationships" ref="A690" r:id="rId684"/>
    <hyperlink xmlns:r="http://schemas.openxmlformats.org/officeDocument/2006/relationships" ref="A691" r:id="rId685"/>
    <hyperlink xmlns:r="http://schemas.openxmlformats.org/officeDocument/2006/relationships" ref="A692" r:id="rId686"/>
    <hyperlink xmlns:r="http://schemas.openxmlformats.org/officeDocument/2006/relationships" ref="A693" r:id="rId687"/>
    <hyperlink xmlns:r="http://schemas.openxmlformats.org/officeDocument/2006/relationships" ref="A694" r:id="rId688"/>
    <hyperlink xmlns:r="http://schemas.openxmlformats.org/officeDocument/2006/relationships" ref="A695" r:id="rId689"/>
    <hyperlink xmlns:r="http://schemas.openxmlformats.org/officeDocument/2006/relationships" ref="A696" r:id="rId690"/>
    <hyperlink xmlns:r="http://schemas.openxmlformats.org/officeDocument/2006/relationships" ref="A697" r:id="rId691"/>
    <hyperlink xmlns:r="http://schemas.openxmlformats.org/officeDocument/2006/relationships" ref="A698" r:id="rId692"/>
    <hyperlink xmlns:r="http://schemas.openxmlformats.org/officeDocument/2006/relationships" ref="A699" r:id="rId693"/>
    <hyperlink xmlns:r="http://schemas.openxmlformats.org/officeDocument/2006/relationships" ref="A700" r:id="rId694"/>
    <hyperlink xmlns:r="http://schemas.openxmlformats.org/officeDocument/2006/relationships" ref="A701" r:id="rId695"/>
    <hyperlink xmlns:r="http://schemas.openxmlformats.org/officeDocument/2006/relationships" ref="A702" r:id="rId696"/>
    <hyperlink xmlns:r="http://schemas.openxmlformats.org/officeDocument/2006/relationships" ref="A703" r:id="rId697"/>
    <hyperlink xmlns:r="http://schemas.openxmlformats.org/officeDocument/2006/relationships" ref="A704" r:id="rId698"/>
    <hyperlink xmlns:r="http://schemas.openxmlformats.org/officeDocument/2006/relationships" ref="A705" r:id="rId699"/>
    <hyperlink xmlns:r="http://schemas.openxmlformats.org/officeDocument/2006/relationships" ref="A706" r:id="rId700"/>
    <hyperlink xmlns:r="http://schemas.openxmlformats.org/officeDocument/2006/relationships" ref="A707" r:id="rId701"/>
    <hyperlink xmlns:r="http://schemas.openxmlformats.org/officeDocument/2006/relationships" ref="A708" r:id="rId702"/>
    <hyperlink xmlns:r="http://schemas.openxmlformats.org/officeDocument/2006/relationships" ref="A709" r:id="rId703"/>
    <hyperlink xmlns:r="http://schemas.openxmlformats.org/officeDocument/2006/relationships" ref="A710" r:id="rId704"/>
    <hyperlink xmlns:r="http://schemas.openxmlformats.org/officeDocument/2006/relationships" ref="A711" r:id="rId705"/>
    <hyperlink xmlns:r="http://schemas.openxmlformats.org/officeDocument/2006/relationships" ref="A712" r:id="rId706"/>
    <hyperlink xmlns:r="http://schemas.openxmlformats.org/officeDocument/2006/relationships" ref="A713" r:id="rId707"/>
    <hyperlink xmlns:r="http://schemas.openxmlformats.org/officeDocument/2006/relationships" ref="A714" r:id="rId708"/>
    <hyperlink xmlns:r="http://schemas.openxmlformats.org/officeDocument/2006/relationships" ref="A715" r:id="rId709"/>
    <hyperlink xmlns:r="http://schemas.openxmlformats.org/officeDocument/2006/relationships" ref="A716" r:id="rId710"/>
    <hyperlink xmlns:r="http://schemas.openxmlformats.org/officeDocument/2006/relationships" ref="A717" r:id="rId711"/>
    <hyperlink xmlns:r="http://schemas.openxmlformats.org/officeDocument/2006/relationships" ref="A718" r:id="rId712"/>
    <hyperlink xmlns:r="http://schemas.openxmlformats.org/officeDocument/2006/relationships" ref="A719" r:id="rId713"/>
    <hyperlink xmlns:r="http://schemas.openxmlformats.org/officeDocument/2006/relationships" ref="A720" r:id="rId714"/>
    <hyperlink xmlns:r="http://schemas.openxmlformats.org/officeDocument/2006/relationships" ref="A721" r:id="rId715"/>
    <hyperlink xmlns:r="http://schemas.openxmlformats.org/officeDocument/2006/relationships" ref="A722" r:id="rId716"/>
    <hyperlink xmlns:r="http://schemas.openxmlformats.org/officeDocument/2006/relationships" ref="A723" r:id="rId717"/>
    <hyperlink xmlns:r="http://schemas.openxmlformats.org/officeDocument/2006/relationships" ref="A724" r:id="rId718"/>
    <hyperlink xmlns:r="http://schemas.openxmlformats.org/officeDocument/2006/relationships" ref="A725" r:id="rId719"/>
    <hyperlink xmlns:r="http://schemas.openxmlformats.org/officeDocument/2006/relationships" ref="A726" r:id="rId720"/>
    <hyperlink xmlns:r="http://schemas.openxmlformats.org/officeDocument/2006/relationships" ref="A727" r:id="rId721"/>
    <hyperlink xmlns:r="http://schemas.openxmlformats.org/officeDocument/2006/relationships" ref="A728" r:id="rId722"/>
    <hyperlink xmlns:r="http://schemas.openxmlformats.org/officeDocument/2006/relationships" ref="A729" r:id="rId723"/>
    <hyperlink xmlns:r="http://schemas.openxmlformats.org/officeDocument/2006/relationships" ref="A730" r:id="rId724"/>
    <hyperlink xmlns:r="http://schemas.openxmlformats.org/officeDocument/2006/relationships" ref="A731" r:id="rId725"/>
    <hyperlink xmlns:r="http://schemas.openxmlformats.org/officeDocument/2006/relationships" ref="A732" r:id="rId726"/>
    <hyperlink xmlns:r="http://schemas.openxmlformats.org/officeDocument/2006/relationships" ref="A733" r:id="rId727"/>
    <hyperlink xmlns:r="http://schemas.openxmlformats.org/officeDocument/2006/relationships" ref="A734" r:id="rId728"/>
    <hyperlink xmlns:r="http://schemas.openxmlformats.org/officeDocument/2006/relationships" ref="A735" r:id="rId729"/>
    <hyperlink xmlns:r="http://schemas.openxmlformats.org/officeDocument/2006/relationships" ref="A736" r:id="rId730"/>
    <hyperlink xmlns:r="http://schemas.openxmlformats.org/officeDocument/2006/relationships" ref="A737" r:id="rId731"/>
    <hyperlink xmlns:r="http://schemas.openxmlformats.org/officeDocument/2006/relationships" ref="A738" r:id="rId732"/>
    <hyperlink xmlns:r="http://schemas.openxmlformats.org/officeDocument/2006/relationships" ref="A739" r:id="rId733"/>
    <hyperlink xmlns:r="http://schemas.openxmlformats.org/officeDocument/2006/relationships" ref="A740" r:id="rId734"/>
    <hyperlink xmlns:r="http://schemas.openxmlformats.org/officeDocument/2006/relationships" ref="A741" r:id="rId735"/>
    <hyperlink xmlns:r="http://schemas.openxmlformats.org/officeDocument/2006/relationships" ref="A742" r:id="rId736"/>
    <hyperlink xmlns:r="http://schemas.openxmlformats.org/officeDocument/2006/relationships" ref="A743" r:id="rId737"/>
    <hyperlink xmlns:r="http://schemas.openxmlformats.org/officeDocument/2006/relationships" ref="A744" r:id="rId738"/>
    <hyperlink xmlns:r="http://schemas.openxmlformats.org/officeDocument/2006/relationships" ref="A745" r:id="rId739"/>
    <hyperlink xmlns:r="http://schemas.openxmlformats.org/officeDocument/2006/relationships" ref="A746" r:id="rId740"/>
    <hyperlink xmlns:r="http://schemas.openxmlformats.org/officeDocument/2006/relationships" ref="A747" r:id="rId741"/>
    <hyperlink xmlns:r="http://schemas.openxmlformats.org/officeDocument/2006/relationships" ref="A748" r:id="rId742"/>
    <hyperlink xmlns:r="http://schemas.openxmlformats.org/officeDocument/2006/relationships" ref="A749" r:id="rId743"/>
    <hyperlink xmlns:r="http://schemas.openxmlformats.org/officeDocument/2006/relationships" ref="A750" r:id="rId744"/>
    <hyperlink xmlns:r="http://schemas.openxmlformats.org/officeDocument/2006/relationships" ref="A751" r:id="rId745"/>
    <hyperlink xmlns:r="http://schemas.openxmlformats.org/officeDocument/2006/relationships" ref="A752" r:id="rId746"/>
    <hyperlink xmlns:r="http://schemas.openxmlformats.org/officeDocument/2006/relationships" ref="A753" r:id="rId747"/>
    <hyperlink xmlns:r="http://schemas.openxmlformats.org/officeDocument/2006/relationships" ref="A754" r:id="rId748"/>
    <hyperlink xmlns:r="http://schemas.openxmlformats.org/officeDocument/2006/relationships" ref="A755" r:id="rId749"/>
    <hyperlink xmlns:r="http://schemas.openxmlformats.org/officeDocument/2006/relationships" ref="A756" r:id="rId750"/>
    <hyperlink xmlns:r="http://schemas.openxmlformats.org/officeDocument/2006/relationships" ref="A757" r:id="rId751"/>
    <hyperlink xmlns:r="http://schemas.openxmlformats.org/officeDocument/2006/relationships" ref="A758" r:id="rId752"/>
    <hyperlink xmlns:r="http://schemas.openxmlformats.org/officeDocument/2006/relationships" ref="A759" r:id="rId753"/>
    <hyperlink xmlns:r="http://schemas.openxmlformats.org/officeDocument/2006/relationships" ref="A760" r:id="rId754"/>
    <hyperlink xmlns:r="http://schemas.openxmlformats.org/officeDocument/2006/relationships" ref="A761" r:id="rId755"/>
    <hyperlink xmlns:r="http://schemas.openxmlformats.org/officeDocument/2006/relationships" ref="A762" r:id="rId756"/>
    <hyperlink xmlns:r="http://schemas.openxmlformats.org/officeDocument/2006/relationships" ref="A763" r:id="rId757"/>
    <hyperlink xmlns:r="http://schemas.openxmlformats.org/officeDocument/2006/relationships" ref="A764" r:id="rId758"/>
    <hyperlink xmlns:r="http://schemas.openxmlformats.org/officeDocument/2006/relationships" ref="A765" r:id="rId759"/>
    <hyperlink xmlns:r="http://schemas.openxmlformats.org/officeDocument/2006/relationships" ref="A766" r:id="rId760"/>
    <hyperlink xmlns:r="http://schemas.openxmlformats.org/officeDocument/2006/relationships" ref="A767" r:id="rId761"/>
    <hyperlink xmlns:r="http://schemas.openxmlformats.org/officeDocument/2006/relationships" ref="A768" r:id="rId762"/>
    <hyperlink xmlns:r="http://schemas.openxmlformats.org/officeDocument/2006/relationships" ref="A769" r:id="rId763"/>
    <hyperlink xmlns:r="http://schemas.openxmlformats.org/officeDocument/2006/relationships" ref="A770" r:id="rId764"/>
    <hyperlink xmlns:r="http://schemas.openxmlformats.org/officeDocument/2006/relationships" ref="A771" r:id="rId765"/>
    <hyperlink xmlns:r="http://schemas.openxmlformats.org/officeDocument/2006/relationships" ref="A772" r:id="rId766"/>
    <hyperlink xmlns:r="http://schemas.openxmlformats.org/officeDocument/2006/relationships" ref="A773" r:id="rId767"/>
    <hyperlink xmlns:r="http://schemas.openxmlformats.org/officeDocument/2006/relationships" ref="A774" r:id="rId768"/>
    <hyperlink xmlns:r="http://schemas.openxmlformats.org/officeDocument/2006/relationships" ref="A775" r:id="rId769"/>
    <hyperlink xmlns:r="http://schemas.openxmlformats.org/officeDocument/2006/relationships" ref="A776" r:id="rId770"/>
    <hyperlink xmlns:r="http://schemas.openxmlformats.org/officeDocument/2006/relationships" ref="A777" r:id="rId771"/>
    <hyperlink xmlns:r="http://schemas.openxmlformats.org/officeDocument/2006/relationships" ref="A778" r:id="rId772"/>
    <hyperlink xmlns:r="http://schemas.openxmlformats.org/officeDocument/2006/relationships" ref="A779" r:id="rId773"/>
    <hyperlink xmlns:r="http://schemas.openxmlformats.org/officeDocument/2006/relationships" ref="A780" r:id="rId774"/>
    <hyperlink xmlns:r="http://schemas.openxmlformats.org/officeDocument/2006/relationships" ref="A781" r:id="rId775"/>
    <hyperlink xmlns:r="http://schemas.openxmlformats.org/officeDocument/2006/relationships" ref="A782" r:id="rId776"/>
    <hyperlink xmlns:r="http://schemas.openxmlformats.org/officeDocument/2006/relationships" ref="A783" r:id="rId777"/>
    <hyperlink xmlns:r="http://schemas.openxmlformats.org/officeDocument/2006/relationships" ref="A784" r:id="rId778"/>
    <hyperlink xmlns:r="http://schemas.openxmlformats.org/officeDocument/2006/relationships" ref="A785" r:id="rId779"/>
    <hyperlink xmlns:r="http://schemas.openxmlformats.org/officeDocument/2006/relationships" ref="A786" r:id="rId780"/>
    <hyperlink xmlns:r="http://schemas.openxmlformats.org/officeDocument/2006/relationships" ref="A787" r:id="rId781"/>
    <hyperlink xmlns:r="http://schemas.openxmlformats.org/officeDocument/2006/relationships" ref="A788" r:id="rId782"/>
    <hyperlink xmlns:r="http://schemas.openxmlformats.org/officeDocument/2006/relationships" ref="A789" r:id="rId783"/>
    <hyperlink xmlns:r="http://schemas.openxmlformats.org/officeDocument/2006/relationships" ref="A790" r:id="rId784"/>
    <hyperlink xmlns:r="http://schemas.openxmlformats.org/officeDocument/2006/relationships" ref="A791" r:id="rId785"/>
    <hyperlink xmlns:r="http://schemas.openxmlformats.org/officeDocument/2006/relationships" ref="A792" r:id="rId786"/>
    <hyperlink xmlns:r="http://schemas.openxmlformats.org/officeDocument/2006/relationships" ref="A793" r:id="rId787"/>
    <hyperlink xmlns:r="http://schemas.openxmlformats.org/officeDocument/2006/relationships" ref="A794" r:id="rId788"/>
    <hyperlink xmlns:r="http://schemas.openxmlformats.org/officeDocument/2006/relationships" ref="A795" r:id="rId789"/>
    <hyperlink xmlns:r="http://schemas.openxmlformats.org/officeDocument/2006/relationships" ref="A796" r:id="rId790"/>
    <hyperlink xmlns:r="http://schemas.openxmlformats.org/officeDocument/2006/relationships" ref="A797" r:id="rId791"/>
    <hyperlink xmlns:r="http://schemas.openxmlformats.org/officeDocument/2006/relationships" ref="A798" r:id="rId792"/>
    <hyperlink xmlns:r="http://schemas.openxmlformats.org/officeDocument/2006/relationships" ref="A799" r:id="rId793"/>
    <hyperlink xmlns:r="http://schemas.openxmlformats.org/officeDocument/2006/relationships" ref="A800" r:id="rId794"/>
    <hyperlink xmlns:r="http://schemas.openxmlformats.org/officeDocument/2006/relationships" ref="A801" r:id="rId795"/>
    <hyperlink xmlns:r="http://schemas.openxmlformats.org/officeDocument/2006/relationships" ref="A802" r:id="rId796"/>
    <hyperlink xmlns:r="http://schemas.openxmlformats.org/officeDocument/2006/relationships" ref="A803" r:id="rId797"/>
    <hyperlink xmlns:r="http://schemas.openxmlformats.org/officeDocument/2006/relationships" ref="A804" r:id="rId798"/>
    <hyperlink xmlns:r="http://schemas.openxmlformats.org/officeDocument/2006/relationships" ref="A805" r:id="rId799"/>
    <hyperlink xmlns:r="http://schemas.openxmlformats.org/officeDocument/2006/relationships" ref="A806" r:id="rId800"/>
    <hyperlink xmlns:r="http://schemas.openxmlformats.org/officeDocument/2006/relationships" ref="A807" r:id="rId801"/>
    <hyperlink xmlns:r="http://schemas.openxmlformats.org/officeDocument/2006/relationships" ref="A808" r:id="rId802"/>
    <hyperlink xmlns:r="http://schemas.openxmlformats.org/officeDocument/2006/relationships" ref="A809" r:id="rId803"/>
    <hyperlink xmlns:r="http://schemas.openxmlformats.org/officeDocument/2006/relationships" ref="A810" r:id="rId804"/>
    <hyperlink xmlns:r="http://schemas.openxmlformats.org/officeDocument/2006/relationships" ref="A811" r:id="rId805"/>
    <hyperlink xmlns:r="http://schemas.openxmlformats.org/officeDocument/2006/relationships" ref="A812" r:id="rId806"/>
    <hyperlink xmlns:r="http://schemas.openxmlformats.org/officeDocument/2006/relationships" ref="A813" r:id="rId807"/>
    <hyperlink xmlns:r="http://schemas.openxmlformats.org/officeDocument/2006/relationships" ref="A814" r:id="rId808"/>
    <hyperlink xmlns:r="http://schemas.openxmlformats.org/officeDocument/2006/relationships" ref="A815" r:id="rId809"/>
    <hyperlink xmlns:r="http://schemas.openxmlformats.org/officeDocument/2006/relationships" ref="A816" r:id="rId810"/>
    <hyperlink xmlns:r="http://schemas.openxmlformats.org/officeDocument/2006/relationships" ref="A817" r:id="rId811"/>
    <hyperlink xmlns:r="http://schemas.openxmlformats.org/officeDocument/2006/relationships" ref="A818" r:id="rId812"/>
    <hyperlink xmlns:r="http://schemas.openxmlformats.org/officeDocument/2006/relationships" ref="A819" r:id="rId813"/>
    <hyperlink xmlns:r="http://schemas.openxmlformats.org/officeDocument/2006/relationships" ref="A820" r:id="rId814"/>
    <hyperlink xmlns:r="http://schemas.openxmlformats.org/officeDocument/2006/relationships" ref="A821" r:id="rId815"/>
    <hyperlink xmlns:r="http://schemas.openxmlformats.org/officeDocument/2006/relationships" ref="A822" r:id="rId816"/>
    <hyperlink xmlns:r="http://schemas.openxmlformats.org/officeDocument/2006/relationships" ref="A823" r:id="rId817"/>
    <hyperlink xmlns:r="http://schemas.openxmlformats.org/officeDocument/2006/relationships" ref="A824" r:id="rId818"/>
    <hyperlink xmlns:r="http://schemas.openxmlformats.org/officeDocument/2006/relationships" ref="A825" r:id="rId819"/>
    <hyperlink xmlns:r="http://schemas.openxmlformats.org/officeDocument/2006/relationships" ref="A826" r:id="rId820"/>
    <hyperlink xmlns:r="http://schemas.openxmlformats.org/officeDocument/2006/relationships" ref="A827" r:id="rId821"/>
    <hyperlink xmlns:r="http://schemas.openxmlformats.org/officeDocument/2006/relationships" ref="A828" r:id="rId822"/>
    <hyperlink xmlns:r="http://schemas.openxmlformats.org/officeDocument/2006/relationships" ref="A829" r:id="rId823"/>
    <hyperlink xmlns:r="http://schemas.openxmlformats.org/officeDocument/2006/relationships" ref="A830" r:id="rId824"/>
    <hyperlink xmlns:r="http://schemas.openxmlformats.org/officeDocument/2006/relationships" ref="A831" r:id="rId825"/>
    <hyperlink xmlns:r="http://schemas.openxmlformats.org/officeDocument/2006/relationships" ref="A832" r:id="rId826"/>
    <hyperlink xmlns:r="http://schemas.openxmlformats.org/officeDocument/2006/relationships" ref="A833" r:id="rId827"/>
    <hyperlink xmlns:r="http://schemas.openxmlformats.org/officeDocument/2006/relationships" ref="A834" r:id="rId828"/>
    <hyperlink xmlns:r="http://schemas.openxmlformats.org/officeDocument/2006/relationships" ref="A835" r:id="rId829"/>
    <hyperlink xmlns:r="http://schemas.openxmlformats.org/officeDocument/2006/relationships" ref="A836" r:id="rId830"/>
    <hyperlink xmlns:r="http://schemas.openxmlformats.org/officeDocument/2006/relationships" ref="A837" r:id="rId831"/>
    <hyperlink xmlns:r="http://schemas.openxmlformats.org/officeDocument/2006/relationships" ref="A838" r:id="rId832"/>
    <hyperlink xmlns:r="http://schemas.openxmlformats.org/officeDocument/2006/relationships" ref="A839" r:id="rId833"/>
    <hyperlink xmlns:r="http://schemas.openxmlformats.org/officeDocument/2006/relationships" ref="A840" r:id="rId834"/>
    <hyperlink xmlns:r="http://schemas.openxmlformats.org/officeDocument/2006/relationships" ref="A841" r:id="rId835"/>
    <hyperlink xmlns:r="http://schemas.openxmlformats.org/officeDocument/2006/relationships" ref="A842" r:id="rId836"/>
    <hyperlink xmlns:r="http://schemas.openxmlformats.org/officeDocument/2006/relationships" ref="A843" r:id="rId837"/>
    <hyperlink xmlns:r="http://schemas.openxmlformats.org/officeDocument/2006/relationships" ref="A844" r:id="rId838"/>
    <hyperlink xmlns:r="http://schemas.openxmlformats.org/officeDocument/2006/relationships" ref="A845" r:id="rId839"/>
    <hyperlink xmlns:r="http://schemas.openxmlformats.org/officeDocument/2006/relationships" ref="A846" r:id="rId840"/>
    <hyperlink xmlns:r="http://schemas.openxmlformats.org/officeDocument/2006/relationships" ref="A847" r:id="rId841"/>
    <hyperlink xmlns:r="http://schemas.openxmlformats.org/officeDocument/2006/relationships" ref="A848" r:id="rId842"/>
    <hyperlink xmlns:r="http://schemas.openxmlformats.org/officeDocument/2006/relationships" ref="A849" r:id="rId843"/>
    <hyperlink xmlns:r="http://schemas.openxmlformats.org/officeDocument/2006/relationships" ref="A850" r:id="rId844"/>
    <hyperlink xmlns:r="http://schemas.openxmlformats.org/officeDocument/2006/relationships" ref="A851" r:id="rId845"/>
    <hyperlink xmlns:r="http://schemas.openxmlformats.org/officeDocument/2006/relationships" ref="A852" r:id="rId846"/>
    <hyperlink xmlns:r="http://schemas.openxmlformats.org/officeDocument/2006/relationships" ref="A853" r:id="rId847"/>
    <hyperlink xmlns:r="http://schemas.openxmlformats.org/officeDocument/2006/relationships" ref="A854" r:id="rId848"/>
    <hyperlink xmlns:r="http://schemas.openxmlformats.org/officeDocument/2006/relationships" ref="A855" r:id="rId849"/>
    <hyperlink xmlns:r="http://schemas.openxmlformats.org/officeDocument/2006/relationships" ref="A856" r:id="rId850"/>
    <hyperlink xmlns:r="http://schemas.openxmlformats.org/officeDocument/2006/relationships" ref="A857" r:id="rId851"/>
    <hyperlink xmlns:r="http://schemas.openxmlformats.org/officeDocument/2006/relationships" ref="A858" r:id="rId852"/>
    <hyperlink xmlns:r="http://schemas.openxmlformats.org/officeDocument/2006/relationships" ref="A859" r:id="rId853"/>
    <hyperlink xmlns:r="http://schemas.openxmlformats.org/officeDocument/2006/relationships" ref="A860" r:id="rId854"/>
    <hyperlink xmlns:r="http://schemas.openxmlformats.org/officeDocument/2006/relationships" ref="A861" r:id="rId855"/>
    <hyperlink xmlns:r="http://schemas.openxmlformats.org/officeDocument/2006/relationships" ref="A862" r:id="rId856"/>
    <hyperlink xmlns:r="http://schemas.openxmlformats.org/officeDocument/2006/relationships" ref="A863" r:id="rId857"/>
    <hyperlink xmlns:r="http://schemas.openxmlformats.org/officeDocument/2006/relationships" ref="A864" r:id="rId858"/>
    <hyperlink xmlns:r="http://schemas.openxmlformats.org/officeDocument/2006/relationships" ref="A865" r:id="rId859"/>
    <hyperlink xmlns:r="http://schemas.openxmlformats.org/officeDocument/2006/relationships" ref="A866" r:id="rId860"/>
    <hyperlink xmlns:r="http://schemas.openxmlformats.org/officeDocument/2006/relationships" ref="A867" r:id="rId861"/>
    <hyperlink xmlns:r="http://schemas.openxmlformats.org/officeDocument/2006/relationships" ref="A868" r:id="rId862"/>
    <hyperlink xmlns:r="http://schemas.openxmlformats.org/officeDocument/2006/relationships" ref="A869" r:id="rId863"/>
    <hyperlink xmlns:r="http://schemas.openxmlformats.org/officeDocument/2006/relationships" ref="A870" r:id="rId864"/>
    <hyperlink xmlns:r="http://schemas.openxmlformats.org/officeDocument/2006/relationships" ref="A871" r:id="rId865"/>
    <hyperlink xmlns:r="http://schemas.openxmlformats.org/officeDocument/2006/relationships" ref="A872" r:id="rId866"/>
    <hyperlink xmlns:r="http://schemas.openxmlformats.org/officeDocument/2006/relationships" ref="A873" r:id="rId867"/>
    <hyperlink xmlns:r="http://schemas.openxmlformats.org/officeDocument/2006/relationships" ref="A874" r:id="rId868"/>
    <hyperlink xmlns:r="http://schemas.openxmlformats.org/officeDocument/2006/relationships" ref="A875" r:id="rId869"/>
    <hyperlink xmlns:r="http://schemas.openxmlformats.org/officeDocument/2006/relationships" ref="A876" r:id="rId870"/>
    <hyperlink xmlns:r="http://schemas.openxmlformats.org/officeDocument/2006/relationships" ref="A877" r:id="rId871"/>
    <hyperlink xmlns:r="http://schemas.openxmlformats.org/officeDocument/2006/relationships" ref="A878" r:id="rId872"/>
    <hyperlink xmlns:r="http://schemas.openxmlformats.org/officeDocument/2006/relationships" ref="A879" r:id="rId873"/>
    <hyperlink xmlns:r="http://schemas.openxmlformats.org/officeDocument/2006/relationships" ref="A880" r:id="rId874"/>
    <hyperlink xmlns:r="http://schemas.openxmlformats.org/officeDocument/2006/relationships" ref="A881" r:id="rId875"/>
    <hyperlink xmlns:r="http://schemas.openxmlformats.org/officeDocument/2006/relationships" ref="A882" r:id="rId876"/>
    <hyperlink xmlns:r="http://schemas.openxmlformats.org/officeDocument/2006/relationships" ref="A883" r:id="rId877"/>
    <hyperlink xmlns:r="http://schemas.openxmlformats.org/officeDocument/2006/relationships" ref="A884" r:id="rId878"/>
    <hyperlink xmlns:r="http://schemas.openxmlformats.org/officeDocument/2006/relationships" ref="A885" r:id="rId879"/>
    <hyperlink xmlns:r="http://schemas.openxmlformats.org/officeDocument/2006/relationships" ref="A886" r:id="rId880"/>
    <hyperlink xmlns:r="http://schemas.openxmlformats.org/officeDocument/2006/relationships" ref="A887" r:id="rId881"/>
    <hyperlink xmlns:r="http://schemas.openxmlformats.org/officeDocument/2006/relationships" ref="A888" r:id="rId882"/>
    <hyperlink xmlns:r="http://schemas.openxmlformats.org/officeDocument/2006/relationships" ref="A889" r:id="rId883"/>
    <hyperlink xmlns:r="http://schemas.openxmlformats.org/officeDocument/2006/relationships" ref="A890" r:id="rId884"/>
    <hyperlink xmlns:r="http://schemas.openxmlformats.org/officeDocument/2006/relationships" ref="A891" r:id="rId885"/>
    <hyperlink xmlns:r="http://schemas.openxmlformats.org/officeDocument/2006/relationships" ref="A892" r:id="rId886"/>
    <hyperlink xmlns:r="http://schemas.openxmlformats.org/officeDocument/2006/relationships" ref="A893" r:id="rId887"/>
    <hyperlink xmlns:r="http://schemas.openxmlformats.org/officeDocument/2006/relationships" ref="A894" r:id="rId888"/>
    <hyperlink xmlns:r="http://schemas.openxmlformats.org/officeDocument/2006/relationships" ref="A895" r:id="rId889"/>
    <hyperlink xmlns:r="http://schemas.openxmlformats.org/officeDocument/2006/relationships" ref="A896" r:id="rId890"/>
    <hyperlink xmlns:r="http://schemas.openxmlformats.org/officeDocument/2006/relationships" ref="A897" r:id="rId891"/>
    <hyperlink xmlns:r="http://schemas.openxmlformats.org/officeDocument/2006/relationships" ref="A898" r:id="rId892"/>
    <hyperlink xmlns:r="http://schemas.openxmlformats.org/officeDocument/2006/relationships" ref="A899" r:id="rId893"/>
    <hyperlink xmlns:r="http://schemas.openxmlformats.org/officeDocument/2006/relationships" ref="A900" r:id="rId894"/>
    <hyperlink xmlns:r="http://schemas.openxmlformats.org/officeDocument/2006/relationships" ref="A901" r:id="rId895"/>
    <hyperlink xmlns:r="http://schemas.openxmlformats.org/officeDocument/2006/relationships" ref="A902" r:id="rId896"/>
    <hyperlink xmlns:r="http://schemas.openxmlformats.org/officeDocument/2006/relationships" ref="A903" r:id="rId897"/>
    <hyperlink xmlns:r="http://schemas.openxmlformats.org/officeDocument/2006/relationships" ref="A904" r:id="rId898"/>
    <hyperlink xmlns:r="http://schemas.openxmlformats.org/officeDocument/2006/relationships" ref="A905" r:id="rId899"/>
    <hyperlink xmlns:r="http://schemas.openxmlformats.org/officeDocument/2006/relationships" ref="A906" r:id="rId900"/>
    <hyperlink xmlns:r="http://schemas.openxmlformats.org/officeDocument/2006/relationships" ref="A907" r:id="rId901"/>
    <hyperlink xmlns:r="http://schemas.openxmlformats.org/officeDocument/2006/relationships" ref="A908" r:id="rId902"/>
    <hyperlink xmlns:r="http://schemas.openxmlformats.org/officeDocument/2006/relationships" ref="A909" r:id="rId903"/>
    <hyperlink xmlns:r="http://schemas.openxmlformats.org/officeDocument/2006/relationships" ref="A910" r:id="rId904"/>
    <hyperlink xmlns:r="http://schemas.openxmlformats.org/officeDocument/2006/relationships" ref="A911" r:id="rId905"/>
    <hyperlink xmlns:r="http://schemas.openxmlformats.org/officeDocument/2006/relationships" ref="A912" r:id="rId906"/>
    <hyperlink xmlns:r="http://schemas.openxmlformats.org/officeDocument/2006/relationships" ref="A913" r:id="rId907"/>
    <hyperlink xmlns:r="http://schemas.openxmlformats.org/officeDocument/2006/relationships" ref="A914" r:id="rId908"/>
    <hyperlink xmlns:r="http://schemas.openxmlformats.org/officeDocument/2006/relationships" ref="A915" r:id="rId909"/>
    <hyperlink xmlns:r="http://schemas.openxmlformats.org/officeDocument/2006/relationships" ref="A916" r:id="rId910"/>
    <hyperlink xmlns:r="http://schemas.openxmlformats.org/officeDocument/2006/relationships" ref="A917" r:id="rId911"/>
    <hyperlink xmlns:r="http://schemas.openxmlformats.org/officeDocument/2006/relationships" ref="A918" r:id="rId912"/>
    <hyperlink xmlns:r="http://schemas.openxmlformats.org/officeDocument/2006/relationships" ref="A919" r:id="rId913"/>
    <hyperlink xmlns:r="http://schemas.openxmlformats.org/officeDocument/2006/relationships" ref="A920" r:id="rId914"/>
    <hyperlink xmlns:r="http://schemas.openxmlformats.org/officeDocument/2006/relationships" ref="A921" r:id="rId915"/>
    <hyperlink xmlns:r="http://schemas.openxmlformats.org/officeDocument/2006/relationships" ref="A922" r:id="rId916"/>
    <hyperlink xmlns:r="http://schemas.openxmlformats.org/officeDocument/2006/relationships" ref="A923" r:id="rId917"/>
    <hyperlink xmlns:r="http://schemas.openxmlformats.org/officeDocument/2006/relationships" ref="A924" r:id="rId918"/>
    <hyperlink xmlns:r="http://schemas.openxmlformats.org/officeDocument/2006/relationships" ref="A925" r:id="rId919"/>
    <hyperlink xmlns:r="http://schemas.openxmlformats.org/officeDocument/2006/relationships" ref="A926" r:id="rId920"/>
    <hyperlink xmlns:r="http://schemas.openxmlformats.org/officeDocument/2006/relationships" ref="A927" r:id="rId921"/>
    <hyperlink xmlns:r="http://schemas.openxmlformats.org/officeDocument/2006/relationships" ref="A928" r:id="rId922"/>
    <hyperlink xmlns:r="http://schemas.openxmlformats.org/officeDocument/2006/relationships" ref="A929" r:id="rId923"/>
    <hyperlink xmlns:r="http://schemas.openxmlformats.org/officeDocument/2006/relationships" ref="A930" r:id="rId924"/>
    <hyperlink xmlns:r="http://schemas.openxmlformats.org/officeDocument/2006/relationships" ref="A931" r:id="rId925"/>
    <hyperlink xmlns:r="http://schemas.openxmlformats.org/officeDocument/2006/relationships" ref="A932" r:id="rId926"/>
    <hyperlink xmlns:r="http://schemas.openxmlformats.org/officeDocument/2006/relationships" ref="A933" r:id="rId927"/>
    <hyperlink xmlns:r="http://schemas.openxmlformats.org/officeDocument/2006/relationships" ref="A934" r:id="rId928"/>
    <hyperlink xmlns:r="http://schemas.openxmlformats.org/officeDocument/2006/relationships" ref="A935" r:id="rId929"/>
    <hyperlink xmlns:r="http://schemas.openxmlformats.org/officeDocument/2006/relationships" ref="A936" r:id="rId930"/>
    <hyperlink xmlns:r="http://schemas.openxmlformats.org/officeDocument/2006/relationships" ref="A937" r:id="rId931"/>
    <hyperlink xmlns:r="http://schemas.openxmlformats.org/officeDocument/2006/relationships" ref="A938" r:id="rId932"/>
    <hyperlink xmlns:r="http://schemas.openxmlformats.org/officeDocument/2006/relationships" ref="A939" r:id="rId933"/>
    <hyperlink xmlns:r="http://schemas.openxmlformats.org/officeDocument/2006/relationships" ref="A940" r:id="rId934"/>
    <hyperlink xmlns:r="http://schemas.openxmlformats.org/officeDocument/2006/relationships" ref="A941" r:id="rId935"/>
    <hyperlink xmlns:r="http://schemas.openxmlformats.org/officeDocument/2006/relationships" ref="A942" r:id="rId936"/>
    <hyperlink xmlns:r="http://schemas.openxmlformats.org/officeDocument/2006/relationships" ref="A943" r:id="rId937"/>
    <hyperlink xmlns:r="http://schemas.openxmlformats.org/officeDocument/2006/relationships" ref="A944" r:id="rId938"/>
    <hyperlink xmlns:r="http://schemas.openxmlformats.org/officeDocument/2006/relationships" ref="A945" r:id="rId939"/>
    <hyperlink xmlns:r="http://schemas.openxmlformats.org/officeDocument/2006/relationships" ref="A946" r:id="rId940"/>
    <hyperlink xmlns:r="http://schemas.openxmlformats.org/officeDocument/2006/relationships" ref="A947" r:id="rId941"/>
    <hyperlink xmlns:r="http://schemas.openxmlformats.org/officeDocument/2006/relationships" ref="A948" r:id="rId942"/>
    <hyperlink xmlns:r="http://schemas.openxmlformats.org/officeDocument/2006/relationships" ref="A949" r:id="rId943"/>
    <hyperlink xmlns:r="http://schemas.openxmlformats.org/officeDocument/2006/relationships" ref="A950" r:id="rId944"/>
    <hyperlink xmlns:r="http://schemas.openxmlformats.org/officeDocument/2006/relationships" ref="A951" r:id="rId945"/>
    <hyperlink xmlns:r="http://schemas.openxmlformats.org/officeDocument/2006/relationships" ref="A952" r:id="rId946"/>
    <hyperlink xmlns:r="http://schemas.openxmlformats.org/officeDocument/2006/relationships" ref="A953" r:id="rId947"/>
    <hyperlink xmlns:r="http://schemas.openxmlformats.org/officeDocument/2006/relationships" ref="A954" r:id="rId948"/>
    <hyperlink xmlns:r="http://schemas.openxmlformats.org/officeDocument/2006/relationships" ref="A955" r:id="rId949"/>
    <hyperlink xmlns:r="http://schemas.openxmlformats.org/officeDocument/2006/relationships" ref="A956" r:id="rId950"/>
    <hyperlink xmlns:r="http://schemas.openxmlformats.org/officeDocument/2006/relationships" ref="A957" r:id="rId951"/>
    <hyperlink xmlns:r="http://schemas.openxmlformats.org/officeDocument/2006/relationships" ref="A958" r:id="rId952"/>
    <hyperlink xmlns:r="http://schemas.openxmlformats.org/officeDocument/2006/relationships" ref="A959" r:id="rId953"/>
    <hyperlink xmlns:r="http://schemas.openxmlformats.org/officeDocument/2006/relationships" ref="A960" r:id="rId954"/>
    <hyperlink xmlns:r="http://schemas.openxmlformats.org/officeDocument/2006/relationships" ref="A961" r:id="rId955"/>
    <hyperlink xmlns:r="http://schemas.openxmlformats.org/officeDocument/2006/relationships" ref="A962" r:id="rId956"/>
    <hyperlink xmlns:r="http://schemas.openxmlformats.org/officeDocument/2006/relationships" ref="A963" r:id="rId957"/>
    <hyperlink xmlns:r="http://schemas.openxmlformats.org/officeDocument/2006/relationships" ref="A964" r:id="rId958"/>
    <hyperlink xmlns:r="http://schemas.openxmlformats.org/officeDocument/2006/relationships" ref="A965" r:id="rId959"/>
    <hyperlink xmlns:r="http://schemas.openxmlformats.org/officeDocument/2006/relationships" ref="A966" r:id="rId960"/>
    <hyperlink xmlns:r="http://schemas.openxmlformats.org/officeDocument/2006/relationships" ref="A967" r:id="rId961"/>
    <hyperlink xmlns:r="http://schemas.openxmlformats.org/officeDocument/2006/relationships" ref="A968" r:id="rId962"/>
    <hyperlink xmlns:r="http://schemas.openxmlformats.org/officeDocument/2006/relationships" ref="A969" r:id="rId963"/>
    <hyperlink xmlns:r="http://schemas.openxmlformats.org/officeDocument/2006/relationships" ref="A970" r:id="rId964"/>
    <hyperlink xmlns:r="http://schemas.openxmlformats.org/officeDocument/2006/relationships" ref="A971" r:id="rId965"/>
    <hyperlink xmlns:r="http://schemas.openxmlformats.org/officeDocument/2006/relationships" ref="A972" r:id="rId966"/>
    <hyperlink xmlns:r="http://schemas.openxmlformats.org/officeDocument/2006/relationships" ref="A973" r:id="rId967"/>
    <hyperlink xmlns:r="http://schemas.openxmlformats.org/officeDocument/2006/relationships" ref="A974" r:id="rId968"/>
    <hyperlink xmlns:r="http://schemas.openxmlformats.org/officeDocument/2006/relationships" ref="A975" r:id="rId969"/>
    <hyperlink xmlns:r="http://schemas.openxmlformats.org/officeDocument/2006/relationships" ref="A976" r:id="rId970"/>
    <hyperlink xmlns:r="http://schemas.openxmlformats.org/officeDocument/2006/relationships" ref="A977" r:id="rId971"/>
    <hyperlink xmlns:r="http://schemas.openxmlformats.org/officeDocument/2006/relationships" ref="A978" r:id="rId972"/>
    <hyperlink xmlns:r="http://schemas.openxmlformats.org/officeDocument/2006/relationships" ref="A979" r:id="rId973"/>
    <hyperlink xmlns:r="http://schemas.openxmlformats.org/officeDocument/2006/relationships" ref="A980" r:id="rId974"/>
    <hyperlink xmlns:r="http://schemas.openxmlformats.org/officeDocument/2006/relationships" ref="A981" r:id="rId975"/>
    <hyperlink xmlns:r="http://schemas.openxmlformats.org/officeDocument/2006/relationships" ref="A982" r:id="rId976"/>
    <hyperlink xmlns:r="http://schemas.openxmlformats.org/officeDocument/2006/relationships" ref="A983" r:id="rId977"/>
    <hyperlink xmlns:r="http://schemas.openxmlformats.org/officeDocument/2006/relationships" ref="A984" r:id="rId978"/>
    <hyperlink xmlns:r="http://schemas.openxmlformats.org/officeDocument/2006/relationships" ref="A985" r:id="rId979"/>
    <hyperlink xmlns:r="http://schemas.openxmlformats.org/officeDocument/2006/relationships" ref="A986" r:id="rId980"/>
    <hyperlink xmlns:r="http://schemas.openxmlformats.org/officeDocument/2006/relationships" ref="A987" r:id="rId981"/>
    <hyperlink xmlns:r="http://schemas.openxmlformats.org/officeDocument/2006/relationships" ref="A988" r:id="rId982"/>
    <hyperlink xmlns:r="http://schemas.openxmlformats.org/officeDocument/2006/relationships" ref="A989" r:id="rId983"/>
    <hyperlink xmlns:r="http://schemas.openxmlformats.org/officeDocument/2006/relationships" ref="A990" r:id="rId984"/>
    <hyperlink xmlns:r="http://schemas.openxmlformats.org/officeDocument/2006/relationships" ref="A991" r:id="rId985"/>
    <hyperlink xmlns:r="http://schemas.openxmlformats.org/officeDocument/2006/relationships" ref="A992" r:id="rId986"/>
    <hyperlink xmlns:r="http://schemas.openxmlformats.org/officeDocument/2006/relationships" ref="A993" r:id="rId987"/>
    <hyperlink xmlns:r="http://schemas.openxmlformats.org/officeDocument/2006/relationships" ref="A994" r:id="rId988"/>
    <hyperlink xmlns:r="http://schemas.openxmlformats.org/officeDocument/2006/relationships" ref="A995" r:id="rId989"/>
    <hyperlink xmlns:r="http://schemas.openxmlformats.org/officeDocument/2006/relationships" ref="A996" r:id="rId990"/>
    <hyperlink xmlns:r="http://schemas.openxmlformats.org/officeDocument/2006/relationships" ref="A997" r:id="rId991"/>
    <hyperlink xmlns:r="http://schemas.openxmlformats.org/officeDocument/2006/relationships" ref="A998" r:id="rId992"/>
    <hyperlink xmlns:r="http://schemas.openxmlformats.org/officeDocument/2006/relationships" ref="A999" r:id="rId993"/>
    <hyperlink xmlns:r="http://schemas.openxmlformats.org/officeDocument/2006/relationships" ref="A1000" r:id="rId994"/>
    <hyperlink xmlns:r="http://schemas.openxmlformats.org/officeDocument/2006/relationships" ref="A1001" r:id="rId995"/>
    <hyperlink xmlns:r="http://schemas.openxmlformats.org/officeDocument/2006/relationships" ref="A1002" r:id="rId996"/>
    <hyperlink xmlns:r="http://schemas.openxmlformats.org/officeDocument/2006/relationships" ref="A1003" r:id="rId997"/>
    <hyperlink xmlns:r="http://schemas.openxmlformats.org/officeDocument/2006/relationships" ref="A1004" r:id="rId998"/>
    <hyperlink xmlns:r="http://schemas.openxmlformats.org/officeDocument/2006/relationships" ref="A1005" r:id="rId999"/>
    <hyperlink xmlns:r="http://schemas.openxmlformats.org/officeDocument/2006/relationships" ref="A1006" r:id="rId1000"/>
    <hyperlink xmlns:r="http://schemas.openxmlformats.org/officeDocument/2006/relationships" ref="A1007" r:id="rId1001"/>
    <hyperlink xmlns:r="http://schemas.openxmlformats.org/officeDocument/2006/relationships" ref="A1008" r:id="rId1002"/>
    <hyperlink xmlns:r="http://schemas.openxmlformats.org/officeDocument/2006/relationships" ref="A1009" r:id="rId1003"/>
    <hyperlink xmlns:r="http://schemas.openxmlformats.org/officeDocument/2006/relationships" ref="A1010" r:id="rId1004"/>
    <hyperlink xmlns:r="http://schemas.openxmlformats.org/officeDocument/2006/relationships" ref="A1011" r:id="rId1005"/>
    <hyperlink xmlns:r="http://schemas.openxmlformats.org/officeDocument/2006/relationships" ref="A1012" r:id="rId1006"/>
    <hyperlink xmlns:r="http://schemas.openxmlformats.org/officeDocument/2006/relationships" ref="A1013" r:id="rId1007"/>
    <hyperlink xmlns:r="http://schemas.openxmlformats.org/officeDocument/2006/relationships" ref="A1014" r:id="rId1008"/>
    <hyperlink xmlns:r="http://schemas.openxmlformats.org/officeDocument/2006/relationships" ref="A1015" r:id="rId1009"/>
    <hyperlink xmlns:r="http://schemas.openxmlformats.org/officeDocument/2006/relationships" ref="A1016" r:id="rId1010"/>
    <hyperlink xmlns:r="http://schemas.openxmlformats.org/officeDocument/2006/relationships" ref="A1017" r:id="rId1011"/>
    <hyperlink xmlns:r="http://schemas.openxmlformats.org/officeDocument/2006/relationships" ref="A1018" r:id="rId1012"/>
    <hyperlink xmlns:r="http://schemas.openxmlformats.org/officeDocument/2006/relationships" ref="A1019" r:id="rId1013"/>
    <hyperlink xmlns:r="http://schemas.openxmlformats.org/officeDocument/2006/relationships" ref="A1020" r:id="rId1014"/>
    <hyperlink xmlns:r="http://schemas.openxmlformats.org/officeDocument/2006/relationships" ref="A1021" r:id="rId1015"/>
    <hyperlink xmlns:r="http://schemas.openxmlformats.org/officeDocument/2006/relationships" ref="A1022" r:id="rId1016"/>
    <hyperlink xmlns:r="http://schemas.openxmlformats.org/officeDocument/2006/relationships" ref="A1023" r:id="rId1017"/>
    <hyperlink xmlns:r="http://schemas.openxmlformats.org/officeDocument/2006/relationships" ref="A1024" r:id="rId1018"/>
    <hyperlink xmlns:r="http://schemas.openxmlformats.org/officeDocument/2006/relationships" ref="A1025" r:id="rId1019"/>
    <hyperlink xmlns:r="http://schemas.openxmlformats.org/officeDocument/2006/relationships" ref="A1026" r:id="rId1020"/>
    <hyperlink xmlns:r="http://schemas.openxmlformats.org/officeDocument/2006/relationships" ref="A1027" r:id="rId1021"/>
    <hyperlink xmlns:r="http://schemas.openxmlformats.org/officeDocument/2006/relationships" ref="A1028" r:id="rId1022"/>
    <hyperlink xmlns:r="http://schemas.openxmlformats.org/officeDocument/2006/relationships" ref="A1029" r:id="rId1023"/>
    <hyperlink xmlns:r="http://schemas.openxmlformats.org/officeDocument/2006/relationships" ref="A1030" r:id="rId1024"/>
    <hyperlink xmlns:r="http://schemas.openxmlformats.org/officeDocument/2006/relationships" ref="A1031" r:id="rId1025"/>
    <hyperlink xmlns:r="http://schemas.openxmlformats.org/officeDocument/2006/relationships" ref="A1032" r:id="rId1026"/>
    <hyperlink xmlns:r="http://schemas.openxmlformats.org/officeDocument/2006/relationships" ref="A1033" r:id="rId1027"/>
    <hyperlink xmlns:r="http://schemas.openxmlformats.org/officeDocument/2006/relationships" ref="A1034" r:id="rId1028"/>
    <hyperlink xmlns:r="http://schemas.openxmlformats.org/officeDocument/2006/relationships" ref="A1035" r:id="rId1029"/>
    <hyperlink xmlns:r="http://schemas.openxmlformats.org/officeDocument/2006/relationships" ref="A1036" r:id="rId1030"/>
    <hyperlink xmlns:r="http://schemas.openxmlformats.org/officeDocument/2006/relationships" ref="A1037" r:id="rId1031"/>
    <hyperlink xmlns:r="http://schemas.openxmlformats.org/officeDocument/2006/relationships" ref="A1038" r:id="rId1032"/>
    <hyperlink xmlns:r="http://schemas.openxmlformats.org/officeDocument/2006/relationships" ref="A1039" r:id="rId1033"/>
    <hyperlink xmlns:r="http://schemas.openxmlformats.org/officeDocument/2006/relationships" ref="A1040" r:id="rId1034"/>
    <hyperlink xmlns:r="http://schemas.openxmlformats.org/officeDocument/2006/relationships" ref="A1041" r:id="rId1035"/>
    <hyperlink xmlns:r="http://schemas.openxmlformats.org/officeDocument/2006/relationships" ref="A1042" r:id="rId1036"/>
    <hyperlink xmlns:r="http://schemas.openxmlformats.org/officeDocument/2006/relationships" ref="A1043" r:id="rId1037"/>
    <hyperlink xmlns:r="http://schemas.openxmlformats.org/officeDocument/2006/relationships" ref="A1044" r:id="rId1038"/>
    <hyperlink xmlns:r="http://schemas.openxmlformats.org/officeDocument/2006/relationships" ref="A1045" r:id="rId1039"/>
    <hyperlink xmlns:r="http://schemas.openxmlformats.org/officeDocument/2006/relationships" ref="A1046" r:id="rId1040"/>
    <hyperlink xmlns:r="http://schemas.openxmlformats.org/officeDocument/2006/relationships" ref="A1047" r:id="rId1041"/>
    <hyperlink xmlns:r="http://schemas.openxmlformats.org/officeDocument/2006/relationships" ref="A1048" r:id="rId1042"/>
    <hyperlink xmlns:r="http://schemas.openxmlformats.org/officeDocument/2006/relationships" ref="A1049" r:id="rId1043"/>
    <hyperlink xmlns:r="http://schemas.openxmlformats.org/officeDocument/2006/relationships" ref="A1050" r:id="rId1044"/>
    <hyperlink xmlns:r="http://schemas.openxmlformats.org/officeDocument/2006/relationships" ref="A1051" r:id="rId1045"/>
    <hyperlink xmlns:r="http://schemas.openxmlformats.org/officeDocument/2006/relationships" ref="A1052" r:id="rId1046"/>
    <hyperlink xmlns:r="http://schemas.openxmlformats.org/officeDocument/2006/relationships" ref="A1053" r:id="rId1047"/>
    <hyperlink xmlns:r="http://schemas.openxmlformats.org/officeDocument/2006/relationships" ref="A1054" r:id="rId1048"/>
    <hyperlink xmlns:r="http://schemas.openxmlformats.org/officeDocument/2006/relationships" ref="A1055" r:id="rId1049"/>
    <hyperlink xmlns:r="http://schemas.openxmlformats.org/officeDocument/2006/relationships" ref="A1056" r:id="rId1050"/>
    <hyperlink xmlns:r="http://schemas.openxmlformats.org/officeDocument/2006/relationships" ref="A1057" r:id="rId1051"/>
    <hyperlink xmlns:r="http://schemas.openxmlformats.org/officeDocument/2006/relationships" ref="A1058" r:id="rId1052"/>
    <hyperlink xmlns:r="http://schemas.openxmlformats.org/officeDocument/2006/relationships" ref="A1059" r:id="rId1053"/>
    <hyperlink xmlns:r="http://schemas.openxmlformats.org/officeDocument/2006/relationships" ref="A1060" r:id="rId1054"/>
    <hyperlink xmlns:r="http://schemas.openxmlformats.org/officeDocument/2006/relationships" ref="A1061" r:id="rId1055"/>
    <hyperlink xmlns:r="http://schemas.openxmlformats.org/officeDocument/2006/relationships" ref="A1062" r:id="rId1056"/>
    <hyperlink xmlns:r="http://schemas.openxmlformats.org/officeDocument/2006/relationships" ref="A1063" r:id="rId1057"/>
    <hyperlink xmlns:r="http://schemas.openxmlformats.org/officeDocument/2006/relationships" ref="A1064" r:id="rId1058"/>
    <hyperlink xmlns:r="http://schemas.openxmlformats.org/officeDocument/2006/relationships" ref="A1065" r:id="rId1059"/>
    <hyperlink xmlns:r="http://schemas.openxmlformats.org/officeDocument/2006/relationships" ref="A1066" r:id="rId1060"/>
    <hyperlink xmlns:r="http://schemas.openxmlformats.org/officeDocument/2006/relationships" ref="A1067" r:id="rId1061"/>
    <hyperlink xmlns:r="http://schemas.openxmlformats.org/officeDocument/2006/relationships" ref="A1068" r:id="rId1062"/>
    <hyperlink xmlns:r="http://schemas.openxmlformats.org/officeDocument/2006/relationships" ref="A1069" r:id="rId1063"/>
    <hyperlink xmlns:r="http://schemas.openxmlformats.org/officeDocument/2006/relationships" ref="A1070" r:id="rId1064"/>
    <hyperlink xmlns:r="http://schemas.openxmlformats.org/officeDocument/2006/relationships" ref="A1071" r:id="rId1065"/>
    <hyperlink xmlns:r="http://schemas.openxmlformats.org/officeDocument/2006/relationships" ref="A1072" r:id="rId1066"/>
    <hyperlink xmlns:r="http://schemas.openxmlformats.org/officeDocument/2006/relationships" ref="A1073" r:id="rId1067"/>
    <hyperlink xmlns:r="http://schemas.openxmlformats.org/officeDocument/2006/relationships" ref="A1074" r:id="rId1068"/>
    <hyperlink xmlns:r="http://schemas.openxmlformats.org/officeDocument/2006/relationships" ref="A1075" r:id="rId1069"/>
    <hyperlink xmlns:r="http://schemas.openxmlformats.org/officeDocument/2006/relationships" ref="A1076" r:id="rId1070"/>
    <hyperlink xmlns:r="http://schemas.openxmlformats.org/officeDocument/2006/relationships" ref="A1077" r:id="rId1071"/>
    <hyperlink xmlns:r="http://schemas.openxmlformats.org/officeDocument/2006/relationships" ref="A1078" r:id="rId1072"/>
    <hyperlink xmlns:r="http://schemas.openxmlformats.org/officeDocument/2006/relationships" ref="A1079" r:id="rId1073"/>
    <hyperlink xmlns:r="http://schemas.openxmlformats.org/officeDocument/2006/relationships" ref="A1080" r:id="rId1074"/>
    <hyperlink xmlns:r="http://schemas.openxmlformats.org/officeDocument/2006/relationships" ref="A1081" r:id="rId1075"/>
    <hyperlink xmlns:r="http://schemas.openxmlformats.org/officeDocument/2006/relationships" ref="A1082" r:id="rId1076"/>
    <hyperlink xmlns:r="http://schemas.openxmlformats.org/officeDocument/2006/relationships" ref="A1083" r:id="rId1077"/>
    <hyperlink xmlns:r="http://schemas.openxmlformats.org/officeDocument/2006/relationships" ref="A1084" r:id="rId1078"/>
    <hyperlink xmlns:r="http://schemas.openxmlformats.org/officeDocument/2006/relationships" ref="A1085" r:id="rId1079"/>
    <hyperlink xmlns:r="http://schemas.openxmlformats.org/officeDocument/2006/relationships" ref="A1086" r:id="rId1080"/>
    <hyperlink xmlns:r="http://schemas.openxmlformats.org/officeDocument/2006/relationships" ref="A1087" r:id="rId1081"/>
    <hyperlink xmlns:r="http://schemas.openxmlformats.org/officeDocument/2006/relationships" ref="A1088" r:id="rId1082"/>
    <hyperlink xmlns:r="http://schemas.openxmlformats.org/officeDocument/2006/relationships" ref="A1089" r:id="rId1083"/>
    <hyperlink xmlns:r="http://schemas.openxmlformats.org/officeDocument/2006/relationships" ref="A1090" r:id="rId1084"/>
    <hyperlink xmlns:r="http://schemas.openxmlformats.org/officeDocument/2006/relationships" ref="A1091" r:id="rId1085"/>
    <hyperlink xmlns:r="http://schemas.openxmlformats.org/officeDocument/2006/relationships" ref="A1092" r:id="rId1086"/>
    <hyperlink xmlns:r="http://schemas.openxmlformats.org/officeDocument/2006/relationships" ref="A1093" r:id="rId1087"/>
    <hyperlink xmlns:r="http://schemas.openxmlformats.org/officeDocument/2006/relationships" ref="A1094" r:id="rId1088"/>
    <hyperlink xmlns:r="http://schemas.openxmlformats.org/officeDocument/2006/relationships" ref="A1095" r:id="rId1089"/>
    <hyperlink xmlns:r="http://schemas.openxmlformats.org/officeDocument/2006/relationships" ref="A1096" r:id="rId1090"/>
    <hyperlink xmlns:r="http://schemas.openxmlformats.org/officeDocument/2006/relationships" ref="A1097" r:id="rId1091"/>
    <hyperlink xmlns:r="http://schemas.openxmlformats.org/officeDocument/2006/relationships" ref="A1098" r:id="rId1092"/>
    <hyperlink xmlns:r="http://schemas.openxmlformats.org/officeDocument/2006/relationships" ref="A1099" r:id="rId1093"/>
    <hyperlink xmlns:r="http://schemas.openxmlformats.org/officeDocument/2006/relationships" ref="A1100" r:id="rId1094"/>
    <hyperlink xmlns:r="http://schemas.openxmlformats.org/officeDocument/2006/relationships" ref="A1101" r:id="rId1095"/>
    <hyperlink xmlns:r="http://schemas.openxmlformats.org/officeDocument/2006/relationships" ref="A1102" r:id="rId1096"/>
    <hyperlink xmlns:r="http://schemas.openxmlformats.org/officeDocument/2006/relationships" ref="A1103" r:id="rId1097"/>
    <hyperlink xmlns:r="http://schemas.openxmlformats.org/officeDocument/2006/relationships" ref="A1104" r:id="rId1098"/>
    <hyperlink xmlns:r="http://schemas.openxmlformats.org/officeDocument/2006/relationships" ref="A1105" r:id="rId1099"/>
    <hyperlink xmlns:r="http://schemas.openxmlformats.org/officeDocument/2006/relationships" ref="A1106" r:id="rId1100"/>
    <hyperlink xmlns:r="http://schemas.openxmlformats.org/officeDocument/2006/relationships" ref="A1107" r:id="rId1101"/>
    <hyperlink xmlns:r="http://schemas.openxmlformats.org/officeDocument/2006/relationships" ref="A1108" r:id="rId1102"/>
    <hyperlink xmlns:r="http://schemas.openxmlformats.org/officeDocument/2006/relationships" ref="A1109" r:id="rId1103"/>
    <hyperlink xmlns:r="http://schemas.openxmlformats.org/officeDocument/2006/relationships" ref="A1110" r:id="rId1104"/>
    <hyperlink xmlns:r="http://schemas.openxmlformats.org/officeDocument/2006/relationships" ref="A1111" r:id="rId1105"/>
    <hyperlink xmlns:r="http://schemas.openxmlformats.org/officeDocument/2006/relationships" ref="A1112" r:id="rId1106"/>
    <hyperlink xmlns:r="http://schemas.openxmlformats.org/officeDocument/2006/relationships" ref="A1113" r:id="rId1107"/>
    <hyperlink xmlns:r="http://schemas.openxmlformats.org/officeDocument/2006/relationships" ref="A1114" r:id="rId1108"/>
    <hyperlink xmlns:r="http://schemas.openxmlformats.org/officeDocument/2006/relationships" ref="A1115" r:id="rId1109"/>
    <hyperlink xmlns:r="http://schemas.openxmlformats.org/officeDocument/2006/relationships" ref="A1116" r:id="rId1110"/>
    <hyperlink xmlns:r="http://schemas.openxmlformats.org/officeDocument/2006/relationships" ref="A1117" r:id="rId1111"/>
    <hyperlink xmlns:r="http://schemas.openxmlformats.org/officeDocument/2006/relationships" ref="A1118" r:id="rId1112"/>
    <hyperlink xmlns:r="http://schemas.openxmlformats.org/officeDocument/2006/relationships" ref="A1119" r:id="rId1113"/>
    <hyperlink xmlns:r="http://schemas.openxmlformats.org/officeDocument/2006/relationships" ref="A1120" r:id="rId1114"/>
    <hyperlink xmlns:r="http://schemas.openxmlformats.org/officeDocument/2006/relationships" ref="A1121" r:id="rId1115"/>
    <hyperlink xmlns:r="http://schemas.openxmlformats.org/officeDocument/2006/relationships" ref="A1122" r:id="rId1116"/>
    <hyperlink xmlns:r="http://schemas.openxmlformats.org/officeDocument/2006/relationships" ref="A1123" r:id="rId1117"/>
    <hyperlink xmlns:r="http://schemas.openxmlformats.org/officeDocument/2006/relationships" ref="A1124" r:id="rId1118"/>
    <hyperlink xmlns:r="http://schemas.openxmlformats.org/officeDocument/2006/relationships" ref="A1125" r:id="rId1119"/>
    <hyperlink xmlns:r="http://schemas.openxmlformats.org/officeDocument/2006/relationships" ref="A1126" r:id="rId1120"/>
    <hyperlink xmlns:r="http://schemas.openxmlformats.org/officeDocument/2006/relationships" ref="A1127" r:id="rId1121"/>
    <hyperlink xmlns:r="http://schemas.openxmlformats.org/officeDocument/2006/relationships" ref="A1128" r:id="rId1122"/>
    <hyperlink xmlns:r="http://schemas.openxmlformats.org/officeDocument/2006/relationships" ref="A1129" r:id="rId1123"/>
    <hyperlink xmlns:r="http://schemas.openxmlformats.org/officeDocument/2006/relationships" ref="A1130" r:id="rId1124"/>
    <hyperlink xmlns:r="http://schemas.openxmlformats.org/officeDocument/2006/relationships" ref="A1131" r:id="rId1125"/>
    <hyperlink xmlns:r="http://schemas.openxmlformats.org/officeDocument/2006/relationships" ref="A1132" r:id="rId1126"/>
    <hyperlink xmlns:r="http://schemas.openxmlformats.org/officeDocument/2006/relationships" ref="A1133" r:id="rId1127"/>
    <hyperlink xmlns:r="http://schemas.openxmlformats.org/officeDocument/2006/relationships" ref="A1134" r:id="rId1128"/>
    <hyperlink xmlns:r="http://schemas.openxmlformats.org/officeDocument/2006/relationships" ref="A1135" r:id="rId1129"/>
    <hyperlink xmlns:r="http://schemas.openxmlformats.org/officeDocument/2006/relationships" ref="A1136" r:id="rId1130"/>
    <hyperlink xmlns:r="http://schemas.openxmlformats.org/officeDocument/2006/relationships" ref="A1137" r:id="rId1131"/>
    <hyperlink xmlns:r="http://schemas.openxmlformats.org/officeDocument/2006/relationships" ref="A1138" r:id="rId1132"/>
    <hyperlink xmlns:r="http://schemas.openxmlformats.org/officeDocument/2006/relationships" ref="A1139" r:id="rId1133"/>
    <hyperlink xmlns:r="http://schemas.openxmlformats.org/officeDocument/2006/relationships" ref="A1140" r:id="rId1134"/>
    <hyperlink xmlns:r="http://schemas.openxmlformats.org/officeDocument/2006/relationships" ref="A1141" r:id="rId1135"/>
    <hyperlink xmlns:r="http://schemas.openxmlformats.org/officeDocument/2006/relationships" ref="A1142" r:id="rId1136"/>
    <hyperlink xmlns:r="http://schemas.openxmlformats.org/officeDocument/2006/relationships" ref="A1143" r:id="rId1137"/>
    <hyperlink xmlns:r="http://schemas.openxmlformats.org/officeDocument/2006/relationships" ref="A1144" r:id="rId1138"/>
    <hyperlink xmlns:r="http://schemas.openxmlformats.org/officeDocument/2006/relationships" ref="A1145" r:id="rId1139"/>
    <hyperlink xmlns:r="http://schemas.openxmlformats.org/officeDocument/2006/relationships" ref="A1146" r:id="rId1140"/>
    <hyperlink xmlns:r="http://schemas.openxmlformats.org/officeDocument/2006/relationships" ref="A1147" r:id="rId1141"/>
    <hyperlink xmlns:r="http://schemas.openxmlformats.org/officeDocument/2006/relationships" ref="A1148" r:id="rId1142"/>
    <hyperlink xmlns:r="http://schemas.openxmlformats.org/officeDocument/2006/relationships" ref="A1149" r:id="rId1143"/>
    <hyperlink xmlns:r="http://schemas.openxmlformats.org/officeDocument/2006/relationships" ref="A1150" r:id="rId1144"/>
    <hyperlink xmlns:r="http://schemas.openxmlformats.org/officeDocument/2006/relationships" ref="A1151" r:id="rId1145"/>
    <hyperlink xmlns:r="http://schemas.openxmlformats.org/officeDocument/2006/relationships" ref="A1152" r:id="rId1146"/>
    <hyperlink xmlns:r="http://schemas.openxmlformats.org/officeDocument/2006/relationships" ref="A1153" r:id="rId1147"/>
    <hyperlink xmlns:r="http://schemas.openxmlformats.org/officeDocument/2006/relationships" ref="A1154" r:id="rId1148"/>
    <hyperlink xmlns:r="http://schemas.openxmlformats.org/officeDocument/2006/relationships" ref="A1155" r:id="rId1149"/>
    <hyperlink xmlns:r="http://schemas.openxmlformats.org/officeDocument/2006/relationships" ref="A1156" r:id="rId1150"/>
    <hyperlink xmlns:r="http://schemas.openxmlformats.org/officeDocument/2006/relationships" ref="A1157" r:id="rId1151"/>
    <hyperlink xmlns:r="http://schemas.openxmlformats.org/officeDocument/2006/relationships" ref="A1158" r:id="rId1152"/>
    <hyperlink xmlns:r="http://schemas.openxmlformats.org/officeDocument/2006/relationships" ref="A1159" r:id="rId1153"/>
    <hyperlink xmlns:r="http://schemas.openxmlformats.org/officeDocument/2006/relationships" ref="A1160" r:id="rId1154"/>
    <hyperlink xmlns:r="http://schemas.openxmlformats.org/officeDocument/2006/relationships" ref="A1161" r:id="rId1155"/>
    <hyperlink xmlns:r="http://schemas.openxmlformats.org/officeDocument/2006/relationships" ref="A1162" r:id="rId1156"/>
    <hyperlink xmlns:r="http://schemas.openxmlformats.org/officeDocument/2006/relationships" ref="A1163" r:id="rId1157"/>
    <hyperlink xmlns:r="http://schemas.openxmlformats.org/officeDocument/2006/relationships" ref="A1164" r:id="rId1158"/>
    <hyperlink xmlns:r="http://schemas.openxmlformats.org/officeDocument/2006/relationships" ref="A1165" r:id="rId1159"/>
    <hyperlink xmlns:r="http://schemas.openxmlformats.org/officeDocument/2006/relationships" ref="A1166" r:id="rId1160"/>
    <hyperlink xmlns:r="http://schemas.openxmlformats.org/officeDocument/2006/relationships" ref="A1167" r:id="rId1161"/>
    <hyperlink xmlns:r="http://schemas.openxmlformats.org/officeDocument/2006/relationships" ref="A1168" r:id="rId1162"/>
    <hyperlink xmlns:r="http://schemas.openxmlformats.org/officeDocument/2006/relationships" ref="A1169" r:id="rId1163"/>
    <hyperlink xmlns:r="http://schemas.openxmlformats.org/officeDocument/2006/relationships" ref="A1170" r:id="rId1164"/>
    <hyperlink xmlns:r="http://schemas.openxmlformats.org/officeDocument/2006/relationships" ref="A1171" r:id="rId1165"/>
    <hyperlink xmlns:r="http://schemas.openxmlformats.org/officeDocument/2006/relationships" ref="A1172" r:id="rId1166"/>
    <hyperlink xmlns:r="http://schemas.openxmlformats.org/officeDocument/2006/relationships" ref="A1173" r:id="rId1167"/>
    <hyperlink xmlns:r="http://schemas.openxmlformats.org/officeDocument/2006/relationships" ref="A1174" r:id="rId1168"/>
    <hyperlink xmlns:r="http://schemas.openxmlformats.org/officeDocument/2006/relationships" ref="A1175" r:id="rId1169"/>
    <hyperlink xmlns:r="http://schemas.openxmlformats.org/officeDocument/2006/relationships" ref="A1176" r:id="rId1170"/>
    <hyperlink xmlns:r="http://schemas.openxmlformats.org/officeDocument/2006/relationships" ref="A1177" r:id="rId1171"/>
    <hyperlink xmlns:r="http://schemas.openxmlformats.org/officeDocument/2006/relationships" ref="A1178" r:id="rId1172"/>
    <hyperlink xmlns:r="http://schemas.openxmlformats.org/officeDocument/2006/relationships" ref="A1179" r:id="rId1173"/>
    <hyperlink xmlns:r="http://schemas.openxmlformats.org/officeDocument/2006/relationships" ref="A1180" r:id="rId1174"/>
    <hyperlink xmlns:r="http://schemas.openxmlformats.org/officeDocument/2006/relationships" ref="A1181" r:id="rId1175"/>
    <hyperlink xmlns:r="http://schemas.openxmlformats.org/officeDocument/2006/relationships" ref="A1182" r:id="rId1176"/>
    <hyperlink xmlns:r="http://schemas.openxmlformats.org/officeDocument/2006/relationships" ref="A1183" r:id="rId1177"/>
    <hyperlink xmlns:r="http://schemas.openxmlformats.org/officeDocument/2006/relationships" ref="A1184" r:id="rId1178"/>
    <hyperlink xmlns:r="http://schemas.openxmlformats.org/officeDocument/2006/relationships" ref="A1185" r:id="rId1179"/>
    <hyperlink xmlns:r="http://schemas.openxmlformats.org/officeDocument/2006/relationships" ref="A1186" r:id="rId1180"/>
    <hyperlink xmlns:r="http://schemas.openxmlformats.org/officeDocument/2006/relationships" ref="A1187" r:id="rId1181"/>
    <hyperlink xmlns:r="http://schemas.openxmlformats.org/officeDocument/2006/relationships" ref="A1188" r:id="rId1182"/>
    <hyperlink xmlns:r="http://schemas.openxmlformats.org/officeDocument/2006/relationships" ref="A1189" r:id="rId1183"/>
    <hyperlink xmlns:r="http://schemas.openxmlformats.org/officeDocument/2006/relationships" ref="A1190" r:id="rId1184"/>
    <hyperlink xmlns:r="http://schemas.openxmlformats.org/officeDocument/2006/relationships" ref="A1191" r:id="rId1185"/>
    <hyperlink xmlns:r="http://schemas.openxmlformats.org/officeDocument/2006/relationships" ref="A1192" r:id="rId1186"/>
    <hyperlink xmlns:r="http://schemas.openxmlformats.org/officeDocument/2006/relationships" ref="A1193" r:id="rId1187"/>
    <hyperlink xmlns:r="http://schemas.openxmlformats.org/officeDocument/2006/relationships" ref="A1194" r:id="rId1188"/>
    <hyperlink xmlns:r="http://schemas.openxmlformats.org/officeDocument/2006/relationships" ref="A1195" r:id="rId1189"/>
    <hyperlink xmlns:r="http://schemas.openxmlformats.org/officeDocument/2006/relationships" ref="A1196" r:id="rId1190"/>
    <hyperlink xmlns:r="http://schemas.openxmlformats.org/officeDocument/2006/relationships" ref="A1197" r:id="rId1191"/>
    <hyperlink xmlns:r="http://schemas.openxmlformats.org/officeDocument/2006/relationships" ref="A1198" r:id="rId1192"/>
    <hyperlink xmlns:r="http://schemas.openxmlformats.org/officeDocument/2006/relationships" ref="A1199" r:id="rId1193"/>
    <hyperlink xmlns:r="http://schemas.openxmlformats.org/officeDocument/2006/relationships" ref="A1200" r:id="rId1194"/>
    <hyperlink xmlns:r="http://schemas.openxmlformats.org/officeDocument/2006/relationships" ref="A1201" r:id="rId1195"/>
    <hyperlink xmlns:r="http://schemas.openxmlformats.org/officeDocument/2006/relationships" ref="A1202" r:id="rId1196"/>
    <hyperlink xmlns:r="http://schemas.openxmlformats.org/officeDocument/2006/relationships" ref="A1203" r:id="rId1197"/>
    <hyperlink xmlns:r="http://schemas.openxmlformats.org/officeDocument/2006/relationships" ref="A1204" r:id="rId1198"/>
    <hyperlink xmlns:r="http://schemas.openxmlformats.org/officeDocument/2006/relationships" ref="A1205" r:id="rId1199"/>
    <hyperlink xmlns:r="http://schemas.openxmlformats.org/officeDocument/2006/relationships" ref="A1206" r:id="rId1200"/>
    <hyperlink xmlns:r="http://schemas.openxmlformats.org/officeDocument/2006/relationships" ref="A1207" r:id="rId1201"/>
    <hyperlink xmlns:r="http://schemas.openxmlformats.org/officeDocument/2006/relationships" ref="A1208" r:id="rId1202"/>
    <hyperlink xmlns:r="http://schemas.openxmlformats.org/officeDocument/2006/relationships" ref="A1209" r:id="rId1203"/>
    <hyperlink xmlns:r="http://schemas.openxmlformats.org/officeDocument/2006/relationships" ref="A1210" r:id="rId1204"/>
    <hyperlink xmlns:r="http://schemas.openxmlformats.org/officeDocument/2006/relationships" ref="A1211" r:id="rId1205"/>
    <hyperlink xmlns:r="http://schemas.openxmlformats.org/officeDocument/2006/relationships" ref="A1212" r:id="rId1206"/>
    <hyperlink xmlns:r="http://schemas.openxmlformats.org/officeDocument/2006/relationships" ref="A1213" r:id="rId1207"/>
    <hyperlink xmlns:r="http://schemas.openxmlformats.org/officeDocument/2006/relationships" ref="A1214" r:id="rId1208"/>
    <hyperlink xmlns:r="http://schemas.openxmlformats.org/officeDocument/2006/relationships" ref="A1215" r:id="rId1209"/>
    <hyperlink xmlns:r="http://schemas.openxmlformats.org/officeDocument/2006/relationships" ref="A1216" r:id="rId1210"/>
    <hyperlink xmlns:r="http://schemas.openxmlformats.org/officeDocument/2006/relationships" ref="A1217" r:id="rId1211"/>
    <hyperlink xmlns:r="http://schemas.openxmlformats.org/officeDocument/2006/relationships" ref="A1218" r:id="rId1212"/>
    <hyperlink xmlns:r="http://schemas.openxmlformats.org/officeDocument/2006/relationships" ref="A1219" r:id="rId1213"/>
    <hyperlink xmlns:r="http://schemas.openxmlformats.org/officeDocument/2006/relationships" ref="A1220" r:id="rId1214"/>
    <hyperlink xmlns:r="http://schemas.openxmlformats.org/officeDocument/2006/relationships" ref="A1221" r:id="rId1215"/>
    <hyperlink xmlns:r="http://schemas.openxmlformats.org/officeDocument/2006/relationships" ref="A1222" r:id="rId1216"/>
    <hyperlink xmlns:r="http://schemas.openxmlformats.org/officeDocument/2006/relationships" ref="A1223" r:id="rId1217"/>
    <hyperlink xmlns:r="http://schemas.openxmlformats.org/officeDocument/2006/relationships" ref="A1224" r:id="rId1218"/>
    <hyperlink xmlns:r="http://schemas.openxmlformats.org/officeDocument/2006/relationships" ref="A1225" r:id="rId1219"/>
    <hyperlink xmlns:r="http://schemas.openxmlformats.org/officeDocument/2006/relationships" ref="A1226" r:id="rId1220"/>
    <hyperlink xmlns:r="http://schemas.openxmlformats.org/officeDocument/2006/relationships" ref="A1227" r:id="rId1221"/>
    <hyperlink xmlns:r="http://schemas.openxmlformats.org/officeDocument/2006/relationships" ref="A1228" r:id="rId1222"/>
    <hyperlink xmlns:r="http://schemas.openxmlformats.org/officeDocument/2006/relationships" ref="A1229" r:id="rId1223"/>
    <hyperlink xmlns:r="http://schemas.openxmlformats.org/officeDocument/2006/relationships" ref="A1230" r:id="rId1224"/>
    <hyperlink xmlns:r="http://schemas.openxmlformats.org/officeDocument/2006/relationships" ref="A1231" r:id="rId1225"/>
    <hyperlink xmlns:r="http://schemas.openxmlformats.org/officeDocument/2006/relationships" ref="A1232" r:id="rId1226"/>
    <hyperlink xmlns:r="http://schemas.openxmlformats.org/officeDocument/2006/relationships" ref="A1233" r:id="rId1227"/>
    <hyperlink xmlns:r="http://schemas.openxmlformats.org/officeDocument/2006/relationships" ref="A1234" r:id="rId1228"/>
    <hyperlink xmlns:r="http://schemas.openxmlformats.org/officeDocument/2006/relationships" ref="A1235" r:id="rId1229"/>
    <hyperlink xmlns:r="http://schemas.openxmlformats.org/officeDocument/2006/relationships" ref="A1236" r:id="rId1230"/>
    <hyperlink xmlns:r="http://schemas.openxmlformats.org/officeDocument/2006/relationships" ref="A1237" r:id="rId1231"/>
    <hyperlink xmlns:r="http://schemas.openxmlformats.org/officeDocument/2006/relationships" ref="A1238" r:id="rId1232"/>
    <hyperlink xmlns:r="http://schemas.openxmlformats.org/officeDocument/2006/relationships" ref="A1239" r:id="rId1233"/>
    <hyperlink xmlns:r="http://schemas.openxmlformats.org/officeDocument/2006/relationships" ref="A1240" r:id="rId1234"/>
    <hyperlink xmlns:r="http://schemas.openxmlformats.org/officeDocument/2006/relationships" ref="A1241" r:id="rId1235"/>
    <hyperlink xmlns:r="http://schemas.openxmlformats.org/officeDocument/2006/relationships" ref="A1242" r:id="rId1236"/>
    <hyperlink xmlns:r="http://schemas.openxmlformats.org/officeDocument/2006/relationships" ref="A1243" r:id="rId1237"/>
    <hyperlink xmlns:r="http://schemas.openxmlformats.org/officeDocument/2006/relationships" ref="A1244" r:id="rId1238"/>
    <hyperlink xmlns:r="http://schemas.openxmlformats.org/officeDocument/2006/relationships" ref="A1245" r:id="rId1239"/>
    <hyperlink xmlns:r="http://schemas.openxmlformats.org/officeDocument/2006/relationships" ref="A1246" r:id="rId1240"/>
    <hyperlink xmlns:r="http://schemas.openxmlformats.org/officeDocument/2006/relationships" ref="A1247" r:id="rId1241"/>
    <hyperlink xmlns:r="http://schemas.openxmlformats.org/officeDocument/2006/relationships" ref="A1248" r:id="rId1242"/>
    <hyperlink xmlns:r="http://schemas.openxmlformats.org/officeDocument/2006/relationships" ref="A1249" r:id="rId1243"/>
    <hyperlink xmlns:r="http://schemas.openxmlformats.org/officeDocument/2006/relationships" ref="A1250" r:id="rId1244"/>
    <hyperlink xmlns:r="http://schemas.openxmlformats.org/officeDocument/2006/relationships" ref="A1251" r:id="rId1245"/>
    <hyperlink xmlns:r="http://schemas.openxmlformats.org/officeDocument/2006/relationships" ref="A1252" r:id="rId1246"/>
    <hyperlink xmlns:r="http://schemas.openxmlformats.org/officeDocument/2006/relationships" ref="A1253" r:id="rId1247"/>
    <hyperlink xmlns:r="http://schemas.openxmlformats.org/officeDocument/2006/relationships" ref="A1254" r:id="rId1248"/>
    <hyperlink xmlns:r="http://schemas.openxmlformats.org/officeDocument/2006/relationships" ref="A1255" r:id="rId1249"/>
    <hyperlink xmlns:r="http://schemas.openxmlformats.org/officeDocument/2006/relationships" ref="A1256" r:id="rId1250"/>
    <hyperlink xmlns:r="http://schemas.openxmlformats.org/officeDocument/2006/relationships" ref="A1257" r:id="rId1251"/>
    <hyperlink xmlns:r="http://schemas.openxmlformats.org/officeDocument/2006/relationships" ref="A1258" r:id="rId1252"/>
    <hyperlink xmlns:r="http://schemas.openxmlformats.org/officeDocument/2006/relationships" ref="A1259" r:id="rId1253"/>
    <hyperlink xmlns:r="http://schemas.openxmlformats.org/officeDocument/2006/relationships" ref="A1260" r:id="rId1254"/>
    <hyperlink xmlns:r="http://schemas.openxmlformats.org/officeDocument/2006/relationships" ref="A1261" r:id="rId1255"/>
    <hyperlink xmlns:r="http://schemas.openxmlformats.org/officeDocument/2006/relationships" ref="A1262" r:id="rId1256"/>
    <hyperlink xmlns:r="http://schemas.openxmlformats.org/officeDocument/2006/relationships" ref="A1263" r:id="rId1257"/>
    <hyperlink xmlns:r="http://schemas.openxmlformats.org/officeDocument/2006/relationships" ref="A1264" r:id="rId1258"/>
    <hyperlink xmlns:r="http://schemas.openxmlformats.org/officeDocument/2006/relationships" ref="A1265" r:id="rId1259"/>
    <hyperlink xmlns:r="http://schemas.openxmlformats.org/officeDocument/2006/relationships" ref="A1266" r:id="rId1260"/>
    <hyperlink xmlns:r="http://schemas.openxmlformats.org/officeDocument/2006/relationships" ref="A1267" r:id="rId1261"/>
    <hyperlink xmlns:r="http://schemas.openxmlformats.org/officeDocument/2006/relationships" ref="A1268" r:id="rId1262"/>
    <hyperlink xmlns:r="http://schemas.openxmlformats.org/officeDocument/2006/relationships" ref="A1269" r:id="rId1263"/>
    <hyperlink xmlns:r="http://schemas.openxmlformats.org/officeDocument/2006/relationships" ref="A1270" r:id="rId1264"/>
    <hyperlink xmlns:r="http://schemas.openxmlformats.org/officeDocument/2006/relationships" ref="A1271" r:id="rId1265"/>
    <hyperlink xmlns:r="http://schemas.openxmlformats.org/officeDocument/2006/relationships" ref="A1272" r:id="rId1266"/>
    <hyperlink xmlns:r="http://schemas.openxmlformats.org/officeDocument/2006/relationships" ref="A1273" r:id="rId1267"/>
    <hyperlink xmlns:r="http://schemas.openxmlformats.org/officeDocument/2006/relationships" ref="A1274" r:id="rId1268"/>
    <hyperlink xmlns:r="http://schemas.openxmlformats.org/officeDocument/2006/relationships" ref="A1275" r:id="rId1269"/>
    <hyperlink xmlns:r="http://schemas.openxmlformats.org/officeDocument/2006/relationships" ref="A1276" r:id="rId1270"/>
    <hyperlink xmlns:r="http://schemas.openxmlformats.org/officeDocument/2006/relationships" ref="A1277" r:id="rId1271"/>
    <hyperlink xmlns:r="http://schemas.openxmlformats.org/officeDocument/2006/relationships" ref="A1278" r:id="rId1272"/>
    <hyperlink xmlns:r="http://schemas.openxmlformats.org/officeDocument/2006/relationships" ref="A1279" r:id="rId1273"/>
    <hyperlink xmlns:r="http://schemas.openxmlformats.org/officeDocument/2006/relationships" ref="A1280" r:id="rId1274"/>
    <hyperlink xmlns:r="http://schemas.openxmlformats.org/officeDocument/2006/relationships" ref="A1281" r:id="rId1275"/>
    <hyperlink xmlns:r="http://schemas.openxmlformats.org/officeDocument/2006/relationships" ref="A1282" r:id="rId1276"/>
    <hyperlink xmlns:r="http://schemas.openxmlformats.org/officeDocument/2006/relationships" ref="A1283" r:id="rId1277"/>
    <hyperlink xmlns:r="http://schemas.openxmlformats.org/officeDocument/2006/relationships" ref="A1284" r:id="rId1278"/>
    <hyperlink xmlns:r="http://schemas.openxmlformats.org/officeDocument/2006/relationships" ref="A1285" r:id="rId1279"/>
    <hyperlink xmlns:r="http://schemas.openxmlformats.org/officeDocument/2006/relationships" ref="A1286" r:id="rId1280"/>
    <hyperlink xmlns:r="http://schemas.openxmlformats.org/officeDocument/2006/relationships" ref="A1287" r:id="rId1281"/>
    <hyperlink xmlns:r="http://schemas.openxmlformats.org/officeDocument/2006/relationships" ref="A1288" r:id="rId1282"/>
    <hyperlink xmlns:r="http://schemas.openxmlformats.org/officeDocument/2006/relationships" ref="A1289" r:id="rId1283"/>
    <hyperlink xmlns:r="http://schemas.openxmlformats.org/officeDocument/2006/relationships" ref="A1290" r:id="rId1284"/>
    <hyperlink xmlns:r="http://schemas.openxmlformats.org/officeDocument/2006/relationships" ref="A1291" r:id="rId1285"/>
    <hyperlink xmlns:r="http://schemas.openxmlformats.org/officeDocument/2006/relationships" ref="A1292" r:id="rId1286"/>
    <hyperlink xmlns:r="http://schemas.openxmlformats.org/officeDocument/2006/relationships" ref="A1293" r:id="rId1287"/>
    <hyperlink xmlns:r="http://schemas.openxmlformats.org/officeDocument/2006/relationships" ref="A1294" r:id="rId1288"/>
    <hyperlink xmlns:r="http://schemas.openxmlformats.org/officeDocument/2006/relationships" ref="A1295" r:id="rId1289"/>
    <hyperlink xmlns:r="http://schemas.openxmlformats.org/officeDocument/2006/relationships" ref="A1296" r:id="rId1290"/>
    <hyperlink xmlns:r="http://schemas.openxmlformats.org/officeDocument/2006/relationships" ref="A1297" r:id="rId1291"/>
    <hyperlink xmlns:r="http://schemas.openxmlformats.org/officeDocument/2006/relationships" ref="A1298" r:id="rId1292"/>
    <hyperlink xmlns:r="http://schemas.openxmlformats.org/officeDocument/2006/relationships" ref="A1299" r:id="rId1293"/>
    <hyperlink xmlns:r="http://schemas.openxmlformats.org/officeDocument/2006/relationships" ref="A1300" r:id="rId1294"/>
    <hyperlink xmlns:r="http://schemas.openxmlformats.org/officeDocument/2006/relationships" ref="A1301" r:id="rId1295"/>
    <hyperlink xmlns:r="http://schemas.openxmlformats.org/officeDocument/2006/relationships" ref="A1302" r:id="rId1296"/>
    <hyperlink xmlns:r="http://schemas.openxmlformats.org/officeDocument/2006/relationships" ref="A1303" r:id="rId1297"/>
    <hyperlink xmlns:r="http://schemas.openxmlformats.org/officeDocument/2006/relationships" ref="A1304" r:id="rId1298"/>
    <hyperlink xmlns:r="http://schemas.openxmlformats.org/officeDocument/2006/relationships" ref="A1305" r:id="rId1299"/>
    <hyperlink xmlns:r="http://schemas.openxmlformats.org/officeDocument/2006/relationships" ref="A1306" r:id="rId1300"/>
    <hyperlink xmlns:r="http://schemas.openxmlformats.org/officeDocument/2006/relationships" ref="A1307" r:id="rId1301"/>
    <hyperlink xmlns:r="http://schemas.openxmlformats.org/officeDocument/2006/relationships" ref="A1308" r:id="rId1302"/>
    <hyperlink xmlns:r="http://schemas.openxmlformats.org/officeDocument/2006/relationships" ref="A1309" r:id="rId1303"/>
    <hyperlink xmlns:r="http://schemas.openxmlformats.org/officeDocument/2006/relationships" ref="A1310" r:id="rId1304"/>
    <hyperlink xmlns:r="http://schemas.openxmlformats.org/officeDocument/2006/relationships" ref="A1311" r:id="rId1305"/>
    <hyperlink xmlns:r="http://schemas.openxmlformats.org/officeDocument/2006/relationships" ref="A1312" r:id="rId1306"/>
    <hyperlink xmlns:r="http://schemas.openxmlformats.org/officeDocument/2006/relationships" ref="A1313" r:id="rId1307"/>
    <hyperlink xmlns:r="http://schemas.openxmlformats.org/officeDocument/2006/relationships" ref="A1314" r:id="rId1308"/>
    <hyperlink xmlns:r="http://schemas.openxmlformats.org/officeDocument/2006/relationships" ref="A1315" r:id="rId1309"/>
    <hyperlink xmlns:r="http://schemas.openxmlformats.org/officeDocument/2006/relationships" ref="A1316" r:id="rId1310"/>
    <hyperlink xmlns:r="http://schemas.openxmlformats.org/officeDocument/2006/relationships" ref="A1317" r:id="rId1311"/>
    <hyperlink xmlns:r="http://schemas.openxmlformats.org/officeDocument/2006/relationships" ref="A1318" r:id="rId1312"/>
    <hyperlink xmlns:r="http://schemas.openxmlformats.org/officeDocument/2006/relationships" ref="A1319" r:id="rId1313"/>
    <hyperlink xmlns:r="http://schemas.openxmlformats.org/officeDocument/2006/relationships" ref="A1320" r:id="rId1314"/>
    <hyperlink xmlns:r="http://schemas.openxmlformats.org/officeDocument/2006/relationships" ref="A1321" r:id="rId1315"/>
    <hyperlink xmlns:r="http://schemas.openxmlformats.org/officeDocument/2006/relationships" ref="A1322" r:id="rId1316"/>
    <hyperlink xmlns:r="http://schemas.openxmlformats.org/officeDocument/2006/relationships" ref="A1323" r:id="rId1317"/>
    <hyperlink xmlns:r="http://schemas.openxmlformats.org/officeDocument/2006/relationships" ref="A1324" r:id="rId1318"/>
    <hyperlink xmlns:r="http://schemas.openxmlformats.org/officeDocument/2006/relationships" ref="A1325" r:id="rId1319"/>
    <hyperlink xmlns:r="http://schemas.openxmlformats.org/officeDocument/2006/relationships" ref="A1326" r:id="rId1320"/>
    <hyperlink xmlns:r="http://schemas.openxmlformats.org/officeDocument/2006/relationships" ref="A1327" r:id="rId1321"/>
    <hyperlink xmlns:r="http://schemas.openxmlformats.org/officeDocument/2006/relationships" ref="A1328" r:id="rId1322"/>
    <hyperlink xmlns:r="http://schemas.openxmlformats.org/officeDocument/2006/relationships" ref="A1329" r:id="rId1323"/>
    <hyperlink xmlns:r="http://schemas.openxmlformats.org/officeDocument/2006/relationships" ref="A1330" r:id="rId1324"/>
    <hyperlink xmlns:r="http://schemas.openxmlformats.org/officeDocument/2006/relationships" ref="A1331" r:id="rId1325"/>
    <hyperlink xmlns:r="http://schemas.openxmlformats.org/officeDocument/2006/relationships" ref="A1332" r:id="rId1326"/>
    <hyperlink xmlns:r="http://schemas.openxmlformats.org/officeDocument/2006/relationships" ref="A1333" r:id="rId1327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67"/>
  <sheetViews>
    <sheetView zoomScale="205" zoomScaleNormal="205" workbookViewId="0">
      <selection activeCell="H158" sqref="H158"/>
    </sheetView>
  </sheetViews>
  <sheetFormatPr baseColWidth="8" defaultRowHeight="12.75"/>
  <cols>
    <col width="9.7109375" bestFit="1" customWidth="1" style="50" min="1" max="1"/>
    <col width="36.7109375" bestFit="1" customWidth="1" style="50" min="2" max="2"/>
    <col width="2.7109375" customWidth="1" style="50" min="3" max="4"/>
    <col width="39" customWidth="1" style="50" min="5" max="5"/>
    <col width="2.42578125" customWidth="1" style="50" min="6" max="6"/>
    <col width="46.140625" bestFit="1" customWidth="1" style="50" min="8" max="8"/>
  </cols>
  <sheetData>
    <row r="1">
      <c r="A1">
        <f>IF(ISNA(INDEX('Yardi Report'!$A:$E,MATCH('Chart of Accounts'!$A7,'Yardi Report'!$A:$A,0),1)),"",INDEX('Yardi Report'!$A:$E,MATCH('Chart of Accounts'!$A7,'Yardi Report'!$A:$A,0),1))</f>
        <v/>
      </c>
      <c r="B1">
        <f>IF(ISNA(INDEX('Yardi Report'!$A:$E,MATCH('Chart of Accounts'!$A7,'Yardi Report'!$A:$A,0),2)),"",INDEX('Yardi Report'!$A:$E,MATCH('Chart of Accounts'!$A7,'Yardi Report'!$A:$A,0),2))</f>
        <v/>
      </c>
      <c r="C1">
        <f>IF(A1="","",1)</f>
        <v/>
      </c>
      <c r="E1">
        <f>A1&amp;" "&amp;B1</f>
        <v/>
      </c>
      <c r="G1" t="n">
        <v>1</v>
      </c>
      <c r="H1">
        <f>IF(ISNA(INDEX(C1:E500,MATCH(G1,C1:C500,0),3)),"",INDEX(C1:E500,MATCH(G1,C1:C500,0),3))</f>
        <v/>
      </c>
    </row>
    <row r="2">
      <c r="A2">
        <f>IF(ISNA(INDEX('Yardi Report'!$A:$E,MATCH('Chart of Accounts'!$A8,'Yardi Report'!$A:$A,0),1)),"",INDEX('Yardi Report'!$A:$E,MATCH('Chart of Accounts'!$A8,'Yardi Report'!$A:$A,0),1))</f>
        <v/>
      </c>
      <c r="B2">
        <f>IF(ISNA(INDEX('Yardi Report'!$A:$E,MATCH('Chart of Accounts'!$A8,'Yardi Report'!$A:$A,0),2)),"",INDEX('Yardi Report'!$A:$E,MATCH('Chart of Accounts'!$A8,'Yardi Report'!$A:$A,0),2))</f>
        <v/>
      </c>
      <c r="C2">
        <f>IF(A2="","",C1+1)</f>
        <v/>
      </c>
      <c r="E2">
        <f>A2&amp;" "&amp;B2</f>
        <v/>
      </c>
      <c r="G2">
        <f>+G1+1</f>
        <v/>
      </c>
      <c r="H2">
        <f>IF(ISNA(INDEX(C2:E501,MATCH(G2,C2:C501,0),3)),"",INDEX(C2:E501,MATCH(G2,C2:C501,0),3))</f>
        <v/>
      </c>
    </row>
    <row r="3">
      <c r="A3">
        <f>IF(ISNA(INDEX('Yardi Report'!$A:$E,MATCH('Chart of Accounts'!$A9,'Yardi Report'!$A:$A,0),1)),"",INDEX('Yardi Report'!$A:$E,MATCH('Chart of Accounts'!$A9,'Yardi Report'!$A:$A,0),1))</f>
        <v/>
      </c>
      <c r="B3">
        <f>IF(ISNA(INDEX('Yardi Report'!$A:$E,MATCH('Chart of Accounts'!$A9,'Yardi Report'!$A:$A,0),2)),"",INDEX('Yardi Report'!$A:$E,MATCH('Chart of Accounts'!$A9,'Yardi Report'!$A:$A,0),2))</f>
        <v/>
      </c>
      <c r="C3">
        <f>IF(A3="","",MAX($C$1:C2)+1)</f>
        <v/>
      </c>
      <c r="E3">
        <f>A3&amp;" "&amp;B3</f>
        <v/>
      </c>
      <c r="G3">
        <f>+G2+1</f>
        <v/>
      </c>
      <c r="H3">
        <f>IF(ISNA(INDEX(C3:E502,MATCH(G3,C3:C502,0),3)),"",INDEX(C3:E502,MATCH(G3,C3:C502,0),3))</f>
        <v/>
      </c>
    </row>
    <row r="4">
      <c r="A4">
        <f>IF(ISNA(INDEX('Yardi Report'!$A:$E,MATCH('Chart of Accounts'!$A10,'Yardi Report'!$A:$A,0),1)),"",INDEX('Yardi Report'!$A:$E,MATCH('Chart of Accounts'!$A10,'Yardi Report'!$A:$A,0),1))</f>
        <v/>
      </c>
      <c r="B4">
        <f>IF(ISNA(INDEX('Yardi Report'!$A:$E,MATCH('Chart of Accounts'!$A10,'Yardi Report'!$A:$A,0),2)),"",INDEX('Yardi Report'!$A:$E,MATCH('Chart of Accounts'!$A10,'Yardi Report'!$A:$A,0),2))</f>
        <v/>
      </c>
      <c r="C4">
        <f>IF(A4="","",MAX($C$1:C3)+1)</f>
        <v/>
      </c>
      <c r="E4">
        <f>A4&amp;" "&amp;B4</f>
        <v/>
      </c>
      <c r="G4">
        <f>+G3+1</f>
        <v/>
      </c>
      <c r="H4">
        <f>IF(ISNA(INDEX(C4:E503,MATCH(G4,C4:C503,0),3)),"",INDEX(C4:E503,MATCH(G4,C4:C503,0),3))</f>
        <v/>
      </c>
    </row>
    <row r="5">
      <c r="A5">
        <f>IF(ISNA(INDEX('Yardi Report'!$A:$E,MATCH('Chart of Accounts'!$A11,'Yardi Report'!$A:$A,0),1)),"",INDEX('Yardi Report'!$A:$E,MATCH('Chart of Accounts'!$A11,'Yardi Report'!$A:$A,0),1))</f>
        <v/>
      </c>
      <c r="B5">
        <f>IF(ISNA(INDEX('Yardi Report'!$A:$E,MATCH('Chart of Accounts'!$A11,'Yardi Report'!$A:$A,0),2)),"",INDEX('Yardi Report'!$A:$E,MATCH('Chart of Accounts'!$A11,'Yardi Report'!$A:$A,0),2))</f>
        <v/>
      </c>
      <c r="C5">
        <f>IF(A5="","",MAX($C$1:C4)+1)</f>
        <v/>
      </c>
      <c r="E5">
        <f>A5&amp;" "&amp;B5</f>
        <v/>
      </c>
      <c r="G5">
        <f>+G4+1</f>
        <v/>
      </c>
      <c r="H5">
        <f>IF(ISNA(INDEX(C5:E504,MATCH(G5,C5:C504,0),3)),"",INDEX(C5:E504,MATCH(G5,C5:C504,0),3))</f>
        <v/>
      </c>
    </row>
    <row r="6">
      <c r="A6">
        <f>IF(ISNA(INDEX('Yardi Report'!$A:$E,MATCH('Chart of Accounts'!$A12,'Yardi Report'!$A:$A,0),1)),"",INDEX('Yardi Report'!$A:$E,MATCH('Chart of Accounts'!$A12,'Yardi Report'!$A:$A,0),1))</f>
        <v/>
      </c>
      <c r="B6">
        <f>IF(ISNA(INDEX('Yardi Report'!$A:$E,MATCH('Chart of Accounts'!$A12,'Yardi Report'!$A:$A,0),2)),"",INDEX('Yardi Report'!$A:$E,MATCH('Chart of Accounts'!$A12,'Yardi Report'!$A:$A,0),2))</f>
        <v/>
      </c>
      <c r="C6">
        <f>IF(A6="","",MAX($C$1:C5)+1)</f>
        <v/>
      </c>
      <c r="E6">
        <f>A6&amp;" "&amp;B6</f>
        <v/>
      </c>
      <c r="G6">
        <f>+G5+1</f>
        <v/>
      </c>
      <c r="H6">
        <f>IF(ISNA(INDEX(C6:E505,MATCH(G6,C6:C505,0),3)),"",INDEX(C6:E505,MATCH(G6,C6:C505,0),3))</f>
        <v/>
      </c>
    </row>
    <row r="7">
      <c r="A7">
        <f>IF(ISNA(INDEX('Yardi Report'!$A:$E,MATCH('Chart of Accounts'!$A13,'Yardi Report'!$A:$A,0),1)),"",INDEX('Yardi Report'!$A:$E,MATCH('Chart of Accounts'!$A13,'Yardi Report'!$A:$A,0),1))</f>
        <v/>
      </c>
      <c r="B7">
        <f>IF(ISNA(INDEX('Yardi Report'!$A:$E,MATCH('Chart of Accounts'!$A13,'Yardi Report'!$A:$A,0),2)),"",INDEX('Yardi Report'!$A:$E,MATCH('Chart of Accounts'!$A13,'Yardi Report'!$A:$A,0),2))</f>
        <v/>
      </c>
      <c r="C7">
        <f>IF(A7="","",MAX($C$1:C6)+1)</f>
        <v/>
      </c>
      <c r="E7">
        <f>A7&amp;" "&amp;B7</f>
        <v/>
      </c>
      <c r="G7">
        <f>+G6+1</f>
        <v/>
      </c>
      <c r="H7">
        <f>IF(ISNA(INDEX(C7:E506,MATCH(G7,C7:C506,0),3)),"",INDEX(C7:E506,MATCH(G7,C7:C506,0),3))</f>
        <v/>
      </c>
    </row>
    <row r="8">
      <c r="A8">
        <f>IF(ISNA(INDEX('Yardi Report'!$A:$E,MATCH('Chart of Accounts'!$A14,'Yardi Report'!$A:$A,0),1)),"",INDEX('Yardi Report'!$A:$E,MATCH('Chart of Accounts'!$A14,'Yardi Report'!$A:$A,0),1))</f>
        <v/>
      </c>
      <c r="B8">
        <f>IF(ISNA(INDEX('Yardi Report'!$A:$E,MATCH('Chart of Accounts'!$A14,'Yardi Report'!$A:$A,0),2)),"",INDEX('Yardi Report'!$A:$E,MATCH('Chart of Accounts'!$A14,'Yardi Report'!$A:$A,0),2))</f>
        <v/>
      </c>
      <c r="C8">
        <f>IF(A8="","",MAX($C$1:C7)+1)</f>
        <v/>
      </c>
      <c r="E8">
        <f>A8&amp;" "&amp;B8</f>
        <v/>
      </c>
      <c r="G8">
        <f>+G7+1</f>
        <v/>
      </c>
      <c r="H8">
        <f>IF(ISNA(INDEX(C8:E507,MATCH(G8,C8:C507,0),3)),"",INDEX(C8:E507,MATCH(G8,C8:C507,0),3))</f>
        <v/>
      </c>
    </row>
    <row r="9">
      <c r="A9">
        <f>IF(ISNA(INDEX('Yardi Report'!$A:$E,MATCH('Chart of Accounts'!$A15,'Yardi Report'!$A:$A,0),1)),"",INDEX('Yardi Report'!$A:$E,MATCH('Chart of Accounts'!$A15,'Yardi Report'!$A:$A,0),1))</f>
        <v/>
      </c>
      <c r="B9">
        <f>IF(ISNA(INDEX('Yardi Report'!$A:$E,MATCH('Chart of Accounts'!$A15,'Yardi Report'!$A:$A,0),2)),"",INDEX('Yardi Report'!$A:$E,MATCH('Chart of Accounts'!$A15,'Yardi Report'!$A:$A,0),2))</f>
        <v/>
      </c>
      <c r="C9">
        <f>IF(A9="","",MAX($C$1:C8)+1)</f>
        <v/>
      </c>
      <c r="E9">
        <f>A9&amp;" "&amp;B9</f>
        <v/>
      </c>
      <c r="G9">
        <f>+G8+1</f>
        <v/>
      </c>
      <c r="H9">
        <f>IF(ISNA(INDEX(C9:E508,MATCH(G9,C9:C508,0),3)),"",INDEX(C9:E508,MATCH(G9,C9:C508,0),3))</f>
        <v/>
      </c>
    </row>
    <row r="10">
      <c r="A10">
        <f>IF(ISNA(INDEX('Yardi Report'!$A:$E,MATCH('Chart of Accounts'!$A16,'Yardi Report'!$A:$A,0),1)),"",INDEX('Yardi Report'!$A:$E,MATCH('Chart of Accounts'!$A16,'Yardi Report'!$A:$A,0),1))</f>
        <v/>
      </c>
      <c r="B10">
        <f>IF(ISNA(INDEX('Yardi Report'!$A:$E,MATCH('Chart of Accounts'!$A16,'Yardi Report'!$A:$A,0),2)),"",INDEX('Yardi Report'!$A:$E,MATCH('Chart of Accounts'!$A16,'Yardi Report'!$A:$A,0),2))</f>
        <v/>
      </c>
      <c r="C10">
        <f>IF(A10="","",MAX($C$1:C9)+1)</f>
        <v/>
      </c>
      <c r="E10">
        <f>A10&amp;" "&amp;B10</f>
        <v/>
      </c>
      <c r="G10">
        <f>+G9+1</f>
        <v/>
      </c>
      <c r="H10">
        <f>IF(ISNA(INDEX(C10:E509,MATCH(G10,C10:C509,0),3)),"",INDEX(C10:E509,MATCH(G10,C10:C509,0),3))</f>
        <v/>
      </c>
    </row>
    <row r="11">
      <c r="A11">
        <f>IF(ISNA(INDEX('Yardi Report'!$A:$E,MATCH('Chart of Accounts'!$A17,'Yardi Report'!$A:$A,0),1)),"",INDEX('Yardi Report'!$A:$E,MATCH('Chart of Accounts'!$A17,'Yardi Report'!$A:$A,0),1))</f>
        <v/>
      </c>
      <c r="B11">
        <f>IF(ISNA(INDEX('Yardi Report'!$A:$E,MATCH('Chart of Accounts'!$A17,'Yardi Report'!$A:$A,0),2)),"",INDEX('Yardi Report'!$A:$E,MATCH('Chart of Accounts'!$A17,'Yardi Report'!$A:$A,0),2))</f>
        <v/>
      </c>
      <c r="C11">
        <f>IF(A11="","",MAX($C$1:C10)+1)</f>
        <v/>
      </c>
      <c r="E11">
        <f>A11&amp;" "&amp;B11</f>
        <v/>
      </c>
      <c r="G11">
        <f>+G10+1</f>
        <v/>
      </c>
      <c r="H11">
        <f>IF(ISNA(INDEX(C11:E510,MATCH(G11,C11:C510,0),3)),"",INDEX(C11:E510,MATCH(G11,C11:C510,0),3))</f>
        <v/>
      </c>
    </row>
    <row r="12">
      <c r="A12">
        <f>IF(ISNA(INDEX('Yardi Report'!$A:$E,MATCH('Chart of Accounts'!$A18,'Yardi Report'!$A:$A,0),1)),"",INDEX('Yardi Report'!$A:$E,MATCH('Chart of Accounts'!$A18,'Yardi Report'!$A:$A,0),1))</f>
        <v/>
      </c>
      <c r="B12">
        <f>IF(ISNA(INDEX('Yardi Report'!$A:$E,MATCH('Chart of Accounts'!$A18,'Yardi Report'!$A:$A,0),2)),"",INDEX('Yardi Report'!$A:$E,MATCH('Chart of Accounts'!$A18,'Yardi Report'!$A:$A,0),2))</f>
        <v/>
      </c>
      <c r="C12">
        <f>IF(A12="","",MAX($C$1:C11)+1)</f>
        <v/>
      </c>
      <c r="E12">
        <f>A12&amp;" "&amp;B12</f>
        <v/>
      </c>
      <c r="G12">
        <f>+G11+1</f>
        <v/>
      </c>
      <c r="H12">
        <f>IF(ISNA(INDEX(C12:E511,MATCH(G12,C12:C511,0),3)),"",INDEX(C12:E511,MATCH(G12,C12:C511,0),3))</f>
        <v/>
      </c>
    </row>
    <row r="13">
      <c r="A13">
        <f>IF(ISNA(INDEX('Yardi Report'!$A:$E,MATCH('Chart of Accounts'!$A19,'Yardi Report'!$A:$A,0),1)),"",INDEX('Yardi Report'!$A:$E,MATCH('Chart of Accounts'!$A19,'Yardi Report'!$A:$A,0),1))</f>
        <v/>
      </c>
      <c r="B13">
        <f>IF(ISNA(INDEX('Yardi Report'!$A:$E,MATCH('Chart of Accounts'!$A19,'Yardi Report'!$A:$A,0),2)),"",INDEX('Yardi Report'!$A:$E,MATCH('Chart of Accounts'!$A19,'Yardi Report'!$A:$A,0),2))</f>
        <v/>
      </c>
      <c r="C13">
        <f>IF(A13="","",MAX($C$1:C12)+1)</f>
        <v/>
      </c>
      <c r="E13">
        <f>A13&amp;" "&amp;B13</f>
        <v/>
      </c>
      <c r="G13">
        <f>+G12+1</f>
        <v/>
      </c>
      <c r="H13">
        <f>IF(ISNA(INDEX(C13:E512,MATCH(G13,C13:C512,0),3)),"",INDEX(C13:E512,MATCH(G13,C13:C512,0),3))</f>
        <v/>
      </c>
    </row>
    <row r="14">
      <c r="A14">
        <f>IF(ISNA(INDEX('Yardi Report'!$A:$E,MATCH('Chart of Accounts'!$A20,'Yardi Report'!$A:$A,0),1)),"",INDEX('Yardi Report'!$A:$E,MATCH('Chart of Accounts'!$A20,'Yardi Report'!$A:$A,0),1))</f>
        <v/>
      </c>
      <c r="B14">
        <f>IF(ISNA(INDEX('Yardi Report'!$A:$E,MATCH('Chart of Accounts'!$A20,'Yardi Report'!$A:$A,0),2)),"",INDEX('Yardi Report'!$A:$E,MATCH('Chart of Accounts'!$A20,'Yardi Report'!$A:$A,0),2))</f>
        <v/>
      </c>
      <c r="C14">
        <f>IF(A14="","",MAX($C$1:C13)+1)</f>
        <v/>
      </c>
      <c r="E14">
        <f>A14&amp;" "&amp;B14</f>
        <v/>
      </c>
      <c r="G14">
        <f>+G13+1</f>
        <v/>
      </c>
      <c r="H14">
        <f>IF(ISNA(INDEX(C14:E513,MATCH(G14,C14:C513,0),3)),"",INDEX(C14:E513,MATCH(G14,C14:C513,0),3))</f>
        <v/>
      </c>
    </row>
    <row r="15">
      <c r="A15">
        <f>IF(ISNA(INDEX('Yardi Report'!$A:$E,MATCH('Chart of Accounts'!$A21,'Yardi Report'!$A:$A,0),1)),"",INDEX('Yardi Report'!$A:$E,MATCH('Chart of Accounts'!$A21,'Yardi Report'!$A:$A,0),1))</f>
        <v/>
      </c>
      <c r="B15">
        <f>IF(ISNA(INDEX('Yardi Report'!$A:$E,MATCH('Chart of Accounts'!$A21,'Yardi Report'!$A:$A,0),2)),"",INDEX('Yardi Report'!$A:$E,MATCH('Chart of Accounts'!$A21,'Yardi Report'!$A:$A,0),2))</f>
        <v/>
      </c>
      <c r="C15">
        <f>IF(A15="","",MAX($C$1:C14)+1)</f>
        <v/>
      </c>
      <c r="E15">
        <f>A15&amp;" "&amp;B15</f>
        <v/>
      </c>
      <c r="G15">
        <f>+G14+1</f>
        <v/>
      </c>
      <c r="H15">
        <f>IF(ISNA(INDEX(C15:E514,MATCH(G15,C15:C514,0),3)),"",INDEX(C15:E514,MATCH(G15,C15:C514,0),3))</f>
        <v/>
      </c>
    </row>
    <row r="16">
      <c r="A16">
        <f>IF(ISNA(INDEX('Yardi Report'!$A:$E,MATCH('Chart of Accounts'!$A22,'Yardi Report'!$A:$A,0),1)),"",INDEX('Yardi Report'!$A:$E,MATCH('Chart of Accounts'!$A22,'Yardi Report'!$A:$A,0),1))</f>
        <v/>
      </c>
      <c r="B16">
        <f>IF(ISNA(INDEX('Yardi Report'!$A:$E,MATCH('Chart of Accounts'!$A22,'Yardi Report'!$A:$A,0),2)),"",INDEX('Yardi Report'!$A:$E,MATCH('Chart of Accounts'!$A22,'Yardi Report'!$A:$A,0),2))</f>
        <v/>
      </c>
      <c r="C16">
        <f>IF(A16="","",MAX($C$1:C15)+1)</f>
        <v/>
      </c>
      <c r="E16">
        <f>A16&amp;" "&amp;B16</f>
        <v/>
      </c>
      <c r="G16">
        <f>+G15+1</f>
        <v/>
      </c>
      <c r="H16">
        <f>IF(ISNA(INDEX(C16:E515,MATCH(G16,C16:C515,0),3)),"",INDEX(C16:E515,MATCH(G16,C16:C515,0),3))</f>
        <v/>
      </c>
    </row>
    <row r="17">
      <c r="A17">
        <f>IF(ISNA(INDEX('Yardi Report'!$A:$E,MATCH('Chart of Accounts'!$A23,'Yardi Report'!$A:$A,0),1)),"",INDEX('Yardi Report'!$A:$E,MATCH('Chart of Accounts'!$A23,'Yardi Report'!$A:$A,0),1))</f>
        <v/>
      </c>
      <c r="B17">
        <f>IF(ISNA(INDEX('Yardi Report'!$A:$E,MATCH('Chart of Accounts'!$A23,'Yardi Report'!$A:$A,0),2)),"",INDEX('Yardi Report'!$A:$E,MATCH('Chart of Accounts'!$A23,'Yardi Report'!$A:$A,0),2))</f>
        <v/>
      </c>
      <c r="C17">
        <f>IF(A17="","",MAX($C$1:C16)+1)</f>
        <v/>
      </c>
      <c r="E17">
        <f>A17&amp;" "&amp;B17</f>
        <v/>
      </c>
      <c r="G17">
        <f>+G16+1</f>
        <v/>
      </c>
      <c r="H17">
        <f>IF(ISNA(INDEX(C17:E516,MATCH(G17,C17:C516,0),3)),"",INDEX(C17:E516,MATCH(G17,C17:C516,0),3))</f>
        <v/>
      </c>
    </row>
    <row r="18">
      <c r="A18">
        <f>IF(ISNA(INDEX('Yardi Report'!$A:$E,MATCH('Chart of Accounts'!$A24,'Yardi Report'!$A:$A,0),1)),"",INDEX('Yardi Report'!$A:$E,MATCH('Chart of Accounts'!$A24,'Yardi Report'!$A:$A,0),1))</f>
        <v/>
      </c>
      <c r="B18">
        <f>IF(ISNA(INDEX('Yardi Report'!$A:$E,MATCH('Chart of Accounts'!$A24,'Yardi Report'!$A:$A,0),2)),"",INDEX('Yardi Report'!$A:$E,MATCH('Chart of Accounts'!$A24,'Yardi Report'!$A:$A,0),2))</f>
        <v/>
      </c>
      <c r="C18">
        <f>IF(A18="","",MAX($C$1:C17)+1)</f>
        <v/>
      </c>
      <c r="E18">
        <f>A18&amp;" "&amp;B18</f>
        <v/>
      </c>
      <c r="G18">
        <f>+G17+1</f>
        <v/>
      </c>
      <c r="H18">
        <f>IF(ISNA(INDEX(C18:E517,MATCH(G18,C18:C517,0),3)),"",INDEX(C18:E517,MATCH(G18,C18:C517,0),3))</f>
        <v/>
      </c>
    </row>
    <row r="19">
      <c r="A19">
        <f>IF(ISNA(INDEX('Yardi Report'!$A:$E,MATCH('Chart of Accounts'!$A25,'Yardi Report'!$A:$A,0),1)),"",INDEX('Yardi Report'!$A:$E,MATCH('Chart of Accounts'!$A25,'Yardi Report'!$A:$A,0),1))</f>
        <v/>
      </c>
      <c r="B19">
        <f>IF(ISNA(INDEX('Yardi Report'!$A:$E,MATCH('Chart of Accounts'!$A25,'Yardi Report'!$A:$A,0),2)),"",INDEX('Yardi Report'!$A:$E,MATCH('Chart of Accounts'!$A25,'Yardi Report'!$A:$A,0),2))</f>
        <v/>
      </c>
      <c r="C19">
        <f>IF(A19="","",MAX($C$1:C18)+1)</f>
        <v/>
      </c>
      <c r="E19">
        <f>A19&amp;" "&amp;B19</f>
        <v/>
      </c>
      <c r="G19">
        <f>+G18+1</f>
        <v/>
      </c>
      <c r="H19">
        <f>IF(ISNA(INDEX(C19:E518,MATCH(G19,C19:C518,0),3)),"",INDEX(C19:E518,MATCH(G19,C19:C518,0),3))</f>
        <v/>
      </c>
    </row>
    <row r="20">
      <c r="A20">
        <f>IF(ISNA(INDEX('Yardi Report'!$A:$E,MATCH('Chart of Accounts'!$A26,'Yardi Report'!$A:$A,0),1)),"",INDEX('Yardi Report'!$A:$E,MATCH('Chart of Accounts'!$A26,'Yardi Report'!$A:$A,0),1))</f>
        <v/>
      </c>
      <c r="B20">
        <f>IF(ISNA(INDEX('Yardi Report'!$A:$E,MATCH('Chart of Accounts'!$A26,'Yardi Report'!$A:$A,0),2)),"",INDEX('Yardi Report'!$A:$E,MATCH('Chart of Accounts'!$A26,'Yardi Report'!$A:$A,0),2))</f>
        <v/>
      </c>
      <c r="C20">
        <f>IF(A20="","",MAX($C$1:C19)+1)</f>
        <v/>
      </c>
      <c r="E20">
        <f>A20&amp;" "&amp;B20</f>
        <v/>
      </c>
      <c r="G20">
        <f>+G19+1</f>
        <v/>
      </c>
      <c r="H20">
        <f>IF(ISNA(INDEX(C20:E519,MATCH(G20,C20:C519,0),3)),"",INDEX(C20:E519,MATCH(G20,C20:C519,0),3))</f>
        <v/>
      </c>
    </row>
    <row r="21">
      <c r="A21">
        <f>IF(ISNA(INDEX('Yardi Report'!$A:$E,MATCH('Chart of Accounts'!$A27,'Yardi Report'!$A:$A,0),1)),"",INDEX('Yardi Report'!$A:$E,MATCH('Chart of Accounts'!$A27,'Yardi Report'!$A:$A,0),1))</f>
        <v/>
      </c>
      <c r="B21">
        <f>IF(ISNA(INDEX('Yardi Report'!$A:$E,MATCH('Chart of Accounts'!$A27,'Yardi Report'!$A:$A,0),2)),"",INDEX('Yardi Report'!$A:$E,MATCH('Chart of Accounts'!$A27,'Yardi Report'!$A:$A,0),2))</f>
        <v/>
      </c>
      <c r="C21">
        <f>IF(A21="","",MAX($C$1:C20)+1)</f>
        <v/>
      </c>
      <c r="E21">
        <f>A21&amp;" "&amp;B21</f>
        <v/>
      </c>
      <c r="G21">
        <f>+G20+1</f>
        <v/>
      </c>
      <c r="H21">
        <f>IF(ISNA(INDEX(C21:E520,MATCH(G21,C21:C520,0),3)),"",INDEX(C21:E520,MATCH(G21,C21:C520,0),3))</f>
        <v/>
      </c>
    </row>
    <row r="22">
      <c r="A22">
        <f>IF(ISNA(INDEX('Yardi Report'!$A:$E,MATCH('Chart of Accounts'!$A28,'Yardi Report'!$A:$A,0),1)),"",INDEX('Yardi Report'!$A:$E,MATCH('Chart of Accounts'!$A28,'Yardi Report'!$A:$A,0),1))</f>
        <v/>
      </c>
      <c r="B22">
        <f>IF(ISNA(INDEX('Yardi Report'!$A:$E,MATCH('Chart of Accounts'!$A28,'Yardi Report'!$A:$A,0),2)),"",INDEX('Yardi Report'!$A:$E,MATCH('Chart of Accounts'!$A28,'Yardi Report'!$A:$A,0),2))</f>
        <v/>
      </c>
      <c r="C22">
        <f>IF(A22="","",MAX($C$1:C21)+1)</f>
        <v/>
      </c>
      <c r="E22">
        <f>A22&amp;" "&amp;B22</f>
        <v/>
      </c>
      <c r="G22">
        <f>+G21+1</f>
        <v/>
      </c>
      <c r="H22">
        <f>IF(ISNA(INDEX(C22:E521,MATCH(G22,C22:C521,0),3)),"",INDEX(C22:E521,MATCH(G22,C22:C521,0),3))</f>
        <v/>
      </c>
    </row>
    <row r="23">
      <c r="A23">
        <f>IF(ISNA(INDEX('Yardi Report'!$A:$E,MATCH('Chart of Accounts'!$A29,'Yardi Report'!$A:$A,0),1)),"",INDEX('Yardi Report'!$A:$E,MATCH('Chart of Accounts'!$A29,'Yardi Report'!$A:$A,0),1))</f>
        <v/>
      </c>
      <c r="B23">
        <f>IF(ISNA(INDEX('Yardi Report'!$A:$E,MATCH('Chart of Accounts'!$A29,'Yardi Report'!$A:$A,0),2)),"",INDEX('Yardi Report'!$A:$E,MATCH('Chart of Accounts'!$A29,'Yardi Report'!$A:$A,0),2))</f>
        <v/>
      </c>
      <c r="C23">
        <f>IF(A23="","",MAX($C$1:C22)+1)</f>
        <v/>
      </c>
      <c r="E23">
        <f>A23&amp;" "&amp;B23</f>
        <v/>
      </c>
      <c r="G23">
        <f>+G22+1</f>
        <v/>
      </c>
      <c r="H23">
        <f>IF(ISNA(INDEX(C23:E522,MATCH(G23,C23:C522,0),3)),"",INDEX(C23:E522,MATCH(G23,C23:C522,0),3))</f>
        <v/>
      </c>
    </row>
    <row r="24">
      <c r="A24">
        <f>IF(ISNA(INDEX('Yardi Report'!$A:$E,MATCH('Chart of Accounts'!$A30,'Yardi Report'!$A:$A,0),1)),"",INDEX('Yardi Report'!$A:$E,MATCH('Chart of Accounts'!$A30,'Yardi Report'!$A:$A,0),1))</f>
        <v/>
      </c>
      <c r="B24">
        <f>IF(ISNA(INDEX('Yardi Report'!$A:$E,MATCH('Chart of Accounts'!$A30,'Yardi Report'!$A:$A,0),2)),"",INDEX('Yardi Report'!$A:$E,MATCH('Chart of Accounts'!$A30,'Yardi Report'!$A:$A,0),2))</f>
        <v/>
      </c>
      <c r="C24">
        <f>IF(A24="","",MAX($C$1:C23)+1)</f>
        <v/>
      </c>
      <c r="E24">
        <f>A24&amp;" "&amp;B24</f>
        <v/>
      </c>
      <c r="G24">
        <f>+G23+1</f>
        <v/>
      </c>
      <c r="H24">
        <f>IF(ISNA(INDEX(C24:E523,MATCH(G24,C24:C523,0),3)),"",INDEX(C24:E523,MATCH(G24,C24:C523,0),3))</f>
        <v/>
      </c>
    </row>
    <row r="25">
      <c r="A25">
        <f>IF(ISNA(INDEX('Yardi Report'!$A:$E,MATCH('Chart of Accounts'!$A31,'Yardi Report'!$A:$A,0),1)),"",INDEX('Yardi Report'!$A:$E,MATCH('Chart of Accounts'!$A31,'Yardi Report'!$A:$A,0),1))</f>
        <v/>
      </c>
      <c r="B25">
        <f>IF(ISNA(INDEX('Yardi Report'!$A:$E,MATCH('Chart of Accounts'!$A31,'Yardi Report'!$A:$A,0),2)),"",INDEX('Yardi Report'!$A:$E,MATCH('Chart of Accounts'!$A31,'Yardi Report'!$A:$A,0),2))</f>
        <v/>
      </c>
      <c r="C25">
        <f>IF(A25="","",MAX($C$1:C24)+1)</f>
        <v/>
      </c>
      <c r="E25">
        <f>A25&amp;" "&amp;B25</f>
        <v/>
      </c>
      <c r="G25">
        <f>+G24+1</f>
        <v/>
      </c>
      <c r="H25">
        <f>IF(ISNA(INDEX(C25:E524,MATCH(G25,C25:C524,0),3)),"",INDEX(C25:E524,MATCH(G25,C25:C524,0),3))</f>
        <v/>
      </c>
    </row>
    <row r="26">
      <c r="A26">
        <f>IF(ISNA(INDEX('Yardi Report'!$A:$E,MATCH('Chart of Accounts'!$A32,'Yardi Report'!$A:$A,0),1)),"",INDEX('Yardi Report'!$A:$E,MATCH('Chart of Accounts'!$A32,'Yardi Report'!$A:$A,0),1))</f>
        <v/>
      </c>
      <c r="B26">
        <f>IF(ISNA(INDEX('Yardi Report'!$A:$E,MATCH('Chart of Accounts'!$A32,'Yardi Report'!$A:$A,0),2)),"",INDEX('Yardi Report'!$A:$E,MATCH('Chart of Accounts'!$A32,'Yardi Report'!$A:$A,0),2))</f>
        <v/>
      </c>
      <c r="C26">
        <f>IF(A26="","",MAX($C$1:C25)+1)</f>
        <v/>
      </c>
      <c r="E26">
        <f>A26&amp;" "&amp;B26</f>
        <v/>
      </c>
      <c r="G26">
        <f>+G25+1</f>
        <v/>
      </c>
      <c r="H26">
        <f>IF(ISNA(INDEX(C26:E525,MATCH(G26,C26:C525,0),3)),"",INDEX(C26:E525,MATCH(G26,C26:C525,0),3))</f>
        <v/>
      </c>
    </row>
    <row r="27">
      <c r="A27">
        <f>IF(ISNA(INDEX('Yardi Report'!$A:$E,MATCH('Chart of Accounts'!$A33,'Yardi Report'!$A:$A,0),1)),"",INDEX('Yardi Report'!$A:$E,MATCH('Chart of Accounts'!$A33,'Yardi Report'!$A:$A,0),1))</f>
        <v/>
      </c>
      <c r="B27">
        <f>IF(ISNA(INDEX('Yardi Report'!$A:$E,MATCH('Chart of Accounts'!$A33,'Yardi Report'!$A:$A,0),2)),"",INDEX('Yardi Report'!$A:$E,MATCH('Chart of Accounts'!$A33,'Yardi Report'!$A:$A,0),2))</f>
        <v/>
      </c>
      <c r="C27">
        <f>IF(A27="","",MAX($C$1:C26)+1)</f>
        <v/>
      </c>
      <c r="E27">
        <f>A27&amp;" "&amp;B27</f>
        <v/>
      </c>
      <c r="G27">
        <f>+G26+1</f>
        <v/>
      </c>
      <c r="H27">
        <f>IF(ISNA(INDEX(C27:E526,MATCH(G27,C27:C526,0),3)),"",INDEX(C27:E526,MATCH(G27,C27:C526,0),3))</f>
        <v/>
      </c>
    </row>
    <row r="28">
      <c r="A28">
        <f>IF(ISNA(INDEX('Yardi Report'!$A:$E,MATCH('Chart of Accounts'!$A34,'Yardi Report'!$A:$A,0),1)),"",INDEX('Yardi Report'!$A:$E,MATCH('Chart of Accounts'!$A34,'Yardi Report'!$A:$A,0),1))</f>
        <v/>
      </c>
      <c r="B28">
        <f>IF(ISNA(INDEX('Yardi Report'!$A:$E,MATCH('Chart of Accounts'!$A34,'Yardi Report'!$A:$A,0),2)),"",INDEX('Yardi Report'!$A:$E,MATCH('Chart of Accounts'!$A34,'Yardi Report'!$A:$A,0),2))</f>
        <v/>
      </c>
      <c r="C28">
        <f>IF(A28="","",MAX($C$1:C27)+1)</f>
        <v/>
      </c>
      <c r="E28">
        <f>A28&amp;" "&amp;B28</f>
        <v/>
      </c>
      <c r="G28">
        <f>+G27+1</f>
        <v/>
      </c>
      <c r="H28">
        <f>IF(ISNA(INDEX(C28:E527,MATCH(G28,C28:C527,0),3)),"",INDEX(C28:E527,MATCH(G28,C28:C527,0),3))</f>
        <v/>
      </c>
    </row>
    <row r="29">
      <c r="A29">
        <f>IF(ISNA(INDEX('Yardi Report'!$A:$E,MATCH('Chart of Accounts'!$A35,'Yardi Report'!$A:$A,0),1)),"",INDEX('Yardi Report'!$A:$E,MATCH('Chart of Accounts'!$A35,'Yardi Report'!$A:$A,0),1))</f>
        <v/>
      </c>
      <c r="B29">
        <f>IF(ISNA(INDEX('Yardi Report'!$A:$E,MATCH('Chart of Accounts'!$A35,'Yardi Report'!$A:$A,0),2)),"",INDEX('Yardi Report'!$A:$E,MATCH('Chart of Accounts'!$A35,'Yardi Report'!$A:$A,0),2))</f>
        <v/>
      </c>
      <c r="C29">
        <f>IF(A29="","",MAX($C$1:C28)+1)</f>
        <v/>
      </c>
      <c r="E29">
        <f>A29&amp;" "&amp;B29</f>
        <v/>
      </c>
      <c r="G29">
        <f>+G28+1</f>
        <v/>
      </c>
      <c r="H29">
        <f>IF(ISNA(INDEX(C29:E528,MATCH(G29,C29:C528,0),3)),"",INDEX(C29:E528,MATCH(G29,C29:C528,0),3))</f>
        <v/>
      </c>
    </row>
    <row r="30">
      <c r="A30">
        <f>IF(ISNA(INDEX('Yardi Report'!$A:$E,MATCH('Chart of Accounts'!$A36,'Yardi Report'!$A:$A,0),1)),"",INDEX('Yardi Report'!$A:$E,MATCH('Chart of Accounts'!$A36,'Yardi Report'!$A:$A,0),1))</f>
        <v/>
      </c>
      <c r="B30">
        <f>IF(ISNA(INDEX('Yardi Report'!$A:$E,MATCH('Chart of Accounts'!$A36,'Yardi Report'!$A:$A,0),2)),"",INDEX('Yardi Report'!$A:$E,MATCH('Chart of Accounts'!$A36,'Yardi Report'!$A:$A,0),2))</f>
        <v/>
      </c>
      <c r="C30">
        <f>IF(A30="","",MAX($C$1:C29)+1)</f>
        <v/>
      </c>
      <c r="E30">
        <f>A30&amp;" "&amp;B30</f>
        <v/>
      </c>
      <c r="G30">
        <f>+G29+1</f>
        <v/>
      </c>
      <c r="H30">
        <f>IF(ISNA(INDEX(C30:E529,MATCH(G30,C30:C529,0),3)),"",INDEX(C30:E529,MATCH(G30,C30:C529,0),3))</f>
        <v/>
      </c>
    </row>
    <row r="31">
      <c r="A31">
        <f>IF(ISNA(INDEX('Yardi Report'!$A:$E,MATCH('Chart of Accounts'!$A37,'Yardi Report'!$A:$A,0),1)),"",INDEX('Yardi Report'!$A:$E,MATCH('Chart of Accounts'!$A37,'Yardi Report'!$A:$A,0),1))</f>
        <v/>
      </c>
      <c r="B31">
        <f>IF(ISNA(INDEX('Yardi Report'!$A:$E,MATCH('Chart of Accounts'!$A37,'Yardi Report'!$A:$A,0),2)),"",INDEX('Yardi Report'!$A:$E,MATCH('Chart of Accounts'!$A37,'Yardi Report'!$A:$A,0),2))</f>
        <v/>
      </c>
      <c r="C31">
        <f>IF(A31="","",MAX($C$1:C30)+1)</f>
        <v/>
      </c>
      <c r="E31">
        <f>A31&amp;" "&amp;B31</f>
        <v/>
      </c>
      <c r="G31">
        <f>+G30+1</f>
        <v/>
      </c>
      <c r="H31">
        <f>IF(ISNA(INDEX(C31:E530,MATCH(G31,C31:C530,0),3)),"",INDEX(C31:E530,MATCH(G31,C31:C530,0),3))</f>
        <v/>
      </c>
    </row>
    <row r="32">
      <c r="A32">
        <f>IF(ISNA(INDEX('Yardi Report'!$A:$E,MATCH('Chart of Accounts'!$A38,'Yardi Report'!$A:$A,0),1)),"",INDEX('Yardi Report'!$A:$E,MATCH('Chart of Accounts'!$A38,'Yardi Report'!$A:$A,0),1))</f>
        <v/>
      </c>
      <c r="B32">
        <f>IF(ISNA(INDEX('Yardi Report'!$A:$E,MATCH('Chart of Accounts'!$A38,'Yardi Report'!$A:$A,0),2)),"",INDEX('Yardi Report'!$A:$E,MATCH('Chart of Accounts'!$A38,'Yardi Report'!$A:$A,0),2))</f>
        <v/>
      </c>
      <c r="C32">
        <f>IF(A32="","",MAX($C$1:C31)+1)</f>
        <v/>
      </c>
      <c r="E32">
        <f>A32&amp;" "&amp;B32</f>
        <v/>
      </c>
      <c r="G32">
        <f>+G31+1</f>
        <v/>
      </c>
      <c r="H32">
        <f>IF(ISNA(INDEX(C32:E531,MATCH(G32,C32:C531,0),3)),"",INDEX(C32:E531,MATCH(G32,C32:C531,0),3))</f>
        <v/>
      </c>
    </row>
    <row r="33">
      <c r="A33">
        <f>IF(ISNA(INDEX('Yardi Report'!$A:$E,MATCH('Chart of Accounts'!$A39,'Yardi Report'!$A:$A,0),1)),"",INDEX('Yardi Report'!$A:$E,MATCH('Chart of Accounts'!$A39,'Yardi Report'!$A:$A,0),1))</f>
        <v/>
      </c>
      <c r="B33">
        <f>IF(ISNA(INDEX('Yardi Report'!$A:$E,MATCH('Chart of Accounts'!$A39,'Yardi Report'!$A:$A,0),2)),"",INDEX('Yardi Report'!$A:$E,MATCH('Chart of Accounts'!$A39,'Yardi Report'!$A:$A,0),2))</f>
        <v/>
      </c>
      <c r="C33">
        <f>IF(A33="","",MAX($C$1:C32)+1)</f>
        <v/>
      </c>
      <c r="E33">
        <f>A33&amp;" "&amp;B33</f>
        <v/>
      </c>
      <c r="G33">
        <f>+G32+1</f>
        <v/>
      </c>
      <c r="H33">
        <f>IF(ISNA(INDEX(C33:E532,MATCH(G33,C33:C532,0),3)),"",INDEX(C33:E532,MATCH(G33,C33:C532,0),3))</f>
        <v/>
      </c>
    </row>
    <row r="34">
      <c r="A34">
        <f>IF(ISNA(INDEX('Yardi Report'!$A:$E,MATCH('Chart of Accounts'!$A40,'Yardi Report'!$A:$A,0),1)),"",INDEX('Yardi Report'!$A:$E,MATCH('Chart of Accounts'!$A40,'Yardi Report'!$A:$A,0),1))</f>
        <v/>
      </c>
      <c r="B34">
        <f>IF(ISNA(INDEX('Yardi Report'!$A:$E,MATCH('Chart of Accounts'!$A40,'Yardi Report'!$A:$A,0),2)),"",INDEX('Yardi Report'!$A:$E,MATCH('Chart of Accounts'!$A40,'Yardi Report'!$A:$A,0),2))</f>
        <v/>
      </c>
      <c r="C34">
        <f>IF(A34="","",MAX($C$1:C33)+1)</f>
        <v/>
      </c>
      <c r="E34">
        <f>A34&amp;" "&amp;B34</f>
        <v/>
      </c>
      <c r="G34">
        <f>+G33+1</f>
        <v/>
      </c>
      <c r="H34">
        <f>IF(ISNA(INDEX(C34:E533,MATCH(G34,C34:C533,0),3)),"",INDEX(C34:E533,MATCH(G34,C34:C533,0),3))</f>
        <v/>
      </c>
    </row>
    <row r="35">
      <c r="A35">
        <f>IF(ISNA(INDEX('Yardi Report'!$A:$E,MATCH('Chart of Accounts'!$A41,'Yardi Report'!$A:$A,0),1)),"",INDEX('Yardi Report'!$A:$E,MATCH('Chart of Accounts'!$A41,'Yardi Report'!$A:$A,0),1))</f>
        <v/>
      </c>
      <c r="B35">
        <f>IF(ISNA(INDEX('Yardi Report'!$A:$E,MATCH('Chart of Accounts'!$A41,'Yardi Report'!$A:$A,0),2)),"",INDEX('Yardi Report'!$A:$E,MATCH('Chart of Accounts'!$A41,'Yardi Report'!$A:$A,0),2))</f>
        <v/>
      </c>
      <c r="C35">
        <f>IF(A35="","",MAX($C$1:C34)+1)</f>
        <v/>
      </c>
      <c r="E35">
        <f>A35&amp;" "&amp;B35</f>
        <v/>
      </c>
      <c r="G35">
        <f>+G34+1</f>
        <v/>
      </c>
      <c r="H35">
        <f>IF(ISNA(INDEX(C35:E534,MATCH(G35,C35:C534,0),3)),"",INDEX(C35:E534,MATCH(G35,C35:C534,0),3))</f>
        <v/>
      </c>
    </row>
    <row r="36">
      <c r="A36">
        <f>IF(ISNA(INDEX('Yardi Report'!$A:$E,MATCH('Chart of Accounts'!$A42,'Yardi Report'!$A:$A,0),1)),"",INDEX('Yardi Report'!$A:$E,MATCH('Chart of Accounts'!$A42,'Yardi Report'!$A:$A,0),1))</f>
        <v/>
      </c>
      <c r="B36">
        <f>IF(ISNA(INDEX('Yardi Report'!$A:$E,MATCH('Chart of Accounts'!$A42,'Yardi Report'!$A:$A,0),2)),"",INDEX('Yardi Report'!$A:$E,MATCH('Chart of Accounts'!$A42,'Yardi Report'!$A:$A,0),2))</f>
        <v/>
      </c>
      <c r="C36">
        <f>IF(A36="","",MAX($C$1:C35)+1)</f>
        <v/>
      </c>
      <c r="E36">
        <f>A36&amp;" "&amp;B36</f>
        <v/>
      </c>
      <c r="G36">
        <f>+G35+1</f>
        <v/>
      </c>
      <c r="H36">
        <f>IF(ISNA(INDEX(C36:E535,MATCH(G36,C36:C535,0),3)),"",INDEX(C36:E535,MATCH(G36,C36:C535,0),3))</f>
        <v/>
      </c>
    </row>
    <row r="37">
      <c r="A37">
        <f>IF(ISNA(INDEX('Yardi Report'!$A:$E,MATCH('Chart of Accounts'!$A43,'Yardi Report'!$A:$A,0),1)),"",INDEX('Yardi Report'!$A:$E,MATCH('Chart of Accounts'!$A43,'Yardi Report'!$A:$A,0),1))</f>
        <v/>
      </c>
      <c r="B37">
        <f>IF(ISNA(INDEX('Yardi Report'!$A:$E,MATCH('Chart of Accounts'!$A43,'Yardi Report'!$A:$A,0),2)),"",INDEX('Yardi Report'!$A:$E,MATCH('Chart of Accounts'!$A43,'Yardi Report'!$A:$A,0),2))</f>
        <v/>
      </c>
      <c r="C37">
        <f>IF(A37="","",MAX($C$1:C36)+1)</f>
        <v/>
      </c>
      <c r="E37">
        <f>A37&amp;" "&amp;B37</f>
        <v/>
      </c>
      <c r="G37">
        <f>+G36+1</f>
        <v/>
      </c>
      <c r="H37">
        <f>IF(ISNA(INDEX(C37:E536,MATCH(G37,C37:C536,0),3)),"",INDEX(C37:E536,MATCH(G37,C37:C536,0),3))</f>
        <v/>
      </c>
    </row>
    <row r="38">
      <c r="A38">
        <f>IF(ISNA(INDEX('Yardi Report'!$A:$E,MATCH('Chart of Accounts'!$A44,'Yardi Report'!$A:$A,0),1)),"",INDEX('Yardi Report'!$A:$E,MATCH('Chart of Accounts'!$A44,'Yardi Report'!$A:$A,0),1))</f>
        <v/>
      </c>
      <c r="B38">
        <f>IF(ISNA(INDEX('Yardi Report'!$A:$E,MATCH('Chart of Accounts'!$A44,'Yardi Report'!$A:$A,0),2)),"",INDEX('Yardi Report'!$A:$E,MATCH('Chart of Accounts'!$A44,'Yardi Report'!$A:$A,0),2))</f>
        <v/>
      </c>
      <c r="C38">
        <f>IF(A38="","",MAX($C$1:C37)+1)</f>
        <v/>
      </c>
      <c r="E38">
        <f>A38&amp;" "&amp;B38</f>
        <v/>
      </c>
      <c r="G38">
        <f>+G37+1</f>
        <v/>
      </c>
      <c r="H38">
        <f>IF(ISNA(INDEX(C38:E537,MATCH(G38,C38:C537,0),3)),"",INDEX(C38:E537,MATCH(G38,C38:C537,0),3))</f>
        <v/>
      </c>
    </row>
    <row r="39">
      <c r="A39">
        <f>IF(ISNA(INDEX('Yardi Report'!$A:$E,MATCH('Chart of Accounts'!$A45,'Yardi Report'!$A:$A,0),1)),"",INDEX('Yardi Report'!$A:$E,MATCH('Chart of Accounts'!$A45,'Yardi Report'!$A:$A,0),1))</f>
        <v/>
      </c>
      <c r="B39">
        <f>IF(ISNA(INDEX('Yardi Report'!$A:$E,MATCH('Chart of Accounts'!$A45,'Yardi Report'!$A:$A,0),2)),"",INDEX('Yardi Report'!$A:$E,MATCH('Chart of Accounts'!$A45,'Yardi Report'!$A:$A,0),2))</f>
        <v/>
      </c>
      <c r="C39">
        <f>IF(A39="","",MAX($C$1:C38)+1)</f>
        <v/>
      </c>
      <c r="E39">
        <f>A39&amp;" "&amp;B39</f>
        <v/>
      </c>
      <c r="G39">
        <f>+G38+1</f>
        <v/>
      </c>
      <c r="H39">
        <f>IF(ISNA(INDEX(C39:E538,MATCH(G39,C39:C538,0),3)),"",INDEX(C39:E538,MATCH(G39,C39:C538,0),3))</f>
        <v/>
      </c>
    </row>
    <row r="40">
      <c r="A40">
        <f>IF(ISNA(INDEX('Yardi Report'!$A:$E,MATCH('Chart of Accounts'!$A46,'Yardi Report'!$A:$A,0),1)),"",INDEX('Yardi Report'!$A:$E,MATCH('Chart of Accounts'!$A46,'Yardi Report'!$A:$A,0),1))</f>
        <v/>
      </c>
      <c r="B40">
        <f>IF(ISNA(INDEX('Yardi Report'!$A:$E,MATCH('Chart of Accounts'!$A46,'Yardi Report'!$A:$A,0),2)),"",INDEX('Yardi Report'!$A:$E,MATCH('Chart of Accounts'!$A46,'Yardi Report'!$A:$A,0),2))</f>
        <v/>
      </c>
      <c r="C40">
        <f>IF(A40="","",MAX($C$1:C39)+1)</f>
        <v/>
      </c>
      <c r="E40">
        <f>A40&amp;" "&amp;B40</f>
        <v/>
      </c>
      <c r="G40">
        <f>+G39+1</f>
        <v/>
      </c>
      <c r="H40">
        <f>IF(ISNA(INDEX(C40:E539,MATCH(G40,C40:C539,0),3)),"",INDEX(C40:E539,MATCH(G40,C40:C539,0),3))</f>
        <v/>
      </c>
    </row>
    <row r="41">
      <c r="A41">
        <f>IF(ISNA(INDEX('Yardi Report'!$A:$E,MATCH('Chart of Accounts'!$A47,'Yardi Report'!$A:$A,0),1)),"",INDEX('Yardi Report'!$A:$E,MATCH('Chart of Accounts'!$A47,'Yardi Report'!$A:$A,0),1))</f>
        <v/>
      </c>
      <c r="B41">
        <f>IF(ISNA(INDEX('Yardi Report'!$A:$E,MATCH('Chart of Accounts'!$A47,'Yardi Report'!$A:$A,0),2)),"",INDEX('Yardi Report'!$A:$E,MATCH('Chart of Accounts'!$A47,'Yardi Report'!$A:$A,0),2))</f>
        <v/>
      </c>
      <c r="C41">
        <f>IF(A41="","",MAX($C$1:C40)+1)</f>
        <v/>
      </c>
      <c r="E41">
        <f>A41&amp;" "&amp;B41</f>
        <v/>
      </c>
      <c r="G41">
        <f>+G40+1</f>
        <v/>
      </c>
      <c r="H41">
        <f>IF(ISNA(INDEX(C41:E540,MATCH(G41,C41:C540,0),3)),"",INDEX(C41:E540,MATCH(G41,C41:C540,0),3))</f>
        <v/>
      </c>
    </row>
    <row r="42">
      <c r="A42">
        <f>IF(ISNA(INDEX('Yardi Report'!$A:$E,MATCH('Chart of Accounts'!$A48,'Yardi Report'!$A:$A,0),1)),"",INDEX('Yardi Report'!$A:$E,MATCH('Chart of Accounts'!$A48,'Yardi Report'!$A:$A,0),1))</f>
        <v/>
      </c>
      <c r="B42">
        <f>IF(ISNA(INDEX('Yardi Report'!$A:$E,MATCH('Chart of Accounts'!$A48,'Yardi Report'!$A:$A,0),2)),"",INDEX('Yardi Report'!$A:$E,MATCH('Chart of Accounts'!$A48,'Yardi Report'!$A:$A,0),2))</f>
        <v/>
      </c>
      <c r="C42">
        <f>IF(A42="","",MAX($C$1:C41)+1)</f>
        <v/>
      </c>
      <c r="E42">
        <f>A42&amp;" "&amp;B42</f>
        <v/>
      </c>
      <c r="G42">
        <f>+G41+1</f>
        <v/>
      </c>
      <c r="H42">
        <f>IF(ISNA(INDEX(C42:E541,MATCH(G42,C42:C541,0),3)),"",INDEX(C42:E541,MATCH(G42,C42:C541,0),3))</f>
        <v/>
      </c>
    </row>
    <row r="43">
      <c r="A43">
        <f>IF(ISNA(INDEX('Yardi Report'!$A:$E,MATCH('Chart of Accounts'!$A49,'Yardi Report'!$A:$A,0),1)),"",INDEX('Yardi Report'!$A:$E,MATCH('Chart of Accounts'!$A49,'Yardi Report'!$A:$A,0),1))</f>
        <v/>
      </c>
      <c r="B43">
        <f>IF(ISNA(INDEX('Yardi Report'!$A:$E,MATCH('Chart of Accounts'!$A49,'Yardi Report'!$A:$A,0),2)),"",INDEX('Yardi Report'!$A:$E,MATCH('Chart of Accounts'!$A49,'Yardi Report'!$A:$A,0),2))</f>
        <v/>
      </c>
      <c r="C43">
        <f>IF(A43="","",MAX($C$1:C42)+1)</f>
        <v/>
      </c>
      <c r="E43">
        <f>A43&amp;" "&amp;B43</f>
        <v/>
      </c>
      <c r="G43">
        <f>+G42+1</f>
        <v/>
      </c>
      <c r="H43">
        <f>IF(ISNA(INDEX(C43:E542,MATCH(G43,C43:C542,0),3)),"",INDEX(C43:E542,MATCH(G43,C43:C542,0),3))</f>
        <v/>
      </c>
    </row>
    <row r="44">
      <c r="A44">
        <f>IF(ISNA(INDEX('Yardi Report'!$A:$E,MATCH('Chart of Accounts'!$A50,'Yardi Report'!$A:$A,0),1)),"",INDEX('Yardi Report'!$A:$E,MATCH('Chart of Accounts'!$A50,'Yardi Report'!$A:$A,0),1))</f>
        <v/>
      </c>
      <c r="B44">
        <f>IF(ISNA(INDEX('Yardi Report'!$A:$E,MATCH('Chart of Accounts'!$A50,'Yardi Report'!$A:$A,0),2)),"",INDEX('Yardi Report'!$A:$E,MATCH('Chart of Accounts'!$A50,'Yardi Report'!$A:$A,0),2))</f>
        <v/>
      </c>
      <c r="C44">
        <f>IF(A44="","",MAX($C$1:C43)+1)</f>
        <v/>
      </c>
      <c r="E44">
        <f>A44&amp;" "&amp;B44</f>
        <v/>
      </c>
      <c r="G44">
        <f>+G43+1</f>
        <v/>
      </c>
      <c r="H44">
        <f>IF(ISNA(INDEX(C44:E543,MATCH(G44,C44:C543,0),3)),"",INDEX(C44:E543,MATCH(G44,C44:C543,0),3))</f>
        <v/>
      </c>
    </row>
    <row r="45">
      <c r="A45">
        <f>IF(ISNA(INDEX('Yardi Report'!$A:$E,MATCH('Chart of Accounts'!$A51,'Yardi Report'!$A:$A,0),1)),"",INDEX('Yardi Report'!$A:$E,MATCH('Chart of Accounts'!$A51,'Yardi Report'!$A:$A,0),1))</f>
        <v/>
      </c>
      <c r="B45">
        <f>IF(ISNA(INDEX('Yardi Report'!$A:$E,MATCH('Chart of Accounts'!$A51,'Yardi Report'!$A:$A,0),2)),"",INDEX('Yardi Report'!$A:$E,MATCH('Chart of Accounts'!$A51,'Yardi Report'!$A:$A,0),2))</f>
        <v/>
      </c>
      <c r="C45">
        <f>IF(A45="","",MAX($C$1:C44)+1)</f>
        <v/>
      </c>
      <c r="E45">
        <f>A45&amp;" "&amp;B45</f>
        <v/>
      </c>
      <c r="G45">
        <f>+G44+1</f>
        <v/>
      </c>
      <c r="H45">
        <f>IF(ISNA(INDEX(C45:E544,MATCH(G45,C45:C544,0),3)),"",INDEX(C45:E544,MATCH(G45,C45:C544,0),3))</f>
        <v/>
      </c>
    </row>
    <row r="46">
      <c r="A46">
        <f>IF(ISNA(INDEX('Yardi Report'!$A:$E,MATCH('Chart of Accounts'!$A52,'Yardi Report'!$A:$A,0),1)),"",INDEX('Yardi Report'!$A:$E,MATCH('Chart of Accounts'!$A52,'Yardi Report'!$A:$A,0),1))</f>
        <v/>
      </c>
      <c r="B46">
        <f>IF(ISNA(INDEX('Yardi Report'!$A:$E,MATCH('Chart of Accounts'!$A52,'Yardi Report'!$A:$A,0),2)),"",INDEX('Yardi Report'!$A:$E,MATCH('Chart of Accounts'!$A52,'Yardi Report'!$A:$A,0),2))</f>
        <v/>
      </c>
      <c r="C46">
        <f>IF(A46="","",MAX($C$1:C45)+1)</f>
        <v/>
      </c>
      <c r="E46">
        <f>A46&amp;" "&amp;B46</f>
        <v/>
      </c>
      <c r="G46">
        <f>+G45+1</f>
        <v/>
      </c>
      <c r="H46">
        <f>IF(ISNA(INDEX(C46:E545,MATCH(G46,C46:C545,0),3)),"",INDEX(C46:E545,MATCH(G46,C46:C545,0),3))</f>
        <v/>
      </c>
    </row>
    <row r="47">
      <c r="A47">
        <f>IF(ISNA(INDEX('Yardi Report'!$A:$E,MATCH('Chart of Accounts'!$A53,'Yardi Report'!$A:$A,0),1)),"",INDEX('Yardi Report'!$A:$E,MATCH('Chart of Accounts'!$A53,'Yardi Report'!$A:$A,0),1))</f>
        <v/>
      </c>
      <c r="B47">
        <f>IF(ISNA(INDEX('Yardi Report'!$A:$E,MATCH('Chart of Accounts'!$A53,'Yardi Report'!$A:$A,0),2)),"",INDEX('Yardi Report'!$A:$E,MATCH('Chart of Accounts'!$A53,'Yardi Report'!$A:$A,0),2))</f>
        <v/>
      </c>
      <c r="C47">
        <f>IF(A47="","",MAX($C$1:C46)+1)</f>
        <v/>
      </c>
      <c r="E47">
        <f>A47&amp;" "&amp;B47</f>
        <v/>
      </c>
      <c r="G47">
        <f>+G46+1</f>
        <v/>
      </c>
      <c r="H47">
        <f>IF(ISNA(INDEX(C47:E546,MATCH(G47,C47:C546,0),3)),"",INDEX(C47:E546,MATCH(G47,C47:C546,0),3))</f>
        <v/>
      </c>
    </row>
    <row r="48">
      <c r="A48">
        <f>IF(ISNA(INDEX('Yardi Report'!$A:$E,MATCH('Chart of Accounts'!$A54,'Yardi Report'!$A:$A,0),1)),"",INDEX('Yardi Report'!$A:$E,MATCH('Chart of Accounts'!$A54,'Yardi Report'!$A:$A,0),1))</f>
        <v/>
      </c>
      <c r="B48">
        <f>IF(ISNA(INDEX('Yardi Report'!$A:$E,MATCH('Chart of Accounts'!$A54,'Yardi Report'!$A:$A,0),2)),"",INDEX('Yardi Report'!$A:$E,MATCH('Chart of Accounts'!$A54,'Yardi Report'!$A:$A,0),2))</f>
        <v/>
      </c>
      <c r="C48">
        <f>IF(A48="","",MAX($C$1:C47)+1)</f>
        <v/>
      </c>
      <c r="E48">
        <f>A48&amp;" "&amp;B48</f>
        <v/>
      </c>
      <c r="G48">
        <f>+G47+1</f>
        <v/>
      </c>
      <c r="H48">
        <f>IF(ISNA(INDEX(C48:E547,MATCH(G48,C48:C547,0),3)),"",INDEX(C48:E547,MATCH(G48,C48:C547,0),3))</f>
        <v/>
      </c>
    </row>
    <row r="49">
      <c r="A49">
        <f>IF(ISNA(INDEX('Yardi Report'!$A:$E,MATCH('Chart of Accounts'!$A55,'Yardi Report'!$A:$A,0),1)),"",INDEX('Yardi Report'!$A:$E,MATCH('Chart of Accounts'!$A55,'Yardi Report'!$A:$A,0),1))</f>
        <v/>
      </c>
      <c r="B49">
        <f>IF(ISNA(INDEX('Yardi Report'!$A:$E,MATCH('Chart of Accounts'!$A55,'Yardi Report'!$A:$A,0),2)),"",INDEX('Yardi Report'!$A:$E,MATCH('Chart of Accounts'!$A55,'Yardi Report'!$A:$A,0),2))</f>
        <v/>
      </c>
      <c r="C49">
        <f>IF(A49="","",MAX($C$1:C48)+1)</f>
        <v/>
      </c>
      <c r="E49">
        <f>A49&amp;" "&amp;B49</f>
        <v/>
      </c>
      <c r="G49">
        <f>+G48+1</f>
        <v/>
      </c>
      <c r="H49">
        <f>IF(ISNA(INDEX(C49:E548,MATCH(G49,C49:C548,0),3)),"",INDEX(C49:E548,MATCH(G49,C49:C548,0),3))</f>
        <v/>
      </c>
    </row>
    <row r="50">
      <c r="A50">
        <f>IF(ISNA(INDEX('Yardi Report'!$A:$E,MATCH('Chart of Accounts'!$A56,'Yardi Report'!$A:$A,0),1)),"",INDEX('Yardi Report'!$A:$E,MATCH('Chart of Accounts'!$A56,'Yardi Report'!$A:$A,0),1))</f>
        <v/>
      </c>
      <c r="B50">
        <f>IF(ISNA(INDEX('Yardi Report'!$A:$E,MATCH('Chart of Accounts'!$A56,'Yardi Report'!$A:$A,0),2)),"",INDEX('Yardi Report'!$A:$E,MATCH('Chart of Accounts'!$A56,'Yardi Report'!$A:$A,0),2))</f>
        <v/>
      </c>
      <c r="C50">
        <f>IF(A50="","",MAX($C$1:C49)+1)</f>
        <v/>
      </c>
      <c r="E50">
        <f>A50&amp;" "&amp;B50</f>
        <v/>
      </c>
      <c r="G50">
        <f>+G49+1</f>
        <v/>
      </c>
      <c r="H50">
        <f>IF(ISNA(INDEX(C50:E549,MATCH(G50,C50:C549,0),3)),"",INDEX(C50:E549,MATCH(G50,C50:C549,0),3))</f>
        <v/>
      </c>
    </row>
    <row r="51">
      <c r="A51">
        <f>IF(ISNA(INDEX('Yardi Report'!$A:$E,MATCH('Chart of Accounts'!$A57,'Yardi Report'!$A:$A,0),1)),"",INDEX('Yardi Report'!$A:$E,MATCH('Chart of Accounts'!$A57,'Yardi Report'!$A:$A,0),1))</f>
        <v/>
      </c>
      <c r="B51">
        <f>IF(ISNA(INDEX('Yardi Report'!$A:$E,MATCH('Chart of Accounts'!$A57,'Yardi Report'!$A:$A,0),2)),"",INDEX('Yardi Report'!$A:$E,MATCH('Chart of Accounts'!$A57,'Yardi Report'!$A:$A,0),2))</f>
        <v/>
      </c>
      <c r="C51">
        <f>IF(A51="","",MAX($C$1:C50)+1)</f>
        <v/>
      </c>
      <c r="E51">
        <f>A51&amp;" "&amp;B51</f>
        <v/>
      </c>
      <c r="G51">
        <f>+G50+1</f>
        <v/>
      </c>
      <c r="H51">
        <f>IF(ISNA(INDEX(C51:E550,MATCH(G51,C51:C550,0),3)),"",INDEX(C51:E550,MATCH(G51,C51:C550,0),3))</f>
        <v/>
      </c>
    </row>
    <row r="52">
      <c r="A52">
        <f>IF(ISNA(INDEX('Yardi Report'!$A:$E,MATCH('Chart of Accounts'!$A58,'Yardi Report'!$A:$A,0),1)),"",INDEX('Yardi Report'!$A:$E,MATCH('Chart of Accounts'!$A58,'Yardi Report'!$A:$A,0),1))</f>
        <v/>
      </c>
      <c r="B52">
        <f>IF(ISNA(INDEX('Yardi Report'!$A:$E,MATCH('Chart of Accounts'!$A58,'Yardi Report'!$A:$A,0),2)),"",INDEX('Yardi Report'!$A:$E,MATCH('Chart of Accounts'!$A58,'Yardi Report'!$A:$A,0),2))</f>
        <v/>
      </c>
      <c r="C52">
        <f>IF(A52="","",MAX($C$1:C51)+1)</f>
        <v/>
      </c>
      <c r="E52">
        <f>A52&amp;" "&amp;B52</f>
        <v/>
      </c>
      <c r="G52">
        <f>+G51+1</f>
        <v/>
      </c>
      <c r="H52">
        <f>IF(ISNA(INDEX(C52:E551,MATCH(G52,C52:C551,0),3)),"",INDEX(C52:E551,MATCH(G52,C52:C551,0),3))</f>
        <v/>
      </c>
    </row>
    <row r="53">
      <c r="A53">
        <f>IF(ISNA(INDEX('Yardi Report'!$A:$E,MATCH('Chart of Accounts'!$A59,'Yardi Report'!$A:$A,0),1)),"",INDEX('Yardi Report'!$A:$E,MATCH('Chart of Accounts'!$A59,'Yardi Report'!$A:$A,0),1))</f>
        <v/>
      </c>
      <c r="B53">
        <f>IF(ISNA(INDEX('Yardi Report'!$A:$E,MATCH('Chart of Accounts'!$A59,'Yardi Report'!$A:$A,0),2)),"",INDEX('Yardi Report'!$A:$E,MATCH('Chart of Accounts'!$A59,'Yardi Report'!$A:$A,0),2))</f>
        <v/>
      </c>
      <c r="C53">
        <f>IF(A53="","",MAX($C$1:C52)+1)</f>
        <v/>
      </c>
      <c r="E53">
        <f>A53&amp;" "&amp;B53</f>
        <v/>
      </c>
      <c r="G53">
        <f>+G52+1</f>
        <v/>
      </c>
      <c r="H53">
        <f>IF(ISNA(INDEX(C53:E552,MATCH(G53,C53:C552,0),3)),"",INDEX(C53:E552,MATCH(G53,C53:C552,0),3))</f>
        <v/>
      </c>
    </row>
    <row r="54">
      <c r="A54">
        <f>IF(ISNA(INDEX('Yardi Report'!$A:$E,MATCH('Chart of Accounts'!$A60,'Yardi Report'!$A:$A,0),1)),"",INDEX('Yardi Report'!$A:$E,MATCH('Chart of Accounts'!$A60,'Yardi Report'!$A:$A,0),1))</f>
        <v/>
      </c>
      <c r="B54">
        <f>IF(ISNA(INDEX('Yardi Report'!$A:$E,MATCH('Chart of Accounts'!$A60,'Yardi Report'!$A:$A,0),2)),"",INDEX('Yardi Report'!$A:$E,MATCH('Chart of Accounts'!$A60,'Yardi Report'!$A:$A,0),2))</f>
        <v/>
      </c>
      <c r="C54">
        <f>IF(A54="","",MAX($C$1:C53)+1)</f>
        <v/>
      </c>
      <c r="E54">
        <f>A54&amp;" "&amp;B54</f>
        <v/>
      </c>
      <c r="G54">
        <f>+G53+1</f>
        <v/>
      </c>
      <c r="H54">
        <f>IF(ISNA(INDEX(C54:E553,MATCH(G54,C54:C553,0),3)),"",INDEX(C54:E553,MATCH(G54,C54:C553,0),3))</f>
        <v/>
      </c>
    </row>
    <row r="55">
      <c r="A55">
        <f>IF(ISNA(INDEX('Yardi Report'!$A:$E,MATCH('Chart of Accounts'!$A61,'Yardi Report'!$A:$A,0),1)),"",INDEX('Yardi Report'!$A:$E,MATCH('Chart of Accounts'!$A61,'Yardi Report'!$A:$A,0),1))</f>
        <v/>
      </c>
      <c r="B55">
        <f>IF(ISNA(INDEX('Yardi Report'!$A:$E,MATCH('Chart of Accounts'!$A61,'Yardi Report'!$A:$A,0),2)),"",INDEX('Yardi Report'!$A:$E,MATCH('Chart of Accounts'!$A61,'Yardi Report'!$A:$A,0),2))</f>
        <v/>
      </c>
      <c r="C55">
        <f>IF(A55="","",MAX($C$1:C54)+1)</f>
        <v/>
      </c>
      <c r="E55">
        <f>A55&amp;" "&amp;B55</f>
        <v/>
      </c>
      <c r="G55">
        <f>+G54+1</f>
        <v/>
      </c>
      <c r="H55">
        <f>IF(ISNA(INDEX(C55:E554,MATCH(G55,C55:C554,0),3)),"",INDEX(C55:E554,MATCH(G55,C55:C554,0),3))</f>
        <v/>
      </c>
    </row>
    <row r="56">
      <c r="A56">
        <f>IF(ISNA(INDEX('Yardi Report'!$A:$E,MATCH('Chart of Accounts'!$A62,'Yardi Report'!$A:$A,0),1)),"",INDEX('Yardi Report'!$A:$E,MATCH('Chart of Accounts'!$A62,'Yardi Report'!$A:$A,0),1))</f>
        <v/>
      </c>
      <c r="B56">
        <f>IF(ISNA(INDEX('Yardi Report'!$A:$E,MATCH('Chart of Accounts'!$A62,'Yardi Report'!$A:$A,0),2)),"",INDEX('Yardi Report'!$A:$E,MATCH('Chart of Accounts'!$A62,'Yardi Report'!$A:$A,0),2))</f>
        <v/>
      </c>
      <c r="C56">
        <f>IF(A56="","",MAX($C$1:C55)+1)</f>
        <v/>
      </c>
      <c r="E56">
        <f>A56&amp;" "&amp;B56</f>
        <v/>
      </c>
      <c r="G56">
        <f>+G55+1</f>
        <v/>
      </c>
      <c r="H56">
        <f>IF(ISNA(INDEX(C56:E555,MATCH(G56,C56:C555,0),3)),"",INDEX(C56:E555,MATCH(G56,C56:C555,0),3))</f>
        <v/>
      </c>
    </row>
    <row r="57">
      <c r="A57">
        <f>IF(ISNA(INDEX('Yardi Report'!$A:$E,MATCH('Chart of Accounts'!$A63,'Yardi Report'!$A:$A,0),1)),"",INDEX('Yardi Report'!$A:$E,MATCH('Chart of Accounts'!$A63,'Yardi Report'!$A:$A,0),1))</f>
        <v/>
      </c>
      <c r="B57">
        <f>IF(ISNA(INDEX('Yardi Report'!$A:$E,MATCH('Chart of Accounts'!$A63,'Yardi Report'!$A:$A,0),2)),"",INDEX('Yardi Report'!$A:$E,MATCH('Chart of Accounts'!$A63,'Yardi Report'!$A:$A,0),2))</f>
        <v/>
      </c>
      <c r="C57">
        <f>IF(A57="","",MAX($C$1:C56)+1)</f>
        <v/>
      </c>
      <c r="E57">
        <f>A57&amp;" "&amp;B57</f>
        <v/>
      </c>
      <c r="G57">
        <f>+G56+1</f>
        <v/>
      </c>
      <c r="H57">
        <f>IF(ISNA(INDEX(C57:E556,MATCH(G57,C57:C556,0),3)),"",INDEX(C57:E556,MATCH(G57,C57:C556,0),3))</f>
        <v/>
      </c>
    </row>
    <row r="58">
      <c r="A58">
        <f>IF(ISNA(INDEX('Yardi Report'!$A:$E,MATCH('Chart of Accounts'!$A64,'Yardi Report'!$A:$A,0),1)),"",INDEX('Yardi Report'!$A:$E,MATCH('Chart of Accounts'!$A64,'Yardi Report'!$A:$A,0),1))</f>
        <v/>
      </c>
      <c r="B58">
        <f>IF(ISNA(INDEX('Yardi Report'!$A:$E,MATCH('Chart of Accounts'!$A64,'Yardi Report'!$A:$A,0),2)),"",INDEX('Yardi Report'!$A:$E,MATCH('Chart of Accounts'!$A64,'Yardi Report'!$A:$A,0),2))</f>
        <v/>
      </c>
      <c r="C58">
        <f>IF(A58="","",MAX($C$1:C57)+1)</f>
        <v/>
      </c>
      <c r="E58">
        <f>A58&amp;" "&amp;B58</f>
        <v/>
      </c>
      <c r="G58">
        <f>+G57+1</f>
        <v/>
      </c>
      <c r="H58">
        <f>IF(ISNA(INDEX(C58:E557,MATCH(G58,C58:C557,0),3)),"",INDEX(C58:E557,MATCH(G58,C58:C557,0),3))</f>
        <v/>
      </c>
    </row>
    <row r="59">
      <c r="A59">
        <f>IF(ISNA(INDEX('Yardi Report'!$A:$E,MATCH('Chart of Accounts'!$A65,'Yardi Report'!$A:$A,0),1)),"",INDEX('Yardi Report'!$A:$E,MATCH('Chart of Accounts'!$A65,'Yardi Report'!$A:$A,0),1))</f>
        <v/>
      </c>
      <c r="B59">
        <f>IF(ISNA(INDEX('Yardi Report'!$A:$E,MATCH('Chart of Accounts'!$A65,'Yardi Report'!$A:$A,0),2)),"",INDEX('Yardi Report'!$A:$E,MATCH('Chart of Accounts'!$A65,'Yardi Report'!$A:$A,0),2))</f>
        <v/>
      </c>
      <c r="C59">
        <f>IF(A59="","",MAX($C$1:C58)+1)</f>
        <v/>
      </c>
      <c r="E59">
        <f>A59&amp;" "&amp;B59</f>
        <v/>
      </c>
      <c r="G59">
        <f>+G58+1</f>
        <v/>
      </c>
      <c r="H59">
        <f>IF(ISNA(INDEX(C59:E558,MATCH(G59,C59:C558,0),3)),"",INDEX(C59:E558,MATCH(G59,C59:C558,0),3))</f>
        <v/>
      </c>
    </row>
    <row r="60">
      <c r="A60">
        <f>IF(ISNA(INDEX('Yardi Report'!$A:$E,MATCH('Chart of Accounts'!$A66,'Yardi Report'!$A:$A,0),1)),"",INDEX('Yardi Report'!$A:$E,MATCH('Chart of Accounts'!$A66,'Yardi Report'!$A:$A,0),1))</f>
        <v/>
      </c>
      <c r="B60">
        <f>IF(ISNA(INDEX('Yardi Report'!$A:$E,MATCH('Chart of Accounts'!$A66,'Yardi Report'!$A:$A,0),2)),"",INDEX('Yardi Report'!$A:$E,MATCH('Chart of Accounts'!$A66,'Yardi Report'!$A:$A,0),2))</f>
        <v/>
      </c>
      <c r="C60">
        <f>IF(A60="","",MAX($C$1:C59)+1)</f>
        <v/>
      </c>
      <c r="E60">
        <f>A60&amp;" "&amp;B60</f>
        <v/>
      </c>
      <c r="G60">
        <f>+G59+1</f>
        <v/>
      </c>
      <c r="H60">
        <f>IF(ISNA(INDEX(C60:E559,MATCH(G60,C60:C559,0),3)),"",INDEX(C60:E559,MATCH(G60,C60:C559,0),3))</f>
        <v/>
      </c>
    </row>
    <row r="61">
      <c r="A61">
        <f>IF(ISNA(INDEX('Yardi Report'!$A:$E,MATCH('Chart of Accounts'!$A67,'Yardi Report'!$A:$A,0),1)),"",INDEX('Yardi Report'!$A:$E,MATCH('Chart of Accounts'!$A67,'Yardi Report'!$A:$A,0),1))</f>
        <v/>
      </c>
      <c r="B61">
        <f>IF(ISNA(INDEX('Yardi Report'!$A:$E,MATCH('Chart of Accounts'!$A67,'Yardi Report'!$A:$A,0),2)),"",INDEX('Yardi Report'!$A:$E,MATCH('Chart of Accounts'!$A67,'Yardi Report'!$A:$A,0),2))</f>
        <v/>
      </c>
      <c r="C61">
        <f>IF(A61="","",MAX($C$1:C60)+1)</f>
        <v/>
      </c>
      <c r="E61">
        <f>A61&amp;" "&amp;B61</f>
        <v/>
      </c>
      <c r="G61">
        <f>+G60+1</f>
        <v/>
      </c>
      <c r="H61">
        <f>IF(ISNA(INDEX(C61:E560,MATCH(G61,C61:C560,0),3)),"",INDEX(C61:E560,MATCH(G61,C61:C560,0),3))</f>
        <v/>
      </c>
    </row>
    <row r="62">
      <c r="A62">
        <f>IF(ISNA(INDEX('Yardi Report'!$A:$E,MATCH('Chart of Accounts'!$A68,'Yardi Report'!$A:$A,0),1)),"",INDEX('Yardi Report'!$A:$E,MATCH('Chart of Accounts'!$A68,'Yardi Report'!$A:$A,0),1))</f>
        <v/>
      </c>
      <c r="B62">
        <f>IF(ISNA(INDEX('Yardi Report'!$A:$E,MATCH('Chart of Accounts'!$A68,'Yardi Report'!$A:$A,0),2)),"",INDEX('Yardi Report'!$A:$E,MATCH('Chart of Accounts'!$A68,'Yardi Report'!$A:$A,0),2))</f>
        <v/>
      </c>
      <c r="C62">
        <f>IF(A62="","",MAX($C$1:C61)+1)</f>
        <v/>
      </c>
      <c r="E62">
        <f>A62&amp;" "&amp;B62</f>
        <v/>
      </c>
      <c r="G62">
        <f>+G61+1</f>
        <v/>
      </c>
      <c r="H62">
        <f>IF(ISNA(INDEX(C62:E561,MATCH(G62,C62:C561,0),3)),"",INDEX(C62:E561,MATCH(G62,C62:C561,0),3))</f>
        <v/>
      </c>
    </row>
    <row r="63">
      <c r="A63">
        <f>IF(ISNA(INDEX('Yardi Report'!$A:$E,MATCH('Chart of Accounts'!$A69,'Yardi Report'!$A:$A,0),1)),"",INDEX('Yardi Report'!$A:$E,MATCH('Chart of Accounts'!$A69,'Yardi Report'!$A:$A,0),1))</f>
        <v/>
      </c>
      <c r="B63">
        <f>IF(ISNA(INDEX('Yardi Report'!$A:$E,MATCH('Chart of Accounts'!$A69,'Yardi Report'!$A:$A,0),2)),"",INDEX('Yardi Report'!$A:$E,MATCH('Chart of Accounts'!$A69,'Yardi Report'!$A:$A,0),2))</f>
        <v/>
      </c>
      <c r="C63">
        <f>IF(A63="","",MAX($C$1:C62)+1)</f>
        <v/>
      </c>
      <c r="E63">
        <f>A63&amp;" "&amp;B63</f>
        <v/>
      </c>
      <c r="G63">
        <f>+G62+1</f>
        <v/>
      </c>
      <c r="H63">
        <f>IF(ISNA(INDEX(C63:E562,MATCH(G63,C63:C562,0),3)),"",INDEX(C63:E562,MATCH(G63,C63:C562,0),3))</f>
        <v/>
      </c>
    </row>
    <row r="64">
      <c r="A64">
        <f>IF(ISNA(INDEX('Yardi Report'!$A:$E,MATCH('Chart of Accounts'!$A70,'Yardi Report'!$A:$A,0),1)),"",INDEX('Yardi Report'!$A:$E,MATCH('Chart of Accounts'!$A70,'Yardi Report'!$A:$A,0),1))</f>
        <v/>
      </c>
      <c r="B64">
        <f>IF(ISNA(INDEX('Yardi Report'!$A:$E,MATCH('Chart of Accounts'!$A70,'Yardi Report'!$A:$A,0),2)),"",INDEX('Yardi Report'!$A:$E,MATCH('Chart of Accounts'!$A70,'Yardi Report'!$A:$A,0),2))</f>
        <v/>
      </c>
      <c r="C64">
        <f>IF(A64="","",MAX($C$1:C63)+1)</f>
        <v/>
      </c>
      <c r="E64">
        <f>A64&amp;" "&amp;B64</f>
        <v/>
      </c>
      <c r="G64">
        <f>+G63+1</f>
        <v/>
      </c>
      <c r="H64">
        <f>IF(ISNA(INDEX(C64:E563,MATCH(G64,C64:C563,0),3)),"",INDEX(C64:E563,MATCH(G64,C64:C563,0),3))</f>
        <v/>
      </c>
    </row>
    <row r="65">
      <c r="A65">
        <f>IF(ISNA(INDEX('Yardi Report'!$A:$E,MATCH('Chart of Accounts'!$A71,'Yardi Report'!$A:$A,0),1)),"",INDEX('Yardi Report'!$A:$E,MATCH('Chart of Accounts'!$A71,'Yardi Report'!$A:$A,0),1))</f>
        <v/>
      </c>
      <c r="B65">
        <f>IF(ISNA(INDEX('Yardi Report'!$A:$E,MATCH('Chart of Accounts'!$A71,'Yardi Report'!$A:$A,0),2)),"",INDEX('Yardi Report'!$A:$E,MATCH('Chart of Accounts'!$A71,'Yardi Report'!$A:$A,0),2))</f>
        <v/>
      </c>
      <c r="C65">
        <f>IF(A65="","",MAX($C$1:C64)+1)</f>
        <v/>
      </c>
      <c r="E65">
        <f>A65&amp;" "&amp;B65</f>
        <v/>
      </c>
      <c r="G65">
        <f>+G64+1</f>
        <v/>
      </c>
      <c r="H65">
        <f>IF(ISNA(INDEX(C65:E564,MATCH(G65,C65:C564,0),3)),"",INDEX(C65:E564,MATCH(G65,C65:C564,0),3))</f>
        <v/>
      </c>
    </row>
    <row r="66">
      <c r="A66">
        <f>IF(ISNA(INDEX('Yardi Report'!$A:$E,MATCH('Chart of Accounts'!$A72,'Yardi Report'!$A:$A,0),1)),"",INDEX('Yardi Report'!$A:$E,MATCH('Chart of Accounts'!$A72,'Yardi Report'!$A:$A,0),1))</f>
        <v/>
      </c>
      <c r="B66">
        <f>IF(ISNA(INDEX('Yardi Report'!$A:$E,MATCH('Chart of Accounts'!$A72,'Yardi Report'!$A:$A,0),2)),"",INDEX('Yardi Report'!$A:$E,MATCH('Chart of Accounts'!$A72,'Yardi Report'!$A:$A,0),2))</f>
        <v/>
      </c>
      <c r="C66">
        <f>IF(A66="","",MAX($C$1:C65)+1)</f>
        <v/>
      </c>
      <c r="E66">
        <f>A66&amp;" "&amp;B66</f>
        <v/>
      </c>
      <c r="G66">
        <f>+G65+1</f>
        <v/>
      </c>
      <c r="H66">
        <f>IF(ISNA(INDEX(C66:E565,MATCH(G66,C66:C565,0),3)),"",INDEX(C66:E565,MATCH(G66,C66:C565,0),3))</f>
        <v/>
      </c>
    </row>
    <row r="67">
      <c r="A67">
        <f>IF(ISNA(INDEX('Yardi Report'!$A:$E,MATCH('Chart of Accounts'!$A73,'Yardi Report'!$A:$A,0),1)),"",INDEX('Yardi Report'!$A:$E,MATCH('Chart of Accounts'!$A73,'Yardi Report'!$A:$A,0),1))</f>
        <v/>
      </c>
      <c r="B67">
        <f>IF(ISNA(INDEX('Yardi Report'!$A:$E,MATCH('Chart of Accounts'!$A73,'Yardi Report'!$A:$A,0),2)),"",INDEX('Yardi Report'!$A:$E,MATCH('Chart of Accounts'!$A73,'Yardi Report'!$A:$A,0),2))</f>
        <v/>
      </c>
      <c r="C67">
        <f>IF(A67="","",MAX($C$1:C66)+1)</f>
        <v/>
      </c>
      <c r="E67">
        <f>A67&amp;" "&amp;B67</f>
        <v/>
      </c>
      <c r="G67">
        <f>+G66+1</f>
        <v/>
      </c>
      <c r="H67">
        <f>IF(ISNA(INDEX(C67:E566,MATCH(G67,C67:C566,0),3)),"",INDEX(C67:E566,MATCH(G67,C67:C566,0),3))</f>
        <v/>
      </c>
    </row>
    <row r="68">
      <c r="A68">
        <f>IF(ISNA(INDEX('Yardi Report'!$A:$E,MATCH('Chart of Accounts'!$A74,'Yardi Report'!$A:$A,0),1)),"",INDEX('Yardi Report'!$A:$E,MATCH('Chart of Accounts'!$A74,'Yardi Report'!$A:$A,0),1))</f>
        <v/>
      </c>
      <c r="B68">
        <f>IF(ISNA(INDEX('Yardi Report'!$A:$E,MATCH('Chart of Accounts'!$A74,'Yardi Report'!$A:$A,0),2)),"",INDEX('Yardi Report'!$A:$E,MATCH('Chart of Accounts'!$A74,'Yardi Report'!$A:$A,0),2))</f>
        <v/>
      </c>
      <c r="C68">
        <f>IF(A68="","",MAX($C$1:C67)+1)</f>
        <v/>
      </c>
      <c r="E68">
        <f>A68&amp;" "&amp;B68</f>
        <v/>
      </c>
      <c r="G68">
        <f>+G67+1</f>
        <v/>
      </c>
      <c r="H68">
        <f>IF(ISNA(INDEX(C68:E567,MATCH(G68,C68:C567,0),3)),"",INDEX(C68:E567,MATCH(G68,C68:C567,0),3))</f>
        <v/>
      </c>
    </row>
    <row r="69">
      <c r="A69">
        <f>IF(ISNA(INDEX('Yardi Report'!$A:$E,MATCH('Chart of Accounts'!$A75,'Yardi Report'!$A:$A,0),1)),"",INDEX('Yardi Report'!$A:$E,MATCH('Chart of Accounts'!$A75,'Yardi Report'!$A:$A,0),1))</f>
        <v/>
      </c>
      <c r="B69">
        <f>IF(ISNA(INDEX('Yardi Report'!$A:$E,MATCH('Chart of Accounts'!$A75,'Yardi Report'!$A:$A,0),2)),"",INDEX('Yardi Report'!$A:$E,MATCH('Chart of Accounts'!$A75,'Yardi Report'!$A:$A,0),2))</f>
        <v/>
      </c>
      <c r="C69">
        <f>IF(A69="","",MAX($C$1:C68)+1)</f>
        <v/>
      </c>
      <c r="E69">
        <f>A69&amp;" "&amp;B69</f>
        <v/>
      </c>
      <c r="G69">
        <f>+G68+1</f>
        <v/>
      </c>
      <c r="H69">
        <f>IF(ISNA(INDEX(C69:E568,MATCH(G69,C69:C568,0),3)),"",INDEX(C69:E568,MATCH(G69,C69:C568,0),3))</f>
        <v/>
      </c>
    </row>
    <row r="70">
      <c r="A70">
        <f>IF(ISNA(INDEX('Yardi Report'!$A:$E,MATCH('Chart of Accounts'!$A76,'Yardi Report'!$A:$A,0),1)),"",INDEX('Yardi Report'!$A:$E,MATCH('Chart of Accounts'!$A76,'Yardi Report'!$A:$A,0),1))</f>
        <v/>
      </c>
      <c r="B70">
        <f>IF(ISNA(INDEX('Yardi Report'!$A:$E,MATCH('Chart of Accounts'!$A76,'Yardi Report'!$A:$A,0),2)),"",INDEX('Yardi Report'!$A:$E,MATCH('Chart of Accounts'!$A76,'Yardi Report'!$A:$A,0),2))</f>
        <v/>
      </c>
      <c r="C70">
        <f>IF(A70="","",MAX($C$1:C69)+1)</f>
        <v/>
      </c>
      <c r="E70">
        <f>A70&amp;" "&amp;B70</f>
        <v/>
      </c>
      <c r="G70">
        <f>+G69+1</f>
        <v/>
      </c>
      <c r="H70">
        <f>IF(ISNA(INDEX(C70:E569,MATCH(G70,C70:C569,0),3)),"",INDEX(C70:E569,MATCH(G70,C70:C569,0),3))</f>
        <v/>
      </c>
    </row>
    <row r="71">
      <c r="A71">
        <f>IF(ISNA(INDEX('Yardi Report'!$A:$E,MATCH('Chart of Accounts'!$A77,'Yardi Report'!$A:$A,0),1)),"",INDEX('Yardi Report'!$A:$E,MATCH('Chart of Accounts'!$A77,'Yardi Report'!$A:$A,0),1))</f>
        <v/>
      </c>
      <c r="B71">
        <f>IF(ISNA(INDEX('Yardi Report'!$A:$E,MATCH('Chart of Accounts'!$A77,'Yardi Report'!$A:$A,0),2)),"",INDEX('Yardi Report'!$A:$E,MATCH('Chart of Accounts'!$A77,'Yardi Report'!$A:$A,0),2))</f>
        <v/>
      </c>
      <c r="C71">
        <f>IF(A71="","",MAX($C$1:C70)+1)</f>
        <v/>
      </c>
      <c r="E71">
        <f>A71&amp;" "&amp;B71</f>
        <v/>
      </c>
      <c r="G71">
        <f>+G70+1</f>
        <v/>
      </c>
      <c r="H71">
        <f>IF(ISNA(INDEX(C71:E570,MATCH(G71,C71:C570,0),3)),"",INDEX(C71:E570,MATCH(G71,C71:C570,0),3))</f>
        <v/>
      </c>
    </row>
    <row r="72">
      <c r="A72">
        <f>IF(ISNA(INDEX('Yardi Report'!$A:$E,MATCH('Chart of Accounts'!$A78,'Yardi Report'!$A:$A,0),1)),"",INDEX('Yardi Report'!$A:$E,MATCH('Chart of Accounts'!$A78,'Yardi Report'!$A:$A,0),1))</f>
        <v/>
      </c>
      <c r="B72">
        <f>IF(ISNA(INDEX('Yardi Report'!$A:$E,MATCH('Chart of Accounts'!$A78,'Yardi Report'!$A:$A,0),2)),"",INDEX('Yardi Report'!$A:$E,MATCH('Chart of Accounts'!$A78,'Yardi Report'!$A:$A,0),2))</f>
        <v/>
      </c>
      <c r="C72">
        <f>IF(A72="","",MAX($C$1:C71)+1)</f>
        <v/>
      </c>
      <c r="E72">
        <f>A72&amp;" "&amp;B72</f>
        <v/>
      </c>
      <c r="G72">
        <f>+G71+1</f>
        <v/>
      </c>
      <c r="H72">
        <f>IF(ISNA(INDEX(C72:E571,MATCH(G72,C72:C571,0),3)),"",INDEX(C72:E571,MATCH(G72,C72:C571,0),3))</f>
        <v/>
      </c>
    </row>
    <row r="73">
      <c r="A73">
        <f>IF(ISNA(INDEX('Yardi Report'!$A:$E,MATCH('Chart of Accounts'!$A79,'Yardi Report'!$A:$A,0),1)),"",INDEX('Yardi Report'!$A:$E,MATCH('Chart of Accounts'!$A79,'Yardi Report'!$A:$A,0),1))</f>
        <v/>
      </c>
      <c r="B73">
        <f>IF(ISNA(INDEX('Yardi Report'!$A:$E,MATCH('Chart of Accounts'!$A79,'Yardi Report'!$A:$A,0),2)),"",INDEX('Yardi Report'!$A:$E,MATCH('Chart of Accounts'!$A79,'Yardi Report'!$A:$A,0),2))</f>
        <v/>
      </c>
      <c r="C73">
        <f>IF(A73="","",MAX($C$1:C72)+1)</f>
        <v/>
      </c>
      <c r="E73">
        <f>A73&amp;" "&amp;B73</f>
        <v/>
      </c>
      <c r="G73">
        <f>+G72+1</f>
        <v/>
      </c>
      <c r="H73">
        <f>IF(ISNA(INDEX(C73:E572,MATCH(G73,C73:C572,0),3)),"",INDEX(C73:E572,MATCH(G73,C73:C572,0),3))</f>
        <v/>
      </c>
    </row>
    <row r="74">
      <c r="A74">
        <f>IF(ISNA(INDEX('Yardi Report'!$A:$E,MATCH('Chart of Accounts'!$A80,'Yardi Report'!$A:$A,0),1)),"",INDEX('Yardi Report'!$A:$E,MATCH('Chart of Accounts'!$A80,'Yardi Report'!$A:$A,0),1))</f>
        <v/>
      </c>
      <c r="B74">
        <f>IF(ISNA(INDEX('Yardi Report'!$A:$E,MATCH('Chart of Accounts'!$A80,'Yardi Report'!$A:$A,0),2)),"",INDEX('Yardi Report'!$A:$E,MATCH('Chart of Accounts'!$A80,'Yardi Report'!$A:$A,0),2))</f>
        <v/>
      </c>
      <c r="C74">
        <f>IF(A74="","",MAX($C$1:C73)+1)</f>
        <v/>
      </c>
      <c r="E74">
        <f>A74&amp;" "&amp;B74</f>
        <v/>
      </c>
      <c r="G74">
        <f>+G73+1</f>
        <v/>
      </c>
      <c r="H74">
        <f>IF(ISNA(INDEX(C74:E573,MATCH(G74,C74:C573,0),3)),"",INDEX(C74:E573,MATCH(G74,C74:C573,0),3))</f>
        <v/>
      </c>
    </row>
    <row r="75">
      <c r="A75">
        <f>IF(ISNA(INDEX('Yardi Report'!$A:$E,MATCH('Chart of Accounts'!$A81,'Yardi Report'!$A:$A,0),1)),"",INDEX('Yardi Report'!$A:$E,MATCH('Chart of Accounts'!$A81,'Yardi Report'!$A:$A,0),1))</f>
        <v/>
      </c>
      <c r="B75">
        <f>IF(ISNA(INDEX('Yardi Report'!$A:$E,MATCH('Chart of Accounts'!$A81,'Yardi Report'!$A:$A,0),2)),"",INDEX('Yardi Report'!$A:$E,MATCH('Chart of Accounts'!$A81,'Yardi Report'!$A:$A,0),2))</f>
        <v/>
      </c>
      <c r="C75">
        <f>IF(A75="","",MAX($C$1:C74)+1)</f>
        <v/>
      </c>
      <c r="E75">
        <f>A75&amp;" "&amp;B75</f>
        <v/>
      </c>
      <c r="G75">
        <f>+G74+1</f>
        <v/>
      </c>
      <c r="H75">
        <f>IF(ISNA(INDEX(C75:E574,MATCH(G75,C75:C574,0),3)),"",INDEX(C75:E574,MATCH(G75,C75:C574,0),3))</f>
        <v/>
      </c>
    </row>
    <row r="76">
      <c r="A76">
        <f>IF(ISNA(INDEX('Yardi Report'!$A:$E,MATCH('Chart of Accounts'!$A82,'Yardi Report'!$A:$A,0),1)),"",INDEX('Yardi Report'!$A:$E,MATCH('Chart of Accounts'!$A82,'Yardi Report'!$A:$A,0),1))</f>
        <v/>
      </c>
      <c r="B76">
        <f>IF(ISNA(INDEX('Yardi Report'!$A:$E,MATCH('Chart of Accounts'!$A82,'Yardi Report'!$A:$A,0),2)),"",INDEX('Yardi Report'!$A:$E,MATCH('Chart of Accounts'!$A82,'Yardi Report'!$A:$A,0),2))</f>
        <v/>
      </c>
      <c r="C76">
        <f>IF(A76="","",MAX($C$1:C75)+1)</f>
        <v/>
      </c>
      <c r="E76">
        <f>A76&amp;" "&amp;B76</f>
        <v/>
      </c>
      <c r="G76">
        <f>+G75+1</f>
        <v/>
      </c>
      <c r="H76">
        <f>IF(ISNA(INDEX(C76:E575,MATCH(G76,C76:C575,0),3)),"",INDEX(C76:E575,MATCH(G76,C76:C575,0),3))</f>
        <v/>
      </c>
    </row>
    <row r="77">
      <c r="A77">
        <f>IF(ISNA(INDEX('Yardi Report'!$A:$E,MATCH('Chart of Accounts'!$A83,'Yardi Report'!$A:$A,0),1)),"",INDEX('Yardi Report'!$A:$E,MATCH('Chart of Accounts'!$A83,'Yardi Report'!$A:$A,0),1))</f>
        <v/>
      </c>
      <c r="B77">
        <f>IF(ISNA(INDEX('Yardi Report'!$A:$E,MATCH('Chart of Accounts'!$A83,'Yardi Report'!$A:$A,0),2)),"",INDEX('Yardi Report'!$A:$E,MATCH('Chart of Accounts'!$A83,'Yardi Report'!$A:$A,0),2))</f>
        <v/>
      </c>
      <c r="C77">
        <f>IF(A77="","",MAX($C$1:C76)+1)</f>
        <v/>
      </c>
      <c r="E77">
        <f>A77&amp;" "&amp;B77</f>
        <v/>
      </c>
      <c r="G77">
        <f>+G76+1</f>
        <v/>
      </c>
      <c r="H77">
        <f>IF(ISNA(INDEX(C77:E576,MATCH(G77,C77:C576,0),3)),"",INDEX(C77:E576,MATCH(G77,C77:C576,0),3))</f>
        <v/>
      </c>
    </row>
    <row r="78">
      <c r="A78">
        <f>IF(ISNA(INDEX('Yardi Report'!$A:$E,MATCH('Chart of Accounts'!$A84,'Yardi Report'!$A:$A,0),1)),"",INDEX('Yardi Report'!$A:$E,MATCH('Chart of Accounts'!$A84,'Yardi Report'!$A:$A,0),1))</f>
        <v/>
      </c>
      <c r="B78">
        <f>IF(ISNA(INDEX('Yardi Report'!$A:$E,MATCH('Chart of Accounts'!$A84,'Yardi Report'!$A:$A,0),2)),"",INDEX('Yardi Report'!$A:$E,MATCH('Chart of Accounts'!$A84,'Yardi Report'!$A:$A,0),2))</f>
        <v/>
      </c>
      <c r="C78">
        <f>IF(A78="","",MAX($C$1:C77)+1)</f>
        <v/>
      </c>
      <c r="E78">
        <f>A78&amp;" "&amp;B78</f>
        <v/>
      </c>
      <c r="G78">
        <f>+G77+1</f>
        <v/>
      </c>
      <c r="H78">
        <f>IF(ISNA(INDEX(C78:E577,MATCH(G78,C78:C577,0),3)),"",INDEX(C78:E577,MATCH(G78,C78:C577,0),3))</f>
        <v/>
      </c>
    </row>
    <row r="79">
      <c r="A79">
        <f>IF(ISNA(INDEX('Yardi Report'!$A:$E,MATCH('Chart of Accounts'!$A85,'Yardi Report'!$A:$A,0),1)),"",INDEX('Yardi Report'!$A:$E,MATCH('Chart of Accounts'!$A85,'Yardi Report'!$A:$A,0),1))</f>
        <v/>
      </c>
      <c r="B79">
        <f>IF(ISNA(INDEX('Yardi Report'!$A:$E,MATCH('Chart of Accounts'!$A85,'Yardi Report'!$A:$A,0),2)),"",INDEX('Yardi Report'!$A:$E,MATCH('Chart of Accounts'!$A85,'Yardi Report'!$A:$A,0),2))</f>
        <v/>
      </c>
      <c r="C79">
        <f>IF(A79="","",MAX($C$1:C78)+1)</f>
        <v/>
      </c>
      <c r="E79">
        <f>A79&amp;" "&amp;B79</f>
        <v/>
      </c>
      <c r="G79">
        <f>+G78+1</f>
        <v/>
      </c>
      <c r="H79">
        <f>IF(ISNA(INDEX(C79:E578,MATCH(G79,C79:C578,0),3)),"",INDEX(C79:E578,MATCH(G79,C79:C578,0),3))</f>
        <v/>
      </c>
    </row>
    <row r="80">
      <c r="A80">
        <f>IF(ISNA(INDEX('Yardi Report'!$A:$E,MATCH('Chart of Accounts'!$A86,'Yardi Report'!$A:$A,0),1)),"",INDEX('Yardi Report'!$A:$E,MATCH('Chart of Accounts'!$A86,'Yardi Report'!$A:$A,0),1))</f>
        <v/>
      </c>
      <c r="B80">
        <f>IF(ISNA(INDEX('Yardi Report'!$A:$E,MATCH('Chart of Accounts'!$A86,'Yardi Report'!$A:$A,0),2)),"",INDEX('Yardi Report'!$A:$E,MATCH('Chart of Accounts'!$A86,'Yardi Report'!$A:$A,0),2))</f>
        <v/>
      </c>
      <c r="C80">
        <f>IF(A80="","",MAX($C$1:C79)+1)</f>
        <v/>
      </c>
      <c r="E80">
        <f>A80&amp;" "&amp;B80</f>
        <v/>
      </c>
      <c r="G80">
        <f>+G79+1</f>
        <v/>
      </c>
      <c r="H80">
        <f>IF(ISNA(INDEX(C80:E579,MATCH(G80,C80:C579,0),3)),"",INDEX(C80:E579,MATCH(G80,C80:C579,0),3))</f>
        <v/>
      </c>
    </row>
    <row r="81">
      <c r="A81">
        <f>IF(ISNA(INDEX('Yardi Report'!$A:$E,MATCH('Chart of Accounts'!$A87,'Yardi Report'!$A:$A,0),1)),"",INDEX('Yardi Report'!$A:$E,MATCH('Chart of Accounts'!$A87,'Yardi Report'!$A:$A,0),1))</f>
        <v/>
      </c>
      <c r="B81">
        <f>IF(ISNA(INDEX('Yardi Report'!$A:$E,MATCH('Chart of Accounts'!$A87,'Yardi Report'!$A:$A,0),2)),"",INDEX('Yardi Report'!$A:$E,MATCH('Chart of Accounts'!$A87,'Yardi Report'!$A:$A,0),2))</f>
        <v/>
      </c>
      <c r="C81">
        <f>IF(A81="","",MAX($C$1:C80)+1)</f>
        <v/>
      </c>
      <c r="E81">
        <f>A81&amp;" "&amp;B81</f>
        <v/>
      </c>
      <c r="G81">
        <f>+G80+1</f>
        <v/>
      </c>
      <c r="H81">
        <f>IF(ISNA(INDEX(C81:E580,MATCH(G81,C81:C580,0),3)),"",INDEX(C81:E580,MATCH(G81,C81:C580,0),3))</f>
        <v/>
      </c>
    </row>
    <row r="82">
      <c r="A82">
        <f>IF(ISNA(INDEX('Yardi Report'!$A:$E,MATCH('Chart of Accounts'!$A88,'Yardi Report'!$A:$A,0),1)),"",INDEX('Yardi Report'!$A:$E,MATCH('Chart of Accounts'!$A88,'Yardi Report'!$A:$A,0),1))</f>
        <v/>
      </c>
      <c r="B82">
        <f>IF(ISNA(INDEX('Yardi Report'!$A:$E,MATCH('Chart of Accounts'!$A88,'Yardi Report'!$A:$A,0),2)),"",INDEX('Yardi Report'!$A:$E,MATCH('Chart of Accounts'!$A88,'Yardi Report'!$A:$A,0),2))</f>
        <v/>
      </c>
      <c r="C82">
        <f>IF(A82="","",MAX($C$1:C81)+1)</f>
        <v/>
      </c>
      <c r="E82">
        <f>A82&amp;" "&amp;B82</f>
        <v/>
      </c>
      <c r="G82">
        <f>+G81+1</f>
        <v/>
      </c>
      <c r="H82">
        <f>IF(ISNA(INDEX(C82:E581,MATCH(G82,C82:C581,0),3)),"",INDEX(C82:E581,MATCH(G82,C82:C581,0),3))</f>
        <v/>
      </c>
    </row>
    <row r="83">
      <c r="A83">
        <f>IF(ISNA(INDEX('Yardi Report'!$A:$E,MATCH('Chart of Accounts'!$A89,'Yardi Report'!$A:$A,0),1)),"",INDEX('Yardi Report'!$A:$E,MATCH('Chart of Accounts'!$A89,'Yardi Report'!$A:$A,0),1))</f>
        <v/>
      </c>
      <c r="B83">
        <f>IF(ISNA(INDEX('Yardi Report'!$A:$E,MATCH('Chart of Accounts'!$A89,'Yardi Report'!$A:$A,0),2)),"",INDEX('Yardi Report'!$A:$E,MATCH('Chart of Accounts'!$A89,'Yardi Report'!$A:$A,0),2))</f>
        <v/>
      </c>
      <c r="C83">
        <f>IF(A83="","",MAX($C$1:C82)+1)</f>
        <v/>
      </c>
      <c r="E83">
        <f>A83&amp;" "&amp;B83</f>
        <v/>
      </c>
      <c r="G83">
        <f>+G82+1</f>
        <v/>
      </c>
      <c r="H83">
        <f>IF(ISNA(INDEX(C83:E582,MATCH(G83,C83:C582,0),3)),"",INDEX(C83:E582,MATCH(G83,C83:C582,0),3))</f>
        <v/>
      </c>
    </row>
    <row r="84">
      <c r="A84">
        <f>IF(ISNA(INDEX('Yardi Report'!$A:$E,MATCH('Chart of Accounts'!$A90,'Yardi Report'!$A:$A,0),1)),"",INDEX('Yardi Report'!$A:$E,MATCH('Chart of Accounts'!$A90,'Yardi Report'!$A:$A,0),1))</f>
        <v/>
      </c>
      <c r="B84">
        <f>IF(ISNA(INDEX('Yardi Report'!$A:$E,MATCH('Chart of Accounts'!$A90,'Yardi Report'!$A:$A,0),2)),"",INDEX('Yardi Report'!$A:$E,MATCH('Chart of Accounts'!$A90,'Yardi Report'!$A:$A,0),2))</f>
        <v/>
      </c>
      <c r="C84">
        <f>IF(A84="","",MAX($C$1:C83)+1)</f>
        <v/>
      </c>
      <c r="E84">
        <f>A84&amp;" "&amp;B84</f>
        <v/>
      </c>
      <c r="G84">
        <f>+G83+1</f>
        <v/>
      </c>
      <c r="H84">
        <f>IF(ISNA(INDEX(C84:E583,MATCH(G84,C84:C583,0),3)),"",INDEX(C84:E583,MATCH(G84,C84:C583,0),3))</f>
        <v/>
      </c>
    </row>
    <row r="85">
      <c r="A85">
        <f>IF(ISNA(INDEX('Yardi Report'!$A:$E,MATCH('Chart of Accounts'!$A91,'Yardi Report'!$A:$A,0),1)),"",INDEX('Yardi Report'!$A:$E,MATCH('Chart of Accounts'!$A91,'Yardi Report'!$A:$A,0),1))</f>
        <v/>
      </c>
      <c r="B85">
        <f>IF(ISNA(INDEX('Yardi Report'!$A:$E,MATCH('Chart of Accounts'!$A91,'Yardi Report'!$A:$A,0),2)),"",INDEX('Yardi Report'!$A:$E,MATCH('Chart of Accounts'!$A91,'Yardi Report'!$A:$A,0),2))</f>
        <v/>
      </c>
      <c r="C85">
        <f>IF(A85="","",MAX($C$1:C84)+1)</f>
        <v/>
      </c>
      <c r="E85">
        <f>A85&amp;" "&amp;B85</f>
        <v/>
      </c>
      <c r="G85">
        <f>+G84+1</f>
        <v/>
      </c>
      <c r="H85">
        <f>IF(ISNA(INDEX(C85:E584,MATCH(G85,C85:C584,0),3)),"",INDEX(C85:E584,MATCH(G85,C85:C584,0),3))</f>
        <v/>
      </c>
    </row>
    <row r="86">
      <c r="A86">
        <f>IF(ISNA(INDEX('Yardi Report'!$A:$E,MATCH('Chart of Accounts'!$A92,'Yardi Report'!$A:$A,0),1)),"",INDEX('Yardi Report'!$A:$E,MATCH('Chart of Accounts'!$A92,'Yardi Report'!$A:$A,0),1))</f>
        <v/>
      </c>
      <c r="B86">
        <f>IF(ISNA(INDEX('Yardi Report'!$A:$E,MATCH('Chart of Accounts'!$A92,'Yardi Report'!$A:$A,0),2)),"",INDEX('Yardi Report'!$A:$E,MATCH('Chart of Accounts'!$A92,'Yardi Report'!$A:$A,0),2))</f>
        <v/>
      </c>
      <c r="C86">
        <f>IF(A86="","",MAX($C$1:C85)+1)</f>
        <v/>
      </c>
      <c r="E86">
        <f>A86&amp;" "&amp;B86</f>
        <v/>
      </c>
      <c r="G86">
        <f>+G85+1</f>
        <v/>
      </c>
      <c r="H86">
        <f>IF(ISNA(INDEX(C86:E585,MATCH(G86,C86:C585,0),3)),"",INDEX(C86:E585,MATCH(G86,C86:C585,0),3))</f>
        <v/>
      </c>
    </row>
    <row r="87">
      <c r="A87">
        <f>IF(ISNA(INDEX('Yardi Report'!$A:$E,MATCH('Chart of Accounts'!$A93,'Yardi Report'!$A:$A,0),1)),"",INDEX('Yardi Report'!$A:$E,MATCH('Chart of Accounts'!$A93,'Yardi Report'!$A:$A,0),1))</f>
        <v/>
      </c>
      <c r="B87">
        <f>IF(ISNA(INDEX('Yardi Report'!$A:$E,MATCH('Chart of Accounts'!$A93,'Yardi Report'!$A:$A,0),2)),"",INDEX('Yardi Report'!$A:$E,MATCH('Chart of Accounts'!$A93,'Yardi Report'!$A:$A,0),2))</f>
        <v/>
      </c>
      <c r="C87">
        <f>IF(A87="","",MAX($C$1:C86)+1)</f>
        <v/>
      </c>
      <c r="E87">
        <f>A87&amp;" "&amp;B87</f>
        <v/>
      </c>
      <c r="G87">
        <f>+G86+1</f>
        <v/>
      </c>
      <c r="H87">
        <f>IF(ISNA(INDEX(C87:E586,MATCH(G87,C87:C586,0),3)),"",INDEX(C87:E586,MATCH(G87,C87:C586,0),3))</f>
        <v/>
      </c>
    </row>
    <row r="88">
      <c r="A88">
        <f>IF(ISNA(INDEX('Yardi Report'!$A:$E,MATCH('Chart of Accounts'!$A94,'Yardi Report'!$A:$A,0),1)),"",INDEX('Yardi Report'!$A:$E,MATCH('Chart of Accounts'!$A94,'Yardi Report'!$A:$A,0),1))</f>
        <v/>
      </c>
      <c r="B88">
        <f>IF(ISNA(INDEX('Yardi Report'!$A:$E,MATCH('Chart of Accounts'!$A94,'Yardi Report'!$A:$A,0),2)),"",INDEX('Yardi Report'!$A:$E,MATCH('Chart of Accounts'!$A94,'Yardi Report'!$A:$A,0),2))</f>
        <v/>
      </c>
      <c r="C88">
        <f>IF(A88="","",MAX($C$1:C87)+1)</f>
        <v/>
      </c>
      <c r="E88">
        <f>A88&amp;" "&amp;B88</f>
        <v/>
      </c>
      <c r="G88">
        <f>+G87+1</f>
        <v/>
      </c>
      <c r="H88">
        <f>IF(ISNA(INDEX(C88:E587,MATCH(G88,C88:C587,0),3)),"",INDEX(C88:E587,MATCH(G88,C88:C587,0),3))</f>
        <v/>
      </c>
    </row>
    <row r="89">
      <c r="A89">
        <f>IF(ISNA(INDEX('Yardi Report'!$A:$E,MATCH('Chart of Accounts'!$A95,'Yardi Report'!$A:$A,0),1)),"",INDEX('Yardi Report'!$A:$E,MATCH('Chart of Accounts'!$A95,'Yardi Report'!$A:$A,0),1))</f>
        <v/>
      </c>
      <c r="B89">
        <f>IF(ISNA(INDEX('Yardi Report'!$A:$E,MATCH('Chart of Accounts'!$A95,'Yardi Report'!$A:$A,0),2)),"",INDEX('Yardi Report'!$A:$E,MATCH('Chart of Accounts'!$A95,'Yardi Report'!$A:$A,0),2))</f>
        <v/>
      </c>
      <c r="C89">
        <f>IF(A89="","",MAX($C$1:C88)+1)</f>
        <v/>
      </c>
      <c r="E89">
        <f>A89&amp;" "&amp;B89</f>
        <v/>
      </c>
      <c r="G89">
        <f>+G88+1</f>
        <v/>
      </c>
      <c r="H89">
        <f>IF(ISNA(INDEX(C89:E588,MATCH(G89,C89:C588,0),3)),"",INDEX(C89:E588,MATCH(G89,C89:C588,0),3))</f>
        <v/>
      </c>
    </row>
    <row r="90">
      <c r="A90">
        <f>IF(ISNA(INDEX('Yardi Report'!$A:$E,MATCH('Chart of Accounts'!$A96,'Yardi Report'!$A:$A,0),1)),"",INDEX('Yardi Report'!$A:$E,MATCH('Chart of Accounts'!$A96,'Yardi Report'!$A:$A,0),1))</f>
        <v/>
      </c>
      <c r="B90">
        <f>IF(ISNA(INDEX('Yardi Report'!$A:$E,MATCH('Chart of Accounts'!$A96,'Yardi Report'!$A:$A,0),2)),"",INDEX('Yardi Report'!$A:$E,MATCH('Chart of Accounts'!$A96,'Yardi Report'!$A:$A,0),2))</f>
        <v/>
      </c>
      <c r="C90">
        <f>IF(A90="","",MAX($C$1:C89)+1)</f>
        <v/>
      </c>
      <c r="E90">
        <f>A90&amp;" "&amp;B90</f>
        <v/>
      </c>
      <c r="G90">
        <f>+G89+1</f>
        <v/>
      </c>
      <c r="H90">
        <f>IF(ISNA(INDEX(C90:E589,MATCH(G90,C90:C589,0),3)),"",INDEX(C90:E589,MATCH(G90,C90:C589,0),3))</f>
        <v/>
      </c>
    </row>
    <row r="91">
      <c r="A91">
        <f>IF(ISNA(INDEX('Yardi Report'!$A:$E,MATCH('Chart of Accounts'!$A97,'Yardi Report'!$A:$A,0),1)),"",INDEX('Yardi Report'!$A:$E,MATCH('Chart of Accounts'!$A97,'Yardi Report'!$A:$A,0),1))</f>
        <v/>
      </c>
      <c r="B91">
        <f>IF(ISNA(INDEX('Yardi Report'!$A:$E,MATCH('Chart of Accounts'!$A97,'Yardi Report'!$A:$A,0),2)),"",INDEX('Yardi Report'!$A:$E,MATCH('Chart of Accounts'!$A97,'Yardi Report'!$A:$A,0),2))</f>
        <v/>
      </c>
      <c r="C91">
        <f>IF(A91="","",MAX($C$1:C90)+1)</f>
        <v/>
      </c>
      <c r="E91">
        <f>A91&amp;" "&amp;B91</f>
        <v/>
      </c>
      <c r="G91">
        <f>+G90+1</f>
        <v/>
      </c>
      <c r="H91">
        <f>IF(ISNA(INDEX(C91:E590,MATCH(G91,C91:C590,0),3)),"",INDEX(C91:E590,MATCH(G91,C91:C590,0),3))</f>
        <v/>
      </c>
    </row>
    <row r="92">
      <c r="A92">
        <f>IF(ISNA(INDEX('Yardi Report'!$A:$E,MATCH('Chart of Accounts'!$A98,'Yardi Report'!$A:$A,0),1)),"",INDEX('Yardi Report'!$A:$E,MATCH('Chart of Accounts'!$A98,'Yardi Report'!$A:$A,0),1))</f>
        <v/>
      </c>
      <c r="B92">
        <f>IF(ISNA(INDEX('Yardi Report'!$A:$E,MATCH('Chart of Accounts'!$A98,'Yardi Report'!$A:$A,0),2)),"",INDEX('Yardi Report'!$A:$E,MATCH('Chart of Accounts'!$A98,'Yardi Report'!$A:$A,0),2))</f>
        <v/>
      </c>
      <c r="C92">
        <f>IF(A92="","",MAX($C$1:C91)+1)</f>
        <v/>
      </c>
      <c r="E92">
        <f>A92&amp;" "&amp;B92</f>
        <v/>
      </c>
      <c r="G92">
        <f>+G91+1</f>
        <v/>
      </c>
      <c r="H92">
        <f>IF(ISNA(INDEX(C92:E591,MATCH(G92,C92:C591,0),3)),"",INDEX(C92:E591,MATCH(G92,C92:C591,0),3))</f>
        <v/>
      </c>
    </row>
    <row r="93">
      <c r="A93">
        <f>IF(ISNA(INDEX('Yardi Report'!$A:$E,MATCH('Chart of Accounts'!$A99,'Yardi Report'!$A:$A,0),1)),"",INDEX('Yardi Report'!$A:$E,MATCH('Chart of Accounts'!$A99,'Yardi Report'!$A:$A,0),1))</f>
        <v/>
      </c>
      <c r="B93">
        <f>IF(ISNA(INDEX('Yardi Report'!$A:$E,MATCH('Chart of Accounts'!$A99,'Yardi Report'!$A:$A,0),2)),"",INDEX('Yardi Report'!$A:$E,MATCH('Chart of Accounts'!$A99,'Yardi Report'!$A:$A,0),2))</f>
        <v/>
      </c>
      <c r="C93">
        <f>IF(A93="","",MAX($C$1:C92)+1)</f>
        <v/>
      </c>
      <c r="E93">
        <f>A93&amp;" "&amp;B93</f>
        <v/>
      </c>
      <c r="G93">
        <f>+G92+1</f>
        <v/>
      </c>
      <c r="H93">
        <f>IF(ISNA(INDEX(C93:E592,MATCH(G93,C93:C592,0),3)),"",INDEX(C93:E592,MATCH(G93,C93:C592,0),3))</f>
        <v/>
      </c>
    </row>
    <row r="94">
      <c r="A94">
        <f>IF(ISNA(INDEX('Yardi Report'!$A:$E,MATCH('Chart of Accounts'!$A100,'Yardi Report'!$A:$A,0),1)),"",INDEX('Yardi Report'!$A:$E,MATCH('Chart of Accounts'!$A100,'Yardi Report'!$A:$A,0),1))</f>
        <v/>
      </c>
      <c r="B94">
        <f>IF(ISNA(INDEX('Yardi Report'!$A:$E,MATCH('Chart of Accounts'!$A100,'Yardi Report'!$A:$A,0),2)),"",INDEX('Yardi Report'!$A:$E,MATCH('Chart of Accounts'!$A100,'Yardi Report'!$A:$A,0),2))</f>
        <v/>
      </c>
      <c r="C94">
        <f>IF(A94="","",MAX($C$1:C93)+1)</f>
        <v/>
      </c>
      <c r="E94">
        <f>A94&amp;" "&amp;B94</f>
        <v/>
      </c>
      <c r="G94">
        <f>+G93+1</f>
        <v/>
      </c>
      <c r="H94">
        <f>IF(ISNA(INDEX(C94:E593,MATCH(G94,C94:C593,0),3)),"",INDEX(C94:E593,MATCH(G94,C94:C593,0),3))</f>
        <v/>
      </c>
    </row>
    <row r="95">
      <c r="A95">
        <f>IF(ISNA(INDEX('Yardi Report'!$A:$E,MATCH('Chart of Accounts'!$A101,'Yardi Report'!$A:$A,0),1)),"",INDEX('Yardi Report'!$A:$E,MATCH('Chart of Accounts'!$A101,'Yardi Report'!$A:$A,0),1))</f>
        <v/>
      </c>
      <c r="B95">
        <f>IF(ISNA(INDEX('Yardi Report'!$A:$E,MATCH('Chart of Accounts'!$A101,'Yardi Report'!$A:$A,0),2)),"",INDEX('Yardi Report'!$A:$E,MATCH('Chart of Accounts'!$A101,'Yardi Report'!$A:$A,0),2))</f>
        <v/>
      </c>
      <c r="C95">
        <f>IF(A95="","",MAX($C$1:C94)+1)</f>
        <v/>
      </c>
      <c r="E95">
        <f>A95&amp;" "&amp;B95</f>
        <v/>
      </c>
      <c r="G95">
        <f>+G94+1</f>
        <v/>
      </c>
      <c r="H95">
        <f>IF(ISNA(INDEX(C95:E594,MATCH(G95,C95:C594,0),3)),"",INDEX(C95:E594,MATCH(G95,C95:C594,0),3))</f>
        <v/>
      </c>
    </row>
    <row r="96">
      <c r="A96">
        <f>IF(ISNA(INDEX('Yardi Report'!$A:$E,MATCH('Chart of Accounts'!$A102,'Yardi Report'!$A:$A,0),1)),"",INDEX('Yardi Report'!$A:$E,MATCH('Chart of Accounts'!$A102,'Yardi Report'!$A:$A,0),1))</f>
        <v/>
      </c>
      <c r="B96">
        <f>IF(ISNA(INDEX('Yardi Report'!$A:$E,MATCH('Chart of Accounts'!$A102,'Yardi Report'!$A:$A,0),2)),"",INDEX('Yardi Report'!$A:$E,MATCH('Chart of Accounts'!$A102,'Yardi Report'!$A:$A,0),2))</f>
        <v/>
      </c>
      <c r="C96">
        <f>IF(A96="","",MAX($C$1:C95)+1)</f>
        <v/>
      </c>
      <c r="E96">
        <f>A96&amp;" "&amp;B96</f>
        <v/>
      </c>
      <c r="G96">
        <f>+G95+1</f>
        <v/>
      </c>
      <c r="H96">
        <f>IF(ISNA(INDEX(C96:E595,MATCH(G96,C96:C595,0),3)),"",INDEX(C96:E595,MATCH(G96,C96:C595,0),3))</f>
        <v/>
      </c>
    </row>
    <row r="97">
      <c r="A97">
        <f>IF(ISNA(INDEX('Yardi Report'!$A:$E,MATCH('Chart of Accounts'!$A103,'Yardi Report'!$A:$A,0),1)),"",INDEX('Yardi Report'!$A:$E,MATCH('Chart of Accounts'!$A103,'Yardi Report'!$A:$A,0),1))</f>
        <v/>
      </c>
      <c r="B97">
        <f>IF(ISNA(INDEX('Yardi Report'!$A:$E,MATCH('Chart of Accounts'!$A103,'Yardi Report'!$A:$A,0),2)),"",INDEX('Yardi Report'!$A:$E,MATCH('Chart of Accounts'!$A103,'Yardi Report'!$A:$A,0),2))</f>
        <v/>
      </c>
      <c r="C97">
        <f>IF(A97="","",MAX($C$1:C96)+1)</f>
        <v/>
      </c>
      <c r="E97">
        <f>A97&amp;" "&amp;B97</f>
        <v/>
      </c>
      <c r="G97">
        <f>+G96+1</f>
        <v/>
      </c>
      <c r="H97">
        <f>IF(ISNA(INDEX(C97:E596,MATCH(G97,C97:C596,0),3)),"",INDEX(C97:E596,MATCH(G97,C97:C596,0),3))</f>
        <v/>
      </c>
    </row>
    <row r="98">
      <c r="A98">
        <f>IF(ISNA(INDEX('Yardi Report'!$A:$E,MATCH('Chart of Accounts'!$A104,'Yardi Report'!$A:$A,0),1)),"",INDEX('Yardi Report'!$A:$E,MATCH('Chart of Accounts'!$A104,'Yardi Report'!$A:$A,0),1))</f>
        <v/>
      </c>
      <c r="B98">
        <f>IF(ISNA(INDEX('Yardi Report'!$A:$E,MATCH('Chart of Accounts'!$A104,'Yardi Report'!$A:$A,0),2)),"",INDEX('Yardi Report'!$A:$E,MATCH('Chart of Accounts'!$A104,'Yardi Report'!$A:$A,0),2))</f>
        <v/>
      </c>
      <c r="C98">
        <f>IF(A98="","",MAX($C$1:C97)+1)</f>
        <v/>
      </c>
      <c r="E98">
        <f>A98&amp;" "&amp;B98</f>
        <v/>
      </c>
      <c r="G98">
        <f>+G97+1</f>
        <v/>
      </c>
      <c r="H98">
        <f>IF(ISNA(INDEX(C98:E597,MATCH(G98,C98:C597,0),3)),"",INDEX(C98:E597,MATCH(G98,C98:C597,0),3))</f>
        <v/>
      </c>
    </row>
    <row r="99">
      <c r="A99">
        <f>IF(ISNA(INDEX('Yardi Report'!$A:$E,MATCH('Chart of Accounts'!$A105,'Yardi Report'!$A:$A,0),1)),"",INDEX('Yardi Report'!$A:$E,MATCH('Chart of Accounts'!$A105,'Yardi Report'!$A:$A,0),1))</f>
        <v/>
      </c>
      <c r="B99">
        <f>IF(ISNA(INDEX('Yardi Report'!$A:$E,MATCH('Chart of Accounts'!$A105,'Yardi Report'!$A:$A,0),2)),"",INDEX('Yardi Report'!$A:$E,MATCH('Chart of Accounts'!$A105,'Yardi Report'!$A:$A,0),2))</f>
        <v/>
      </c>
      <c r="C99">
        <f>IF(A99="","",MAX($C$1:C98)+1)</f>
        <v/>
      </c>
      <c r="E99">
        <f>A99&amp;" "&amp;B99</f>
        <v/>
      </c>
      <c r="G99">
        <f>+G98+1</f>
        <v/>
      </c>
      <c r="H99">
        <f>IF(ISNA(INDEX(C99:E598,MATCH(G99,C99:C598,0),3)),"",INDEX(C99:E598,MATCH(G99,C99:C598,0),3))</f>
        <v/>
      </c>
    </row>
    <row r="100">
      <c r="A100">
        <f>IF(ISNA(INDEX('Yardi Report'!$A:$E,MATCH('Chart of Accounts'!$A106,'Yardi Report'!$A:$A,0),1)),"",INDEX('Yardi Report'!$A:$E,MATCH('Chart of Accounts'!$A106,'Yardi Report'!$A:$A,0),1))</f>
        <v/>
      </c>
      <c r="B100">
        <f>IF(ISNA(INDEX('Yardi Report'!$A:$E,MATCH('Chart of Accounts'!$A106,'Yardi Report'!$A:$A,0),2)),"",INDEX('Yardi Report'!$A:$E,MATCH('Chart of Accounts'!$A106,'Yardi Report'!$A:$A,0),2))</f>
        <v/>
      </c>
      <c r="C100">
        <f>IF(A100="","",MAX($C$1:C99)+1)</f>
        <v/>
      </c>
      <c r="E100">
        <f>A100&amp;" "&amp;B100</f>
        <v/>
      </c>
      <c r="G100">
        <f>+G99+1</f>
        <v/>
      </c>
      <c r="H100">
        <f>IF(ISNA(INDEX(C100:E599,MATCH(G100,C100:C599,0),3)),"",INDEX(C100:E599,MATCH(G100,C100:C599,0),3))</f>
        <v/>
      </c>
    </row>
    <row r="101">
      <c r="A101">
        <f>IF(ISNA(INDEX('Yardi Report'!$A:$E,MATCH('Chart of Accounts'!$A107,'Yardi Report'!$A:$A,0),1)),"",INDEX('Yardi Report'!$A:$E,MATCH('Chart of Accounts'!$A107,'Yardi Report'!$A:$A,0),1))</f>
        <v/>
      </c>
      <c r="B101">
        <f>IF(ISNA(INDEX('Yardi Report'!$A:$E,MATCH('Chart of Accounts'!$A107,'Yardi Report'!$A:$A,0),2)),"",INDEX('Yardi Report'!$A:$E,MATCH('Chart of Accounts'!$A107,'Yardi Report'!$A:$A,0),2))</f>
        <v/>
      </c>
      <c r="C101">
        <f>IF(A101="","",MAX($C$1:C100)+1)</f>
        <v/>
      </c>
      <c r="E101">
        <f>A101&amp;" "&amp;B101</f>
        <v/>
      </c>
      <c r="G101">
        <f>+G100+1</f>
        <v/>
      </c>
    </row>
    <row r="102">
      <c r="A102">
        <f>IF(ISNA(INDEX('Yardi Report'!$A:$E,MATCH('Chart of Accounts'!$A108,'Yardi Report'!$A:$A,0),1)),"",INDEX('Yardi Report'!$A:$E,MATCH('Chart of Accounts'!$A108,'Yardi Report'!$A:$A,0),1))</f>
        <v/>
      </c>
      <c r="B102">
        <f>IF(ISNA(INDEX('Yardi Report'!$A:$E,MATCH('Chart of Accounts'!$A108,'Yardi Report'!$A:$A,0),2)),"",INDEX('Yardi Report'!$A:$E,MATCH('Chart of Accounts'!$A108,'Yardi Report'!$A:$A,0),2))</f>
        <v/>
      </c>
      <c r="C102">
        <f>IF(A102="","",MAX($C$1:C101)+1)</f>
        <v/>
      </c>
      <c r="E102">
        <f>A102&amp;" "&amp;B102</f>
        <v/>
      </c>
      <c r="G102">
        <f>+G101+1</f>
        <v/>
      </c>
    </row>
    <row r="103">
      <c r="A103">
        <f>IF(ISNA(INDEX('Yardi Report'!$A:$E,MATCH('Chart of Accounts'!$A109,'Yardi Report'!$A:$A,0),1)),"",INDEX('Yardi Report'!$A:$E,MATCH('Chart of Accounts'!$A109,'Yardi Report'!$A:$A,0),1))</f>
        <v/>
      </c>
      <c r="B103">
        <f>IF(ISNA(INDEX('Yardi Report'!$A:$E,MATCH('Chart of Accounts'!$A109,'Yardi Report'!$A:$A,0),2)),"",INDEX('Yardi Report'!$A:$E,MATCH('Chart of Accounts'!$A109,'Yardi Report'!$A:$A,0),2))</f>
        <v/>
      </c>
      <c r="C103">
        <f>IF(A103="","",MAX($C$1:C102)+1)</f>
        <v/>
      </c>
      <c r="E103">
        <f>A103&amp;" "&amp;B103</f>
        <v/>
      </c>
      <c r="G103">
        <f>+G102+1</f>
        <v/>
      </c>
    </row>
    <row r="104">
      <c r="A104">
        <f>IF(ISNA(INDEX('Yardi Report'!$A:$E,MATCH('Chart of Accounts'!$A110,'Yardi Report'!$A:$A,0),1)),"",INDEX('Yardi Report'!$A:$E,MATCH('Chart of Accounts'!$A110,'Yardi Report'!$A:$A,0),1))</f>
        <v/>
      </c>
      <c r="B104">
        <f>IF(ISNA(INDEX('Yardi Report'!$A:$E,MATCH('Chart of Accounts'!$A110,'Yardi Report'!$A:$A,0),2)),"",INDEX('Yardi Report'!$A:$E,MATCH('Chart of Accounts'!$A110,'Yardi Report'!$A:$A,0),2))</f>
        <v/>
      </c>
      <c r="C104">
        <f>IF(A104="","",MAX($C$1:C103)+1)</f>
        <v/>
      </c>
      <c r="E104">
        <f>A104&amp;" "&amp;B104</f>
        <v/>
      </c>
      <c r="G104">
        <f>+G103+1</f>
        <v/>
      </c>
    </row>
    <row r="105">
      <c r="A105">
        <f>IF(ISNA(INDEX('Yardi Report'!$A:$E,MATCH('Chart of Accounts'!$A111,'Yardi Report'!$A:$A,0),1)),"",INDEX('Yardi Report'!$A:$E,MATCH('Chart of Accounts'!$A111,'Yardi Report'!$A:$A,0),1))</f>
        <v/>
      </c>
      <c r="B105">
        <f>IF(ISNA(INDEX('Yardi Report'!$A:$E,MATCH('Chart of Accounts'!$A111,'Yardi Report'!$A:$A,0),2)),"",INDEX('Yardi Report'!$A:$E,MATCH('Chart of Accounts'!$A111,'Yardi Report'!$A:$A,0),2))</f>
        <v/>
      </c>
      <c r="C105">
        <f>IF(A105="","",MAX($C$1:C104)+1)</f>
        <v/>
      </c>
      <c r="E105">
        <f>A105&amp;" "&amp;B105</f>
        <v/>
      </c>
      <c r="G105">
        <f>+G104+1</f>
        <v/>
      </c>
    </row>
    <row r="106">
      <c r="A106">
        <f>IF(ISNA(INDEX('Yardi Report'!$A:$E,MATCH('Chart of Accounts'!$A112,'Yardi Report'!$A:$A,0),1)),"",INDEX('Yardi Report'!$A:$E,MATCH('Chart of Accounts'!$A112,'Yardi Report'!$A:$A,0),1))</f>
        <v/>
      </c>
      <c r="B106">
        <f>IF(ISNA(INDEX('Yardi Report'!$A:$E,MATCH('Chart of Accounts'!$A112,'Yardi Report'!$A:$A,0),2)),"",INDEX('Yardi Report'!$A:$E,MATCH('Chart of Accounts'!$A112,'Yardi Report'!$A:$A,0),2))</f>
        <v/>
      </c>
      <c r="C106">
        <f>IF(A106="","",MAX($C$1:C105)+1)</f>
        <v/>
      </c>
      <c r="E106">
        <f>A106&amp;" "&amp;B106</f>
        <v/>
      </c>
      <c r="G106">
        <f>+G105+1</f>
        <v/>
      </c>
    </row>
    <row r="107">
      <c r="A107">
        <f>IF(ISNA(INDEX('Yardi Report'!$A:$E,MATCH('Chart of Accounts'!$A113,'Yardi Report'!$A:$A,0),1)),"",INDEX('Yardi Report'!$A:$E,MATCH('Chart of Accounts'!$A113,'Yardi Report'!$A:$A,0),1))</f>
        <v/>
      </c>
      <c r="B107">
        <f>IF(ISNA(INDEX('Yardi Report'!$A:$E,MATCH('Chart of Accounts'!$A113,'Yardi Report'!$A:$A,0),2)),"",INDEX('Yardi Report'!$A:$E,MATCH('Chart of Accounts'!$A113,'Yardi Report'!$A:$A,0),2))</f>
        <v/>
      </c>
      <c r="C107">
        <f>IF(A107="","",MAX($C$1:C106)+1)</f>
        <v/>
      </c>
      <c r="E107">
        <f>A107&amp;" "&amp;B107</f>
        <v/>
      </c>
      <c r="G107">
        <f>+G106+1</f>
        <v/>
      </c>
    </row>
    <row r="108">
      <c r="A108">
        <f>IF(ISNA(INDEX('Yardi Report'!$A:$E,MATCH('Chart of Accounts'!$A114,'Yardi Report'!$A:$A,0),1)),"",INDEX('Yardi Report'!$A:$E,MATCH('Chart of Accounts'!$A114,'Yardi Report'!$A:$A,0),1))</f>
        <v/>
      </c>
      <c r="B108">
        <f>IF(ISNA(INDEX('Yardi Report'!$A:$E,MATCH('Chart of Accounts'!$A114,'Yardi Report'!$A:$A,0),2)),"",INDEX('Yardi Report'!$A:$E,MATCH('Chart of Accounts'!$A114,'Yardi Report'!$A:$A,0),2))</f>
        <v/>
      </c>
      <c r="C108">
        <f>IF(A108="","",MAX($C$1:C107)+1)</f>
        <v/>
      </c>
      <c r="E108">
        <f>A108&amp;" "&amp;B108</f>
        <v/>
      </c>
      <c r="G108">
        <f>+G107+1</f>
        <v/>
      </c>
    </row>
    <row r="109">
      <c r="A109">
        <f>IF(ISNA(INDEX('Yardi Report'!$A:$E,MATCH('Chart of Accounts'!$A115,'Yardi Report'!$A:$A,0),1)),"",INDEX('Yardi Report'!$A:$E,MATCH('Chart of Accounts'!$A115,'Yardi Report'!$A:$A,0),1))</f>
        <v/>
      </c>
      <c r="B109">
        <f>IF(ISNA(INDEX('Yardi Report'!$A:$E,MATCH('Chart of Accounts'!$A115,'Yardi Report'!$A:$A,0),2)),"",INDEX('Yardi Report'!$A:$E,MATCH('Chart of Accounts'!$A115,'Yardi Report'!$A:$A,0),2))</f>
        <v/>
      </c>
      <c r="C109">
        <f>IF(A109="","",MAX($C$1:C108)+1)</f>
        <v/>
      </c>
      <c r="E109">
        <f>A109&amp;" "&amp;B109</f>
        <v/>
      </c>
      <c r="G109">
        <f>+G108+1</f>
        <v/>
      </c>
    </row>
    <row r="110">
      <c r="A110">
        <f>IF(ISNA(INDEX('Yardi Report'!$A:$E,MATCH('Chart of Accounts'!$A116,'Yardi Report'!$A:$A,0),1)),"",INDEX('Yardi Report'!$A:$E,MATCH('Chart of Accounts'!$A116,'Yardi Report'!$A:$A,0),1))</f>
        <v/>
      </c>
      <c r="B110">
        <f>IF(ISNA(INDEX('Yardi Report'!$A:$E,MATCH('Chart of Accounts'!$A116,'Yardi Report'!$A:$A,0),2)),"",INDEX('Yardi Report'!$A:$E,MATCH('Chart of Accounts'!$A116,'Yardi Report'!$A:$A,0),2))</f>
        <v/>
      </c>
      <c r="C110">
        <f>IF(A110="","",MAX($C$1:C109)+1)</f>
        <v/>
      </c>
      <c r="E110">
        <f>A110&amp;" "&amp;B110</f>
        <v/>
      </c>
      <c r="G110">
        <f>+G109+1</f>
        <v/>
      </c>
    </row>
    <row r="111">
      <c r="A111">
        <f>IF(ISNA(INDEX('Yardi Report'!$A:$E,MATCH('Chart of Accounts'!$A117,'Yardi Report'!$A:$A,0),1)),"",INDEX('Yardi Report'!$A:$E,MATCH('Chart of Accounts'!$A117,'Yardi Report'!$A:$A,0),1))</f>
        <v/>
      </c>
      <c r="B111">
        <f>IF(ISNA(INDEX('Yardi Report'!$A:$E,MATCH('Chart of Accounts'!$A117,'Yardi Report'!$A:$A,0),2)),"",INDEX('Yardi Report'!$A:$E,MATCH('Chart of Accounts'!$A117,'Yardi Report'!$A:$A,0),2))</f>
        <v/>
      </c>
      <c r="C111">
        <f>IF(A111="","",MAX($C$1:C110)+1)</f>
        <v/>
      </c>
      <c r="E111">
        <f>A111&amp;" "&amp;B111</f>
        <v/>
      </c>
      <c r="G111">
        <f>+G110+1</f>
        <v/>
      </c>
    </row>
    <row r="112">
      <c r="A112">
        <f>IF(ISNA(INDEX('Yardi Report'!$A:$E,MATCH('Chart of Accounts'!$A118,'Yardi Report'!$A:$A,0),1)),"",INDEX('Yardi Report'!$A:$E,MATCH('Chart of Accounts'!$A118,'Yardi Report'!$A:$A,0),1))</f>
        <v/>
      </c>
      <c r="B112">
        <f>IF(ISNA(INDEX('Yardi Report'!$A:$E,MATCH('Chart of Accounts'!$A118,'Yardi Report'!$A:$A,0),2)),"",INDEX('Yardi Report'!$A:$E,MATCH('Chart of Accounts'!$A118,'Yardi Report'!$A:$A,0),2))</f>
        <v/>
      </c>
      <c r="C112">
        <f>IF(A112="","",MAX($C$1:C111)+1)</f>
        <v/>
      </c>
      <c r="E112">
        <f>A112&amp;" "&amp;B112</f>
        <v/>
      </c>
      <c r="G112">
        <f>+G111+1</f>
        <v/>
      </c>
    </row>
    <row r="113">
      <c r="A113">
        <f>IF(ISNA(INDEX('Yardi Report'!$A:$E,MATCH('Chart of Accounts'!$A119,'Yardi Report'!$A:$A,0),1)),"",INDEX('Yardi Report'!$A:$E,MATCH('Chart of Accounts'!$A119,'Yardi Report'!$A:$A,0),1))</f>
        <v/>
      </c>
      <c r="B113">
        <f>IF(ISNA(INDEX('Yardi Report'!$A:$E,MATCH('Chart of Accounts'!$A119,'Yardi Report'!$A:$A,0),2)),"",INDEX('Yardi Report'!$A:$E,MATCH('Chart of Accounts'!$A119,'Yardi Report'!$A:$A,0),2))</f>
        <v/>
      </c>
      <c r="C113">
        <f>IF(A113="","",MAX($C$1:C112)+1)</f>
        <v/>
      </c>
      <c r="E113">
        <f>A113&amp;" "&amp;B113</f>
        <v/>
      </c>
      <c r="G113">
        <f>+G112+1</f>
        <v/>
      </c>
    </row>
    <row r="114">
      <c r="A114">
        <f>IF(ISNA(INDEX('Yardi Report'!$A:$E,MATCH('Chart of Accounts'!$A120,'Yardi Report'!$A:$A,0),1)),"",INDEX('Yardi Report'!$A:$E,MATCH('Chart of Accounts'!$A120,'Yardi Report'!$A:$A,0),1))</f>
        <v/>
      </c>
      <c r="B114">
        <f>IF(ISNA(INDEX('Yardi Report'!$A:$E,MATCH('Chart of Accounts'!$A120,'Yardi Report'!$A:$A,0),2)),"",INDEX('Yardi Report'!$A:$E,MATCH('Chart of Accounts'!$A120,'Yardi Report'!$A:$A,0),2))</f>
        <v/>
      </c>
      <c r="C114">
        <f>IF(A114="","",MAX($C$1:C113)+1)</f>
        <v/>
      </c>
      <c r="E114">
        <f>A114&amp;" "&amp;B114</f>
        <v/>
      </c>
      <c r="G114">
        <f>+G113+1</f>
        <v/>
      </c>
    </row>
    <row r="115">
      <c r="A115">
        <f>IF(ISNA(INDEX('Yardi Report'!$A:$E,MATCH('Chart of Accounts'!$A121,'Yardi Report'!$A:$A,0),1)),"",INDEX('Yardi Report'!$A:$E,MATCH('Chart of Accounts'!$A121,'Yardi Report'!$A:$A,0),1))</f>
        <v/>
      </c>
      <c r="B115">
        <f>IF(ISNA(INDEX('Yardi Report'!$A:$E,MATCH('Chart of Accounts'!$A121,'Yardi Report'!$A:$A,0),2)),"",INDEX('Yardi Report'!$A:$E,MATCH('Chart of Accounts'!$A121,'Yardi Report'!$A:$A,0),2))</f>
        <v/>
      </c>
      <c r="C115">
        <f>IF(A115="","",MAX($C$1:C114)+1)</f>
        <v/>
      </c>
      <c r="E115">
        <f>A115&amp;" "&amp;B115</f>
        <v/>
      </c>
      <c r="G115">
        <f>+G114+1</f>
        <v/>
      </c>
    </row>
    <row r="116">
      <c r="A116">
        <f>IF(ISNA(INDEX('Yardi Report'!$A:$E,MATCH('Chart of Accounts'!$A122,'Yardi Report'!$A:$A,0),1)),"",INDEX('Yardi Report'!$A:$E,MATCH('Chart of Accounts'!$A122,'Yardi Report'!$A:$A,0),1))</f>
        <v/>
      </c>
      <c r="B116">
        <f>IF(ISNA(INDEX('Yardi Report'!$A:$E,MATCH('Chart of Accounts'!$A122,'Yardi Report'!$A:$A,0),2)),"",INDEX('Yardi Report'!$A:$E,MATCH('Chart of Accounts'!$A122,'Yardi Report'!$A:$A,0),2))</f>
        <v/>
      </c>
      <c r="C116">
        <f>IF(A116="","",MAX($C$1:C115)+1)</f>
        <v/>
      </c>
      <c r="E116">
        <f>A116&amp;" "&amp;B116</f>
        <v/>
      </c>
      <c r="G116">
        <f>+G115+1</f>
        <v/>
      </c>
    </row>
    <row r="117">
      <c r="A117">
        <f>IF(ISNA(INDEX('Yardi Report'!$A:$E,MATCH('Chart of Accounts'!$A123,'Yardi Report'!$A:$A,0),1)),"",INDEX('Yardi Report'!$A:$E,MATCH('Chart of Accounts'!$A123,'Yardi Report'!$A:$A,0),1))</f>
        <v/>
      </c>
      <c r="B117">
        <f>IF(ISNA(INDEX('Yardi Report'!$A:$E,MATCH('Chart of Accounts'!$A123,'Yardi Report'!$A:$A,0),2)),"",INDEX('Yardi Report'!$A:$E,MATCH('Chart of Accounts'!$A123,'Yardi Report'!$A:$A,0),2))</f>
        <v/>
      </c>
      <c r="C117">
        <f>IF(A117="","",MAX($C$1:C116)+1)</f>
        <v/>
      </c>
      <c r="E117">
        <f>A117&amp;" "&amp;B117</f>
        <v/>
      </c>
      <c r="G117">
        <f>+G116+1</f>
        <v/>
      </c>
    </row>
    <row r="118">
      <c r="A118">
        <f>IF(ISNA(INDEX('Yardi Report'!$A:$E,MATCH('Chart of Accounts'!$A124,'Yardi Report'!$A:$A,0),1)),"",INDEX('Yardi Report'!$A:$E,MATCH('Chart of Accounts'!$A124,'Yardi Report'!$A:$A,0),1))</f>
        <v/>
      </c>
      <c r="B118">
        <f>IF(ISNA(INDEX('Yardi Report'!$A:$E,MATCH('Chart of Accounts'!$A124,'Yardi Report'!$A:$A,0),2)),"",INDEX('Yardi Report'!$A:$E,MATCH('Chart of Accounts'!$A124,'Yardi Report'!$A:$A,0),2))</f>
        <v/>
      </c>
      <c r="C118">
        <f>IF(A118="","",MAX($C$1:C117)+1)</f>
        <v/>
      </c>
      <c r="E118">
        <f>A118&amp;" "&amp;B118</f>
        <v/>
      </c>
      <c r="G118">
        <f>+G117+1</f>
        <v/>
      </c>
    </row>
    <row r="119">
      <c r="A119">
        <f>IF(ISNA(INDEX('Yardi Report'!$A:$E,MATCH('Chart of Accounts'!$A125,'Yardi Report'!$A:$A,0),1)),"",INDEX('Yardi Report'!$A:$E,MATCH('Chart of Accounts'!$A125,'Yardi Report'!$A:$A,0),1))</f>
        <v/>
      </c>
      <c r="B119">
        <f>IF(ISNA(INDEX('Yardi Report'!$A:$E,MATCH('Chart of Accounts'!$A125,'Yardi Report'!$A:$A,0),2)),"",INDEX('Yardi Report'!$A:$E,MATCH('Chart of Accounts'!$A125,'Yardi Report'!$A:$A,0),2))</f>
        <v/>
      </c>
      <c r="C119">
        <f>IF(A119="","",MAX($C$1:C118)+1)</f>
        <v/>
      </c>
      <c r="E119">
        <f>A119&amp;" "&amp;B119</f>
        <v/>
      </c>
      <c r="G119">
        <f>+G118+1</f>
        <v/>
      </c>
    </row>
    <row r="120">
      <c r="A120">
        <f>IF(ISNA(INDEX('Yardi Report'!$A:$E,MATCH('Chart of Accounts'!$A126,'Yardi Report'!$A:$A,0),1)),"",INDEX('Yardi Report'!$A:$E,MATCH('Chart of Accounts'!$A126,'Yardi Report'!$A:$A,0),1))</f>
        <v/>
      </c>
      <c r="B120">
        <f>IF(ISNA(INDEX('Yardi Report'!$A:$E,MATCH('Chart of Accounts'!$A126,'Yardi Report'!$A:$A,0),2)),"",INDEX('Yardi Report'!$A:$E,MATCH('Chart of Accounts'!$A126,'Yardi Report'!$A:$A,0),2))</f>
        <v/>
      </c>
      <c r="C120">
        <f>IF(A120="","",MAX($C$1:C119)+1)</f>
        <v/>
      </c>
      <c r="E120">
        <f>A120&amp;" "&amp;B120</f>
        <v/>
      </c>
      <c r="G120">
        <f>+G119+1</f>
        <v/>
      </c>
    </row>
    <row r="121">
      <c r="A121">
        <f>IF(ISNA(INDEX('Yardi Report'!$A:$E,MATCH('Chart of Accounts'!$A127,'Yardi Report'!$A:$A,0),1)),"",INDEX('Yardi Report'!$A:$E,MATCH('Chart of Accounts'!$A127,'Yardi Report'!$A:$A,0),1))</f>
        <v/>
      </c>
      <c r="B121">
        <f>IF(ISNA(INDEX('Yardi Report'!$A:$E,MATCH('Chart of Accounts'!$A127,'Yardi Report'!$A:$A,0),2)),"",INDEX('Yardi Report'!$A:$E,MATCH('Chart of Accounts'!$A127,'Yardi Report'!$A:$A,0),2))</f>
        <v/>
      </c>
      <c r="C121">
        <f>IF(A121="","",MAX($C$1:C120)+1)</f>
        <v/>
      </c>
      <c r="E121">
        <f>A121&amp;" "&amp;B121</f>
        <v/>
      </c>
      <c r="G121">
        <f>+G120+1</f>
        <v/>
      </c>
    </row>
    <row r="122">
      <c r="A122">
        <f>IF(ISNA(INDEX('Yardi Report'!$A:$E,MATCH('Chart of Accounts'!$A128,'Yardi Report'!$A:$A,0),1)),"",INDEX('Yardi Report'!$A:$E,MATCH('Chart of Accounts'!$A128,'Yardi Report'!$A:$A,0),1))</f>
        <v/>
      </c>
      <c r="B122">
        <f>IF(ISNA(INDEX('Yardi Report'!$A:$E,MATCH('Chart of Accounts'!$A128,'Yardi Report'!$A:$A,0),2)),"",INDEX('Yardi Report'!$A:$E,MATCH('Chart of Accounts'!$A128,'Yardi Report'!$A:$A,0),2))</f>
        <v/>
      </c>
      <c r="C122">
        <f>IF(A122="","",MAX($C$1:C121)+1)</f>
        <v/>
      </c>
      <c r="E122">
        <f>A122&amp;" "&amp;B122</f>
        <v/>
      </c>
      <c r="G122">
        <f>+G121+1</f>
        <v/>
      </c>
    </row>
    <row r="123">
      <c r="A123">
        <f>IF(ISNA(INDEX('Yardi Report'!$A:$E,MATCH('Chart of Accounts'!$A129,'Yardi Report'!$A:$A,0),1)),"",INDEX('Yardi Report'!$A:$E,MATCH('Chart of Accounts'!$A129,'Yardi Report'!$A:$A,0),1))</f>
        <v/>
      </c>
      <c r="B123">
        <f>IF(ISNA(INDEX('Yardi Report'!$A:$E,MATCH('Chart of Accounts'!$A129,'Yardi Report'!$A:$A,0),2)),"",INDEX('Yardi Report'!$A:$E,MATCH('Chart of Accounts'!$A129,'Yardi Report'!$A:$A,0),2))</f>
        <v/>
      </c>
      <c r="C123">
        <f>IF(A123="","",MAX($C$1:C122)+1)</f>
        <v/>
      </c>
      <c r="E123">
        <f>A123&amp;" "&amp;B123</f>
        <v/>
      </c>
      <c r="G123">
        <f>+G122+1</f>
        <v/>
      </c>
    </row>
    <row r="124">
      <c r="A124">
        <f>IF(ISNA(INDEX('Yardi Report'!$A:$E,MATCH('Chart of Accounts'!$A130,'Yardi Report'!$A:$A,0),1)),"",INDEX('Yardi Report'!$A:$E,MATCH('Chart of Accounts'!$A130,'Yardi Report'!$A:$A,0),1))</f>
        <v/>
      </c>
      <c r="B124">
        <f>IF(ISNA(INDEX('Yardi Report'!$A:$E,MATCH('Chart of Accounts'!$A130,'Yardi Report'!$A:$A,0),2)),"",INDEX('Yardi Report'!$A:$E,MATCH('Chart of Accounts'!$A130,'Yardi Report'!$A:$A,0),2))</f>
        <v/>
      </c>
      <c r="C124">
        <f>IF(A124="","",MAX($C$1:C123)+1)</f>
        <v/>
      </c>
      <c r="E124">
        <f>A124&amp;" "&amp;B124</f>
        <v/>
      </c>
      <c r="G124">
        <f>+G123+1</f>
        <v/>
      </c>
    </row>
    <row r="125">
      <c r="A125">
        <f>IF(ISNA(INDEX('Yardi Report'!$A:$E,MATCH('Chart of Accounts'!$A131,'Yardi Report'!$A:$A,0),1)),"",INDEX('Yardi Report'!$A:$E,MATCH('Chart of Accounts'!$A131,'Yardi Report'!$A:$A,0),1))</f>
        <v/>
      </c>
      <c r="B125">
        <f>IF(ISNA(INDEX('Yardi Report'!$A:$E,MATCH('Chart of Accounts'!$A131,'Yardi Report'!$A:$A,0),2)),"",INDEX('Yardi Report'!$A:$E,MATCH('Chart of Accounts'!$A131,'Yardi Report'!$A:$A,0),2))</f>
        <v/>
      </c>
      <c r="C125">
        <f>IF(A125="","",MAX($C$1:C124)+1)</f>
        <v/>
      </c>
      <c r="E125">
        <f>A125&amp;" "&amp;B125</f>
        <v/>
      </c>
      <c r="G125">
        <f>+G124+1</f>
        <v/>
      </c>
    </row>
    <row r="126">
      <c r="A126">
        <f>IF(ISNA(INDEX('Yardi Report'!$A:$E,MATCH('Chart of Accounts'!$A132,'Yardi Report'!$A:$A,0),1)),"",INDEX('Yardi Report'!$A:$E,MATCH('Chart of Accounts'!$A132,'Yardi Report'!$A:$A,0),1))</f>
        <v/>
      </c>
      <c r="B126">
        <f>IF(ISNA(INDEX('Yardi Report'!$A:$E,MATCH('Chart of Accounts'!$A132,'Yardi Report'!$A:$A,0),2)),"",INDEX('Yardi Report'!$A:$E,MATCH('Chart of Accounts'!$A132,'Yardi Report'!$A:$A,0),2))</f>
        <v/>
      </c>
      <c r="C126">
        <f>IF(A126="","",MAX($C$1:C125)+1)</f>
        <v/>
      </c>
      <c r="E126">
        <f>A126&amp;" "&amp;B126</f>
        <v/>
      </c>
      <c r="G126">
        <f>+G125+1</f>
        <v/>
      </c>
    </row>
    <row r="127">
      <c r="A127">
        <f>IF(ISNA(INDEX('Yardi Report'!$A:$E,MATCH('Chart of Accounts'!$A133,'Yardi Report'!$A:$A,0),1)),"",INDEX('Yardi Report'!$A:$E,MATCH('Chart of Accounts'!$A133,'Yardi Report'!$A:$A,0),1))</f>
        <v/>
      </c>
      <c r="B127">
        <f>IF(ISNA(INDEX('Yardi Report'!$A:$E,MATCH('Chart of Accounts'!$A133,'Yardi Report'!$A:$A,0),2)),"",INDEX('Yardi Report'!$A:$E,MATCH('Chart of Accounts'!$A133,'Yardi Report'!$A:$A,0),2))</f>
        <v/>
      </c>
      <c r="C127">
        <f>IF(A127="","",MAX($C$1:C126)+1)</f>
        <v/>
      </c>
      <c r="E127">
        <f>A127&amp;" "&amp;B127</f>
        <v/>
      </c>
      <c r="G127">
        <f>+G126+1</f>
        <v/>
      </c>
    </row>
    <row r="128">
      <c r="A128">
        <f>IF(ISNA(INDEX('Yardi Report'!$A:$E,MATCH('Chart of Accounts'!$A134,'Yardi Report'!$A:$A,0),1)),"",INDEX('Yardi Report'!$A:$E,MATCH('Chart of Accounts'!$A134,'Yardi Report'!$A:$A,0),1))</f>
        <v/>
      </c>
      <c r="B128">
        <f>IF(ISNA(INDEX('Yardi Report'!$A:$E,MATCH('Chart of Accounts'!$A134,'Yardi Report'!$A:$A,0),2)),"",INDEX('Yardi Report'!$A:$E,MATCH('Chart of Accounts'!$A134,'Yardi Report'!$A:$A,0),2))</f>
        <v/>
      </c>
      <c r="C128">
        <f>IF(A128="","",MAX($C$1:C127)+1)</f>
        <v/>
      </c>
      <c r="E128">
        <f>A128&amp;" "&amp;B128</f>
        <v/>
      </c>
      <c r="G128">
        <f>+G127+1</f>
        <v/>
      </c>
    </row>
    <row r="129">
      <c r="A129">
        <f>IF(ISNA(INDEX('Yardi Report'!$A:$E,MATCH('Chart of Accounts'!$A135,'Yardi Report'!$A:$A,0),1)),"",INDEX('Yardi Report'!$A:$E,MATCH('Chart of Accounts'!$A135,'Yardi Report'!$A:$A,0),1))</f>
        <v/>
      </c>
      <c r="B129">
        <f>IF(ISNA(INDEX('Yardi Report'!$A:$E,MATCH('Chart of Accounts'!$A135,'Yardi Report'!$A:$A,0),2)),"",INDEX('Yardi Report'!$A:$E,MATCH('Chart of Accounts'!$A135,'Yardi Report'!$A:$A,0),2))</f>
        <v/>
      </c>
      <c r="C129">
        <f>IF(A129="","",MAX($C$1:C128)+1)</f>
        <v/>
      </c>
      <c r="E129">
        <f>A129&amp;" "&amp;B129</f>
        <v/>
      </c>
      <c r="G129">
        <f>+G128+1</f>
        <v/>
      </c>
    </row>
    <row r="130">
      <c r="A130">
        <f>IF(ISNA(INDEX('Yardi Report'!$A:$E,MATCH('Chart of Accounts'!$A136,'Yardi Report'!$A:$A,0),1)),"",INDEX('Yardi Report'!$A:$E,MATCH('Chart of Accounts'!$A136,'Yardi Report'!$A:$A,0),1))</f>
        <v/>
      </c>
      <c r="B130">
        <f>IF(ISNA(INDEX('Yardi Report'!$A:$E,MATCH('Chart of Accounts'!$A136,'Yardi Report'!$A:$A,0),2)),"",INDEX('Yardi Report'!$A:$E,MATCH('Chart of Accounts'!$A136,'Yardi Report'!$A:$A,0),2))</f>
        <v/>
      </c>
      <c r="C130">
        <f>IF(A130="","",MAX($C$1:C129)+1)</f>
        <v/>
      </c>
      <c r="E130">
        <f>A130&amp;" "&amp;B130</f>
        <v/>
      </c>
      <c r="G130">
        <f>+G129+1</f>
        <v/>
      </c>
    </row>
    <row r="131">
      <c r="A131">
        <f>IF(ISNA(INDEX('Yardi Report'!$A:$E,MATCH('Chart of Accounts'!$A137,'Yardi Report'!$A:$A,0),1)),"",INDEX('Yardi Report'!$A:$E,MATCH('Chart of Accounts'!$A137,'Yardi Report'!$A:$A,0),1))</f>
        <v/>
      </c>
      <c r="B131">
        <f>IF(ISNA(INDEX('Yardi Report'!$A:$E,MATCH('Chart of Accounts'!$A137,'Yardi Report'!$A:$A,0),2)),"",INDEX('Yardi Report'!$A:$E,MATCH('Chart of Accounts'!$A137,'Yardi Report'!$A:$A,0),2))</f>
        <v/>
      </c>
      <c r="C131">
        <f>IF(A131="","",MAX($C$1:C130)+1)</f>
        <v/>
      </c>
      <c r="E131">
        <f>A131&amp;" "&amp;B131</f>
        <v/>
      </c>
      <c r="G131">
        <f>+G130+1</f>
        <v/>
      </c>
    </row>
    <row r="132">
      <c r="A132">
        <f>IF(ISNA(INDEX('Yardi Report'!$A:$E,MATCH('Chart of Accounts'!$A138,'Yardi Report'!$A:$A,0),1)),"",INDEX('Yardi Report'!$A:$E,MATCH('Chart of Accounts'!$A138,'Yardi Report'!$A:$A,0),1))</f>
        <v/>
      </c>
      <c r="B132">
        <f>IF(ISNA(INDEX('Yardi Report'!$A:$E,MATCH('Chart of Accounts'!$A138,'Yardi Report'!$A:$A,0),2)),"",INDEX('Yardi Report'!$A:$E,MATCH('Chart of Accounts'!$A138,'Yardi Report'!$A:$A,0),2))</f>
        <v/>
      </c>
      <c r="C132">
        <f>IF(A132="","",MAX($C$1:C131)+1)</f>
        <v/>
      </c>
      <c r="E132">
        <f>A132&amp;" "&amp;B132</f>
        <v/>
      </c>
      <c r="G132">
        <f>+G131+1</f>
        <v/>
      </c>
    </row>
    <row r="133">
      <c r="A133">
        <f>IF(ISNA(INDEX('Yardi Report'!$A:$E,MATCH('Chart of Accounts'!$A139,'Yardi Report'!$A:$A,0),1)),"",INDEX('Yardi Report'!$A:$E,MATCH('Chart of Accounts'!$A139,'Yardi Report'!$A:$A,0),1))</f>
        <v/>
      </c>
      <c r="B133">
        <f>IF(ISNA(INDEX('Yardi Report'!$A:$E,MATCH('Chart of Accounts'!$A139,'Yardi Report'!$A:$A,0),2)),"",INDEX('Yardi Report'!$A:$E,MATCH('Chart of Accounts'!$A139,'Yardi Report'!$A:$A,0),2))</f>
        <v/>
      </c>
      <c r="C133">
        <f>IF(A133="","",MAX($C$1:C132)+1)</f>
        <v/>
      </c>
      <c r="E133">
        <f>A133&amp;" "&amp;B133</f>
        <v/>
      </c>
      <c r="G133">
        <f>+G132+1</f>
        <v/>
      </c>
    </row>
    <row r="134">
      <c r="A134">
        <f>IF(ISNA(INDEX('Yardi Report'!$A:$E,MATCH('Chart of Accounts'!$A140,'Yardi Report'!$A:$A,0),1)),"",INDEX('Yardi Report'!$A:$E,MATCH('Chart of Accounts'!$A140,'Yardi Report'!$A:$A,0),1))</f>
        <v/>
      </c>
      <c r="B134">
        <f>IF(ISNA(INDEX('Yardi Report'!$A:$E,MATCH('Chart of Accounts'!$A140,'Yardi Report'!$A:$A,0),2)),"",INDEX('Yardi Report'!$A:$E,MATCH('Chart of Accounts'!$A140,'Yardi Report'!$A:$A,0),2))</f>
        <v/>
      </c>
      <c r="C134">
        <f>IF(A134="","",MAX($C$1:C133)+1)</f>
        <v/>
      </c>
      <c r="E134">
        <f>A134&amp;" "&amp;B134</f>
        <v/>
      </c>
      <c r="G134">
        <f>+G133+1</f>
        <v/>
      </c>
    </row>
    <row r="135">
      <c r="A135">
        <f>IF(ISNA(INDEX('Yardi Report'!$A:$E,MATCH('Chart of Accounts'!$A141,'Yardi Report'!$A:$A,0),1)),"",INDEX('Yardi Report'!$A:$E,MATCH('Chart of Accounts'!$A141,'Yardi Report'!$A:$A,0),1))</f>
        <v/>
      </c>
      <c r="B135">
        <f>IF(ISNA(INDEX('Yardi Report'!$A:$E,MATCH('Chart of Accounts'!$A141,'Yardi Report'!$A:$A,0),2)),"",INDEX('Yardi Report'!$A:$E,MATCH('Chart of Accounts'!$A141,'Yardi Report'!$A:$A,0),2))</f>
        <v/>
      </c>
      <c r="C135">
        <f>IF(A135="","",MAX($C$1:C134)+1)</f>
        <v/>
      </c>
      <c r="E135">
        <f>A135&amp;" "&amp;B135</f>
        <v/>
      </c>
      <c r="G135">
        <f>+G134+1</f>
        <v/>
      </c>
    </row>
    <row r="136">
      <c r="A136">
        <f>IF(ISNA(INDEX('Yardi Report'!$A:$E,MATCH('Chart of Accounts'!$A142,'Yardi Report'!$A:$A,0),1)),"",INDEX('Yardi Report'!$A:$E,MATCH('Chart of Accounts'!$A142,'Yardi Report'!$A:$A,0),1))</f>
        <v/>
      </c>
      <c r="B136">
        <f>IF(ISNA(INDEX('Yardi Report'!$A:$E,MATCH('Chart of Accounts'!$A142,'Yardi Report'!$A:$A,0),2)),"",INDEX('Yardi Report'!$A:$E,MATCH('Chart of Accounts'!$A142,'Yardi Report'!$A:$A,0),2))</f>
        <v/>
      </c>
      <c r="C136">
        <f>IF(A136="","",MAX($C$1:C135)+1)</f>
        <v/>
      </c>
      <c r="E136">
        <f>A136&amp;" "&amp;B136</f>
        <v/>
      </c>
      <c r="G136">
        <f>+G135+1</f>
        <v/>
      </c>
    </row>
    <row r="137">
      <c r="A137">
        <f>IF(ISNA(INDEX('Yardi Report'!$A:$E,MATCH('Chart of Accounts'!$A143,'Yardi Report'!$A:$A,0),1)),"",INDEX('Yardi Report'!$A:$E,MATCH('Chart of Accounts'!$A143,'Yardi Report'!$A:$A,0),1))</f>
        <v/>
      </c>
      <c r="B137">
        <f>IF(ISNA(INDEX('Yardi Report'!$A:$E,MATCH('Chart of Accounts'!$A143,'Yardi Report'!$A:$A,0),2)),"",INDEX('Yardi Report'!$A:$E,MATCH('Chart of Accounts'!$A143,'Yardi Report'!$A:$A,0),2))</f>
        <v/>
      </c>
      <c r="C137">
        <f>IF(A137="","",MAX($C$1:C136)+1)</f>
        <v/>
      </c>
      <c r="E137">
        <f>A137&amp;" "&amp;B137</f>
        <v/>
      </c>
      <c r="G137">
        <f>+G136+1</f>
        <v/>
      </c>
    </row>
    <row r="138">
      <c r="A138">
        <f>IF(ISNA(INDEX('Yardi Report'!$A:$E,MATCH('Chart of Accounts'!$A144,'Yardi Report'!$A:$A,0),1)),"",INDEX('Yardi Report'!$A:$E,MATCH('Chart of Accounts'!$A144,'Yardi Report'!$A:$A,0),1))</f>
        <v/>
      </c>
      <c r="B138">
        <f>IF(ISNA(INDEX('Yardi Report'!$A:$E,MATCH('Chart of Accounts'!$A144,'Yardi Report'!$A:$A,0),2)),"",INDEX('Yardi Report'!$A:$E,MATCH('Chart of Accounts'!$A144,'Yardi Report'!$A:$A,0),2))</f>
        <v/>
      </c>
      <c r="C138">
        <f>IF(A138="","",MAX($C$1:C137)+1)</f>
        <v/>
      </c>
      <c r="E138">
        <f>A138&amp;" "&amp;B138</f>
        <v/>
      </c>
      <c r="G138">
        <f>+G137+1</f>
        <v/>
      </c>
    </row>
    <row r="139">
      <c r="A139">
        <f>IF(ISNA(INDEX('Yardi Report'!$A:$E,MATCH('Chart of Accounts'!$A145,'Yardi Report'!$A:$A,0),1)),"",INDEX('Yardi Report'!$A:$E,MATCH('Chart of Accounts'!$A145,'Yardi Report'!$A:$A,0),1))</f>
        <v/>
      </c>
      <c r="B139">
        <f>IF(ISNA(INDEX('Yardi Report'!$A:$E,MATCH('Chart of Accounts'!$A145,'Yardi Report'!$A:$A,0),2)),"",INDEX('Yardi Report'!$A:$E,MATCH('Chart of Accounts'!$A145,'Yardi Report'!$A:$A,0),2))</f>
        <v/>
      </c>
      <c r="C139">
        <f>IF(A139="","",MAX($C$1:C138)+1)</f>
        <v/>
      </c>
      <c r="E139">
        <f>A139&amp;" "&amp;B139</f>
        <v/>
      </c>
      <c r="G139">
        <f>+G138+1</f>
        <v/>
      </c>
    </row>
    <row r="140">
      <c r="A140">
        <f>IF(ISNA(INDEX('Yardi Report'!$A:$E,MATCH('Chart of Accounts'!$A146,'Yardi Report'!$A:$A,0),1)),"",INDEX('Yardi Report'!$A:$E,MATCH('Chart of Accounts'!$A146,'Yardi Report'!$A:$A,0),1))</f>
        <v/>
      </c>
      <c r="B140">
        <f>IF(ISNA(INDEX('Yardi Report'!$A:$E,MATCH('Chart of Accounts'!$A146,'Yardi Report'!$A:$A,0),2)),"",INDEX('Yardi Report'!$A:$E,MATCH('Chart of Accounts'!$A146,'Yardi Report'!$A:$A,0),2))</f>
        <v/>
      </c>
      <c r="C140">
        <f>IF(A140="","",MAX($C$1:C139)+1)</f>
        <v/>
      </c>
      <c r="E140">
        <f>A140&amp;" "&amp;B140</f>
        <v/>
      </c>
      <c r="G140">
        <f>+G139+1</f>
        <v/>
      </c>
    </row>
    <row r="141">
      <c r="A141">
        <f>IF(ISNA(INDEX('Yardi Report'!$A:$E,MATCH('Chart of Accounts'!$A147,'Yardi Report'!$A:$A,0),1)),"",INDEX('Yardi Report'!$A:$E,MATCH('Chart of Accounts'!$A147,'Yardi Report'!$A:$A,0),1))</f>
        <v/>
      </c>
      <c r="B141">
        <f>IF(ISNA(INDEX('Yardi Report'!$A:$E,MATCH('Chart of Accounts'!$A147,'Yardi Report'!$A:$A,0),2)),"",INDEX('Yardi Report'!$A:$E,MATCH('Chart of Accounts'!$A147,'Yardi Report'!$A:$A,0),2))</f>
        <v/>
      </c>
      <c r="C141">
        <f>IF(A141="","",MAX($C$1:C140)+1)</f>
        <v/>
      </c>
      <c r="E141">
        <f>A141&amp;" "&amp;B141</f>
        <v/>
      </c>
      <c r="G141">
        <f>+G140+1</f>
        <v/>
      </c>
    </row>
    <row r="142">
      <c r="A142">
        <f>IF(ISNA(INDEX('Yardi Report'!$A:$E,MATCH('Chart of Accounts'!$A148,'Yardi Report'!$A:$A,0),1)),"",INDEX('Yardi Report'!$A:$E,MATCH('Chart of Accounts'!$A148,'Yardi Report'!$A:$A,0),1))</f>
        <v/>
      </c>
      <c r="B142">
        <f>IF(ISNA(INDEX('Yardi Report'!$A:$E,MATCH('Chart of Accounts'!$A148,'Yardi Report'!$A:$A,0),2)),"",INDEX('Yardi Report'!$A:$E,MATCH('Chart of Accounts'!$A148,'Yardi Report'!$A:$A,0),2))</f>
        <v/>
      </c>
      <c r="C142">
        <f>IF(A142="","",MAX($C$1:C141)+1)</f>
        <v/>
      </c>
      <c r="E142">
        <f>A142&amp;" "&amp;B142</f>
        <v/>
      </c>
      <c r="G142">
        <f>+G141+1</f>
        <v/>
      </c>
    </row>
    <row r="143">
      <c r="A143">
        <f>IF(ISNA(INDEX('Yardi Report'!$A:$E,MATCH('Chart of Accounts'!$A149,'Yardi Report'!$A:$A,0),1)),"",INDEX('Yardi Report'!$A:$E,MATCH('Chart of Accounts'!$A149,'Yardi Report'!$A:$A,0),1))</f>
        <v/>
      </c>
      <c r="B143">
        <f>IF(ISNA(INDEX('Yardi Report'!$A:$E,MATCH('Chart of Accounts'!$A149,'Yardi Report'!$A:$A,0),2)),"",INDEX('Yardi Report'!$A:$E,MATCH('Chart of Accounts'!$A149,'Yardi Report'!$A:$A,0),2))</f>
        <v/>
      </c>
      <c r="C143">
        <f>IF(A143="","",MAX($C$1:C142)+1)</f>
        <v/>
      </c>
      <c r="E143">
        <f>A143&amp;" "&amp;B143</f>
        <v/>
      </c>
      <c r="G143">
        <f>+G142+1</f>
        <v/>
      </c>
    </row>
    <row r="144">
      <c r="A144">
        <f>IF(ISNA(INDEX('Yardi Report'!$A:$E,MATCH('Chart of Accounts'!$A150,'Yardi Report'!$A:$A,0),1)),"",INDEX('Yardi Report'!$A:$E,MATCH('Chart of Accounts'!$A150,'Yardi Report'!$A:$A,0),1))</f>
        <v/>
      </c>
      <c r="B144">
        <f>IF(ISNA(INDEX('Yardi Report'!$A:$E,MATCH('Chart of Accounts'!$A150,'Yardi Report'!$A:$A,0),2)),"",INDEX('Yardi Report'!$A:$E,MATCH('Chart of Accounts'!$A150,'Yardi Report'!$A:$A,0),2))</f>
        <v/>
      </c>
      <c r="C144">
        <f>IF(A144="","",MAX($C$1:C143)+1)</f>
        <v/>
      </c>
      <c r="E144">
        <f>A144&amp;" "&amp;B144</f>
        <v/>
      </c>
      <c r="G144">
        <f>+G143+1</f>
        <v/>
      </c>
    </row>
    <row r="145">
      <c r="A145">
        <f>IF(ISNA(INDEX('Yardi Report'!$A:$E,MATCH('Chart of Accounts'!$A151,'Yardi Report'!$A:$A,0),1)),"",INDEX('Yardi Report'!$A:$E,MATCH('Chart of Accounts'!$A151,'Yardi Report'!$A:$A,0),1))</f>
        <v/>
      </c>
      <c r="B145">
        <f>IF(ISNA(INDEX('Yardi Report'!$A:$E,MATCH('Chart of Accounts'!$A151,'Yardi Report'!$A:$A,0),2)),"",INDEX('Yardi Report'!$A:$E,MATCH('Chart of Accounts'!$A151,'Yardi Report'!$A:$A,0),2))</f>
        <v/>
      </c>
      <c r="C145">
        <f>IF(A145="","",MAX($C$1:C144)+1)</f>
        <v/>
      </c>
      <c r="E145">
        <f>A145&amp;" "&amp;B145</f>
        <v/>
      </c>
      <c r="G145">
        <f>+G144+1</f>
        <v/>
      </c>
    </row>
    <row r="146">
      <c r="A146">
        <f>IF(ISNA(INDEX('Yardi Report'!$A:$E,MATCH('Chart of Accounts'!$A152,'Yardi Report'!$A:$A,0),1)),"",INDEX('Yardi Report'!$A:$E,MATCH('Chart of Accounts'!$A152,'Yardi Report'!$A:$A,0),1))</f>
        <v/>
      </c>
      <c r="B146">
        <f>IF(ISNA(INDEX('Yardi Report'!$A:$E,MATCH('Chart of Accounts'!$A152,'Yardi Report'!$A:$A,0),2)),"",INDEX('Yardi Report'!$A:$E,MATCH('Chart of Accounts'!$A152,'Yardi Report'!$A:$A,0),2))</f>
        <v/>
      </c>
      <c r="C146">
        <f>IF(A146="","",MAX($C$1:C145)+1)</f>
        <v/>
      </c>
      <c r="E146">
        <f>A146&amp;" "&amp;B146</f>
        <v/>
      </c>
      <c r="G146">
        <f>+G145+1</f>
        <v/>
      </c>
    </row>
    <row r="147">
      <c r="A147">
        <f>IF(ISNA(INDEX('Yardi Report'!$A:$E,MATCH('Chart of Accounts'!$A153,'Yardi Report'!$A:$A,0),1)),"",INDEX('Yardi Report'!$A:$E,MATCH('Chart of Accounts'!$A153,'Yardi Report'!$A:$A,0),1))</f>
        <v/>
      </c>
      <c r="B147">
        <f>IF(ISNA(INDEX('Yardi Report'!$A:$E,MATCH('Chart of Accounts'!$A153,'Yardi Report'!$A:$A,0),2)),"",INDEX('Yardi Report'!$A:$E,MATCH('Chart of Accounts'!$A153,'Yardi Report'!$A:$A,0),2))</f>
        <v/>
      </c>
      <c r="C147">
        <f>IF(A147="","",MAX($C$1:C146)+1)</f>
        <v/>
      </c>
      <c r="E147">
        <f>A147&amp;" "&amp;B147</f>
        <v/>
      </c>
      <c r="G147">
        <f>+G146+1</f>
        <v/>
      </c>
    </row>
    <row r="148">
      <c r="A148">
        <f>IF(ISNA(INDEX('Yardi Report'!$A:$E,MATCH('Chart of Accounts'!$A154,'Yardi Report'!$A:$A,0),1)),"",INDEX('Yardi Report'!$A:$E,MATCH('Chart of Accounts'!$A154,'Yardi Report'!$A:$A,0),1))</f>
        <v/>
      </c>
      <c r="B148">
        <f>IF(ISNA(INDEX('Yardi Report'!$A:$E,MATCH('Chart of Accounts'!$A154,'Yardi Report'!$A:$A,0),2)),"",INDEX('Yardi Report'!$A:$E,MATCH('Chart of Accounts'!$A154,'Yardi Report'!$A:$A,0),2))</f>
        <v/>
      </c>
      <c r="C148">
        <f>IF(A148="","",MAX($C$1:C147)+1)</f>
        <v/>
      </c>
      <c r="E148">
        <f>A148&amp;" "&amp;B148</f>
        <v/>
      </c>
      <c r="G148">
        <f>+G147+1</f>
        <v/>
      </c>
    </row>
    <row r="149">
      <c r="A149">
        <f>IF(ISNA(INDEX('Yardi Report'!$A:$E,MATCH('Chart of Accounts'!$A155,'Yardi Report'!$A:$A,0),1)),"",INDEX('Yardi Report'!$A:$E,MATCH('Chart of Accounts'!$A155,'Yardi Report'!$A:$A,0),1))</f>
        <v/>
      </c>
      <c r="B149">
        <f>IF(ISNA(INDEX('Yardi Report'!$A:$E,MATCH('Chart of Accounts'!$A155,'Yardi Report'!$A:$A,0),2)),"",INDEX('Yardi Report'!$A:$E,MATCH('Chart of Accounts'!$A155,'Yardi Report'!$A:$A,0),2))</f>
        <v/>
      </c>
      <c r="C149">
        <f>IF(A149="","",MAX($C$1:C148)+1)</f>
        <v/>
      </c>
      <c r="E149">
        <f>A149&amp;" "&amp;B149</f>
        <v/>
      </c>
      <c r="G149">
        <f>+G148+1</f>
        <v/>
      </c>
    </row>
    <row r="150">
      <c r="A150">
        <f>IF(ISNA(INDEX('Yardi Report'!$A:$E,MATCH('Chart of Accounts'!$A156,'Yardi Report'!$A:$A,0),1)),"",INDEX('Yardi Report'!$A:$E,MATCH('Chart of Accounts'!$A156,'Yardi Report'!$A:$A,0),1))</f>
        <v/>
      </c>
      <c r="B150">
        <f>IF(ISNA(INDEX('Yardi Report'!$A:$E,MATCH('Chart of Accounts'!$A156,'Yardi Report'!$A:$A,0),2)),"",INDEX('Yardi Report'!$A:$E,MATCH('Chart of Accounts'!$A156,'Yardi Report'!$A:$A,0),2))</f>
        <v/>
      </c>
      <c r="C150">
        <f>IF(A150="","",MAX($C$1:C149)+1)</f>
        <v/>
      </c>
      <c r="E150">
        <f>A150&amp;" "&amp;B150</f>
        <v/>
      </c>
      <c r="G150">
        <f>+G149+1</f>
        <v/>
      </c>
    </row>
    <row r="151">
      <c r="A151">
        <f>IF(ISNA(INDEX('Yardi Report'!$A:$E,MATCH('Chart of Accounts'!$A157,'Yardi Report'!$A:$A,0),1)),"",INDEX('Yardi Report'!$A:$E,MATCH('Chart of Accounts'!$A157,'Yardi Report'!$A:$A,0),1))</f>
        <v/>
      </c>
      <c r="B151">
        <f>IF(ISNA(INDEX('Yardi Report'!$A:$E,MATCH('Chart of Accounts'!$A157,'Yardi Report'!$A:$A,0),2)),"",INDEX('Yardi Report'!$A:$E,MATCH('Chart of Accounts'!$A157,'Yardi Report'!$A:$A,0),2))</f>
        <v/>
      </c>
      <c r="C151">
        <f>IF(A151="","",MAX($C$1:C150)+1)</f>
        <v/>
      </c>
      <c r="E151">
        <f>A151&amp;" "&amp;B151</f>
        <v/>
      </c>
      <c r="G151">
        <f>+G150+1</f>
        <v/>
      </c>
    </row>
    <row r="152">
      <c r="A152">
        <f>IF(ISNA(INDEX('Yardi Report'!$A:$E,MATCH('Chart of Accounts'!$A158,'Yardi Report'!$A:$A,0),1)),"",INDEX('Yardi Report'!$A:$E,MATCH('Chart of Accounts'!$A158,'Yardi Report'!$A:$A,0),1))</f>
        <v/>
      </c>
      <c r="B152">
        <f>IF(ISNA(INDEX('Yardi Report'!$A:$E,MATCH('Chart of Accounts'!$A158,'Yardi Report'!$A:$A,0),2)),"",INDEX('Yardi Report'!$A:$E,MATCH('Chart of Accounts'!$A158,'Yardi Report'!$A:$A,0),2))</f>
        <v/>
      </c>
      <c r="C152">
        <f>IF(A152="","",MAX($C$1:C151)+1)</f>
        <v/>
      </c>
      <c r="E152">
        <f>A152&amp;" "&amp;B152</f>
        <v/>
      </c>
      <c r="G152">
        <f>+G151+1</f>
        <v/>
      </c>
    </row>
    <row r="153">
      <c r="A153">
        <f>IF(ISNA(INDEX('Yardi Report'!$A:$E,MATCH('Chart of Accounts'!$A159,'Yardi Report'!$A:$A,0),1)),"",INDEX('Yardi Report'!$A:$E,MATCH('Chart of Accounts'!$A159,'Yardi Report'!$A:$A,0),1))</f>
        <v/>
      </c>
      <c r="B153">
        <f>IF(ISNA(INDEX('Yardi Report'!$A:$E,MATCH('Chart of Accounts'!$A159,'Yardi Report'!$A:$A,0),2)),"",INDEX('Yardi Report'!$A:$E,MATCH('Chart of Accounts'!$A159,'Yardi Report'!$A:$A,0),2))</f>
        <v/>
      </c>
      <c r="C153">
        <f>IF(A153="","",MAX($C$1:C152)+1)</f>
        <v/>
      </c>
      <c r="E153">
        <f>A153&amp;" "&amp;B153</f>
        <v/>
      </c>
      <c r="G153">
        <f>+G152+1</f>
        <v/>
      </c>
    </row>
    <row r="154">
      <c r="A154">
        <f>IF(ISNA(INDEX('Yardi Report'!$A:$E,MATCH('Chart of Accounts'!$A160,'Yardi Report'!$A:$A,0),1)),"",INDEX('Yardi Report'!$A:$E,MATCH('Chart of Accounts'!$A160,'Yardi Report'!$A:$A,0),1))</f>
        <v/>
      </c>
      <c r="B154">
        <f>IF(ISNA(INDEX('Yardi Report'!$A:$E,MATCH('Chart of Accounts'!$A160,'Yardi Report'!$A:$A,0),2)),"",INDEX('Yardi Report'!$A:$E,MATCH('Chart of Accounts'!$A160,'Yardi Report'!$A:$A,0),2))</f>
        <v/>
      </c>
      <c r="C154">
        <f>IF(A154="","",MAX($C$1:C153)+1)</f>
        <v/>
      </c>
      <c r="E154">
        <f>A154&amp;" "&amp;B154</f>
        <v/>
      </c>
      <c r="G154">
        <f>+G153+1</f>
        <v/>
      </c>
    </row>
    <row r="155">
      <c r="A155">
        <f>IF(ISNA(INDEX('Yardi Report'!$A:$E,MATCH('Chart of Accounts'!$A161,'Yardi Report'!$A:$A,0),1)),"",INDEX('Yardi Report'!$A:$E,MATCH('Chart of Accounts'!$A161,'Yardi Report'!$A:$A,0),1))</f>
        <v/>
      </c>
      <c r="B155">
        <f>IF(ISNA(INDEX('Yardi Report'!$A:$E,MATCH('Chart of Accounts'!$A161,'Yardi Report'!$A:$A,0),2)),"",INDEX('Yardi Report'!$A:$E,MATCH('Chart of Accounts'!$A161,'Yardi Report'!$A:$A,0),2))</f>
        <v/>
      </c>
      <c r="C155">
        <f>IF(A155="","",MAX($C$1:C154)+1)</f>
        <v/>
      </c>
      <c r="E155">
        <f>A155&amp;" "&amp;B155</f>
        <v/>
      </c>
      <c r="G155">
        <f>+G154+1</f>
        <v/>
      </c>
    </row>
    <row r="156">
      <c r="A156">
        <f>IF(ISNA(INDEX('Yardi Report'!$A:$E,MATCH('Chart of Accounts'!$A162,'Yardi Report'!$A:$A,0),1)),"",INDEX('Yardi Report'!$A:$E,MATCH('Chart of Accounts'!$A162,'Yardi Report'!$A:$A,0),1))</f>
        <v/>
      </c>
      <c r="B156">
        <f>IF(ISNA(INDEX('Yardi Report'!$A:$E,MATCH('Chart of Accounts'!$A162,'Yardi Report'!$A:$A,0),2)),"",INDEX('Yardi Report'!$A:$E,MATCH('Chart of Accounts'!$A162,'Yardi Report'!$A:$A,0),2))</f>
        <v/>
      </c>
      <c r="C156">
        <f>IF(A156="","",MAX($C$1:C155)+1)</f>
        <v/>
      </c>
      <c r="E156">
        <f>A156&amp;" "&amp;B156</f>
        <v/>
      </c>
      <c r="G156">
        <f>+G155+1</f>
        <v/>
      </c>
    </row>
    <row r="157">
      <c r="A157">
        <f>IF(ISNA(INDEX('Yardi Report'!$A:$E,MATCH('Chart of Accounts'!$A163,'Yardi Report'!$A:$A,0),1)),"",INDEX('Yardi Report'!$A:$E,MATCH('Chart of Accounts'!$A163,'Yardi Report'!$A:$A,0),1))</f>
        <v/>
      </c>
      <c r="B157">
        <f>IF(ISNA(INDEX('Yardi Report'!$A:$E,MATCH('Chart of Accounts'!$A163,'Yardi Report'!$A:$A,0),2)),"",INDEX('Yardi Report'!$A:$E,MATCH('Chart of Accounts'!$A163,'Yardi Report'!$A:$A,0),2))</f>
        <v/>
      </c>
      <c r="C157">
        <f>IF(A157="","",MAX($C$1:C156)+1)</f>
        <v/>
      </c>
      <c r="E157">
        <f>A157&amp;" "&amp;B157</f>
        <v/>
      </c>
      <c r="G157">
        <f>+G156+1</f>
        <v/>
      </c>
    </row>
    <row r="158">
      <c r="A158">
        <f>IF(ISNA(INDEX('Yardi Report'!$A:$E,MATCH('Chart of Accounts'!$A164,'Yardi Report'!$A:$A,0),1)),"",INDEX('Yardi Report'!$A:$E,MATCH('Chart of Accounts'!$A164,'Yardi Report'!$A:$A,0),1))</f>
        <v/>
      </c>
      <c r="B158">
        <f>IF(ISNA(INDEX('Yardi Report'!$A:$E,MATCH('Chart of Accounts'!$A164,'Yardi Report'!$A:$A,0),2)),"",INDEX('Yardi Report'!$A:$E,MATCH('Chart of Accounts'!$A164,'Yardi Report'!$A:$A,0),2))</f>
        <v/>
      </c>
      <c r="C158">
        <f>IF(A158="","",MAX($C$1:C157)+1)</f>
        <v/>
      </c>
      <c r="E158">
        <f>A158&amp;" "&amp;B158</f>
        <v/>
      </c>
      <c r="G158">
        <f>+G157+1</f>
        <v/>
      </c>
    </row>
    <row r="159">
      <c r="A159">
        <f>IF(ISNA(INDEX('Yardi Report'!$A:$E,MATCH('Chart of Accounts'!$A165,'Yardi Report'!$A:$A,0),1)),"",INDEX('Yardi Report'!$A:$E,MATCH('Chart of Accounts'!$A165,'Yardi Report'!$A:$A,0),1))</f>
        <v/>
      </c>
      <c r="B159">
        <f>IF(ISNA(INDEX('Yardi Report'!$A:$E,MATCH('Chart of Accounts'!$A165,'Yardi Report'!$A:$A,0),2)),"",INDEX('Yardi Report'!$A:$E,MATCH('Chart of Accounts'!$A165,'Yardi Report'!$A:$A,0),2))</f>
        <v/>
      </c>
      <c r="C159">
        <f>IF(A159="","",MAX($C$1:C158)+1)</f>
        <v/>
      </c>
      <c r="E159">
        <f>A159&amp;" "&amp;B159</f>
        <v/>
      </c>
      <c r="G159">
        <f>+G158+1</f>
        <v/>
      </c>
    </row>
    <row r="160">
      <c r="A160">
        <f>IF(ISNA(INDEX('Yardi Report'!$A:$E,MATCH('Chart of Accounts'!$A166,'Yardi Report'!$A:$A,0),1)),"",INDEX('Yardi Report'!$A:$E,MATCH('Chart of Accounts'!$A166,'Yardi Report'!$A:$A,0),1))</f>
        <v/>
      </c>
      <c r="B160">
        <f>IF(ISNA(INDEX('Yardi Report'!$A:$E,MATCH('Chart of Accounts'!$A166,'Yardi Report'!$A:$A,0),2)),"",INDEX('Yardi Report'!$A:$E,MATCH('Chart of Accounts'!$A166,'Yardi Report'!$A:$A,0),2))</f>
        <v/>
      </c>
      <c r="C160">
        <f>IF(A160="","",MAX($C$1:C159)+1)</f>
        <v/>
      </c>
      <c r="E160">
        <f>A160&amp;" "&amp;B160</f>
        <v/>
      </c>
      <c r="G160">
        <f>+G159+1</f>
        <v/>
      </c>
    </row>
    <row r="161">
      <c r="A161">
        <f>IF(ISNA(INDEX('Yardi Report'!$A:$E,MATCH('Chart of Accounts'!$A167,'Yardi Report'!$A:$A,0),1)),"",INDEX('Yardi Report'!$A:$E,MATCH('Chart of Accounts'!$A167,'Yardi Report'!$A:$A,0),1))</f>
        <v/>
      </c>
      <c r="B161">
        <f>IF(ISNA(INDEX('Yardi Report'!$A:$E,MATCH('Chart of Accounts'!$A167,'Yardi Report'!$A:$A,0),2)),"",INDEX('Yardi Report'!$A:$E,MATCH('Chart of Accounts'!$A167,'Yardi Report'!$A:$A,0),2))</f>
        <v/>
      </c>
      <c r="C161">
        <f>IF(A161="","",MAX($C$1:C160)+1)</f>
        <v/>
      </c>
      <c r="E161">
        <f>A161&amp;" "&amp;B161</f>
        <v/>
      </c>
      <c r="G161">
        <f>+G160+1</f>
        <v/>
      </c>
    </row>
    <row r="162">
      <c r="A162">
        <f>IF(ISNA(INDEX('Yardi Report'!$A:$E,MATCH('Chart of Accounts'!$A168,'Yardi Report'!$A:$A,0),1)),"",INDEX('Yardi Report'!$A:$E,MATCH('Chart of Accounts'!$A168,'Yardi Report'!$A:$A,0),1))</f>
        <v/>
      </c>
      <c r="B162">
        <f>IF(ISNA(INDEX('Yardi Report'!$A:$E,MATCH('Chart of Accounts'!$A168,'Yardi Report'!$A:$A,0),2)),"",INDEX('Yardi Report'!$A:$E,MATCH('Chart of Accounts'!$A168,'Yardi Report'!$A:$A,0),2))</f>
        <v/>
      </c>
      <c r="C162">
        <f>IF(A162="","",MAX($C$1:C161)+1)</f>
        <v/>
      </c>
      <c r="E162">
        <f>A162&amp;" "&amp;B162</f>
        <v/>
      </c>
      <c r="G162">
        <f>+G161+1</f>
        <v/>
      </c>
    </row>
    <row r="163">
      <c r="A163">
        <f>IF(ISNA(INDEX('Yardi Report'!$A:$E,MATCH('Chart of Accounts'!$A169,'Yardi Report'!$A:$A,0),1)),"",INDEX('Yardi Report'!$A:$E,MATCH('Chart of Accounts'!$A169,'Yardi Report'!$A:$A,0),1))</f>
        <v/>
      </c>
      <c r="B163">
        <f>IF(ISNA(INDEX('Yardi Report'!$A:$E,MATCH('Chart of Accounts'!$A169,'Yardi Report'!$A:$A,0),2)),"",INDEX('Yardi Report'!$A:$E,MATCH('Chart of Accounts'!$A169,'Yardi Report'!$A:$A,0),2))</f>
        <v/>
      </c>
      <c r="C163">
        <f>IF(A163="","",MAX($C$1:C162)+1)</f>
        <v/>
      </c>
      <c r="E163">
        <f>A163&amp;" "&amp;B163</f>
        <v/>
      </c>
      <c r="G163">
        <f>+G162+1</f>
        <v/>
      </c>
    </row>
    <row r="164">
      <c r="A164">
        <f>IF(ISNA(INDEX('Yardi Report'!$A:$E,MATCH('Chart of Accounts'!$A170,'Yardi Report'!$A:$A,0),1)),"",INDEX('Yardi Report'!$A:$E,MATCH('Chart of Accounts'!$A170,'Yardi Report'!$A:$A,0),1))</f>
        <v/>
      </c>
      <c r="B164">
        <f>IF(ISNA(INDEX('Yardi Report'!$A:$E,MATCH('Chart of Accounts'!$A170,'Yardi Report'!$A:$A,0),2)),"",INDEX('Yardi Report'!$A:$E,MATCH('Chart of Accounts'!$A170,'Yardi Report'!$A:$A,0),2))</f>
        <v/>
      </c>
      <c r="C164">
        <f>IF(A164="","",MAX($C$1:C163)+1)</f>
        <v/>
      </c>
      <c r="E164">
        <f>A164&amp;" "&amp;B164</f>
        <v/>
      </c>
      <c r="G164">
        <f>+G163+1</f>
        <v/>
      </c>
    </row>
    <row r="165">
      <c r="A165">
        <f>IF(ISNA(INDEX('Yardi Report'!$A:$E,MATCH('Chart of Accounts'!$A171,'Yardi Report'!$A:$A,0),1)),"",INDEX('Yardi Report'!$A:$E,MATCH('Chart of Accounts'!$A171,'Yardi Report'!$A:$A,0),1))</f>
        <v/>
      </c>
      <c r="B165">
        <f>IF(ISNA(INDEX('Yardi Report'!$A:$E,MATCH('Chart of Accounts'!$A171,'Yardi Report'!$A:$A,0),2)),"",INDEX('Yardi Report'!$A:$E,MATCH('Chart of Accounts'!$A171,'Yardi Report'!$A:$A,0),2))</f>
        <v/>
      </c>
      <c r="C165">
        <f>IF(A165="","",MAX($C$1:C164)+1)</f>
        <v/>
      </c>
      <c r="E165">
        <f>A165&amp;" "&amp;B165</f>
        <v/>
      </c>
      <c r="G165">
        <f>+G164+1</f>
        <v/>
      </c>
    </row>
    <row r="166">
      <c r="A166">
        <f>IF(ISNA(INDEX('Yardi Report'!$A:$E,MATCH('Chart of Accounts'!$A172,'Yardi Report'!$A:$A,0),1)),"",INDEX('Yardi Report'!$A:$E,MATCH('Chart of Accounts'!$A172,'Yardi Report'!$A:$A,0),1))</f>
        <v/>
      </c>
      <c r="B166">
        <f>IF(ISNA(INDEX('Yardi Report'!$A:$E,MATCH('Chart of Accounts'!$A172,'Yardi Report'!$A:$A,0),2)),"",INDEX('Yardi Report'!$A:$E,MATCH('Chart of Accounts'!$A172,'Yardi Report'!$A:$A,0),2))</f>
        <v/>
      </c>
      <c r="C166">
        <f>IF(A166="","",MAX($C$1:C165)+1)</f>
        <v/>
      </c>
      <c r="E166">
        <f>A166&amp;" "&amp;B166</f>
        <v/>
      </c>
      <c r="G166">
        <f>+G165+1</f>
        <v/>
      </c>
    </row>
    <row r="167">
      <c r="A167">
        <f>IF(ISNA(INDEX('Yardi Report'!$A:$E,MATCH('Chart of Accounts'!$A173,'Yardi Report'!$A:$A,0),1)),"",INDEX('Yardi Report'!$A:$E,MATCH('Chart of Accounts'!$A173,'Yardi Report'!$A:$A,0),1))</f>
        <v/>
      </c>
      <c r="B167">
        <f>IF(ISNA(INDEX('Yardi Report'!$A:$E,MATCH('Chart of Accounts'!$A173,'Yardi Report'!$A:$A,0),2)),"",INDEX('Yardi Report'!$A:$E,MATCH('Chart of Accounts'!$A173,'Yardi Report'!$A:$A,0),2))</f>
        <v/>
      </c>
      <c r="C167">
        <f>IF(A167="","",MAX($C$1:C166)+1)</f>
        <v/>
      </c>
      <c r="E167">
        <f>A167&amp;" "&amp;B167</f>
        <v/>
      </c>
      <c r="G167">
        <f>+G166+1</f>
        <v/>
      </c>
    </row>
    <row r="168">
      <c r="A168">
        <f>IF(ISNA(INDEX('Yardi Report'!$A:$E,MATCH('Chart of Accounts'!$A174,'Yardi Report'!$A:$A,0),1)),"",INDEX('Yardi Report'!$A:$E,MATCH('Chart of Accounts'!$A174,'Yardi Report'!$A:$A,0),1))</f>
        <v/>
      </c>
      <c r="B168">
        <f>IF(ISNA(INDEX('Yardi Report'!$A:$E,MATCH('Chart of Accounts'!$A174,'Yardi Report'!$A:$A,0),2)),"",INDEX('Yardi Report'!$A:$E,MATCH('Chart of Accounts'!$A174,'Yardi Report'!$A:$A,0),2))</f>
        <v/>
      </c>
      <c r="C168">
        <f>IF(A168="","",MAX($C$1:C167)+1)</f>
        <v/>
      </c>
      <c r="E168">
        <f>A168&amp;" "&amp;B168</f>
        <v/>
      </c>
      <c r="G168">
        <f>+G167+1</f>
        <v/>
      </c>
    </row>
    <row r="169">
      <c r="A169">
        <f>IF(ISNA(INDEX('Yardi Report'!$A:$E,MATCH('Chart of Accounts'!$A175,'Yardi Report'!$A:$A,0),1)),"",INDEX('Yardi Report'!$A:$E,MATCH('Chart of Accounts'!$A175,'Yardi Report'!$A:$A,0),1))</f>
        <v/>
      </c>
      <c r="B169">
        <f>IF(ISNA(INDEX('Yardi Report'!$A:$E,MATCH('Chart of Accounts'!$A175,'Yardi Report'!$A:$A,0),2)),"",INDEX('Yardi Report'!$A:$E,MATCH('Chart of Accounts'!$A175,'Yardi Report'!$A:$A,0),2))</f>
        <v/>
      </c>
      <c r="C169">
        <f>IF(A169="","",MAX($C$1:C168)+1)</f>
        <v/>
      </c>
      <c r="E169">
        <f>A169&amp;" "&amp;B169</f>
        <v/>
      </c>
      <c r="G169">
        <f>+G168+1</f>
        <v/>
      </c>
    </row>
    <row r="170">
      <c r="A170">
        <f>IF(ISNA(INDEX('Yardi Report'!$A:$E,MATCH('Chart of Accounts'!$A176,'Yardi Report'!$A:$A,0),1)),"",INDEX('Yardi Report'!$A:$E,MATCH('Chart of Accounts'!$A176,'Yardi Report'!$A:$A,0),1))</f>
        <v/>
      </c>
      <c r="B170">
        <f>IF(ISNA(INDEX('Yardi Report'!$A:$E,MATCH('Chart of Accounts'!$A176,'Yardi Report'!$A:$A,0),2)),"",INDEX('Yardi Report'!$A:$E,MATCH('Chart of Accounts'!$A176,'Yardi Report'!$A:$A,0),2))</f>
        <v/>
      </c>
      <c r="C170">
        <f>IF(A170="","",MAX($C$1:C169)+1)</f>
        <v/>
      </c>
      <c r="E170">
        <f>A170&amp;" "&amp;B170</f>
        <v/>
      </c>
      <c r="G170">
        <f>+G169+1</f>
        <v/>
      </c>
    </row>
    <row r="171">
      <c r="A171">
        <f>IF(ISNA(INDEX('Yardi Report'!$A:$E,MATCH('Chart of Accounts'!$A177,'Yardi Report'!$A:$A,0),1)),"",INDEX('Yardi Report'!$A:$E,MATCH('Chart of Accounts'!$A177,'Yardi Report'!$A:$A,0),1))</f>
        <v/>
      </c>
      <c r="B171">
        <f>IF(ISNA(INDEX('Yardi Report'!$A:$E,MATCH('Chart of Accounts'!$A177,'Yardi Report'!$A:$A,0),2)),"",INDEX('Yardi Report'!$A:$E,MATCH('Chart of Accounts'!$A177,'Yardi Report'!$A:$A,0),2))</f>
        <v/>
      </c>
      <c r="C171">
        <f>IF(A171="","",MAX($C$1:C170)+1)</f>
        <v/>
      </c>
      <c r="E171">
        <f>A171&amp;" "&amp;B171</f>
        <v/>
      </c>
      <c r="G171">
        <f>+G170+1</f>
        <v/>
      </c>
    </row>
    <row r="172">
      <c r="A172">
        <f>IF(ISNA(INDEX('Yardi Report'!$A:$E,MATCH('Chart of Accounts'!$A178,'Yardi Report'!$A:$A,0),1)),"",INDEX('Yardi Report'!$A:$E,MATCH('Chart of Accounts'!$A178,'Yardi Report'!$A:$A,0),1))</f>
        <v/>
      </c>
      <c r="B172">
        <f>IF(ISNA(INDEX('Yardi Report'!$A:$E,MATCH('Chart of Accounts'!$A178,'Yardi Report'!$A:$A,0),2)),"",INDEX('Yardi Report'!$A:$E,MATCH('Chart of Accounts'!$A178,'Yardi Report'!$A:$A,0),2))</f>
        <v/>
      </c>
      <c r="C172">
        <f>IF(A172="","",MAX($C$1:C171)+1)</f>
        <v/>
      </c>
      <c r="E172">
        <f>A172&amp;" "&amp;B172</f>
        <v/>
      </c>
      <c r="G172">
        <f>+G171+1</f>
        <v/>
      </c>
    </row>
    <row r="173">
      <c r="A173">
        <f>IF(ISNA(INDEX('Yardi Report'!$A:$E,MATCH('Chart of Accounts'!$A179,'Yardi Report'!$A:$A,0),1)),"",INDEX('Yardi Report'!$A:$E,MATCH('Chart of Accounts'!$A179,'Yardi Report'!$A:$A,0),1))</f>
        <v/>
      </c>
      <c r="B173">
        <f>IF(ISNA(INDEX('Yardi Report'!$A:$E,MATCH('Chart of Accounts'!$A179,'Yardi Report'!$A:$A,0),2)),"",INDEX('Yardi Report'!$A:$E,MATCH('Chart of Accounts'!$A179,'Yardi Report'!$A:$A,0),2))</f>
        <v/>
      </c>
      <c r="C173">
        <f>IF(A173="","",MAX($C$1:C172)+1)</f>
        <v/>
      </c>
      <c r="E173">
        <f>A173&amp;" "&amp;B173</f>
        <v/>
      </c>
      <c r="G173">
        <f>+G172+1</f>
        <v/>
      </c>
    </row>
    <row r="174">
      <c r="A174">
        <f>IF(ISNA(INDEX('Yardi Report'!$A:$E,MATCH('Chart of Accounts'!$A180,'Yardi Report'!$A:$A,0),1)),"",INDEX('Yardi Report'!$A:$E,MATCH('Chart of Accounts'!$A180,'Yardi Report'!$A:$A,0),1))</f>
        <v/>
      </c>
      <c r="B174">
        <f>IF(ISNA(INDEX('Yardi Report'!$A:$E,MATCH('Chart of Accounts'!$A180,'Yardi Report'!$A:$A,0),2)),"",INDEX('Yardi Report'!$A:$E,MATCH('Chart of Accounts'!$A180,'Yardi Report'!$A:$A,0),2))</f>
        <v/>
      </c>
      <c r="C174">
        <f>IF(A174="","",MAX($C$1:C173)+1)</f>
        <v/>
      </c>
      <c r="E174">
        <f>A174&amp;" "&amp;B174</f>
        <v/>
      </c>
      <c r="G174">
        <f>+G173+1</f>
        <v/>
      </c>
    </row>
    <row r="175">
      <c r="A175">
        <f>IF(ISNA(INDEX('Yardi Report'!$A:$E,MATCH('Chart of Accounts'!$A181,'Yardi Report'!$A:$A,0),1)),"",INDEX('Yardi Report'!$A:$E,MATCH('Chart of Accounts'!$A181,'Yardi Report'!$A:$A,0),1))</f>
        <v/>
      </c>
      <c r="B175">
        <f>IF(ISNA(INDEX('Yardi Report'!$A:$E,MATCH('Chart of Accounts'!$A181,'Yardi Report'!$A:$A,0),2)),"",INDEX('Yardi Report'!$A:$E,MATCH('Chart of Accounts'!$A181,'Yardi Report'!$A:$A,0),2))</f>
        <v/>
      </c>
      <c r="C175">
        <f>IF(A175="","",MAX($C$1:C174)+1)</f>
        <v/>
      </c>
      <c r="E175">
        <f>A175&amp;" "&amp;B175</f>
        <v/>
      </c>
      <c r="G175">
        <f>+G174+1</f>
        <v/>
      </c>
    </row>
    <row r="176">
      <c r="A176">
        <f>IF(ISNA(INDEX('Yardi Report'!$A:$E,MATCH('Chart of Accounts'!$A182,'Yardi Report'!$A:$A,0),1)),"",INDEX('Yardi Report'!$A:$E,MATCH('Chart of Accounts'!$A182,'Yardi Report'!$A:$A,0),1))</f>
        <v/>
      </c>
      <c r="B176">
        <f>IF(ISNA(INDEX('Yardi Report'!$A:$E,MATCH('Chart of Accounts'!$A182,'Yardi Report'!$A:$A,0),2)),"",INDEX('Yardi Report'!$A:$E,MATCH('Chart of Accounts'!$A182,'Yardi Report'!$A:$A,0),2))</f>
        <v/>
      </c>
      <c r="C176">
        <f>IF(A176="","",MAX($C$1:C175)+1)</f>
        <v/>
      </c>
      <c r="E176">
        <f>A176&amp;" "&amp;B176</f>
        <v/>
      </c>
      <c r="G176">
        <f>+G175+1</f>
        <v/>
      </c>
    </row>
    <row r="177">
      <c r="A177">
        <f>IF(ISNA(INDEX('Yardi Report'!$A:$E,MATCH('Chart of Accounts'!$A183,'Yardi Report'!$A:$A,0),1)),"",INDEX('Yardi Report'!$A:$E,MATCH('Chart of Accounts'!$A183,'Yardi Report'!$A:$A,0),1))</f>
        <v/>
      </c>
      <c r="B177">
        <f>IF(ISNA(INDEX('Yardi Report'!$A:$E,MATCH('Chart of Accounts'!$A183,'Yardi Report'!$A:$A,0),2)),"",INDEX('Yardi Report'!$A:$E,MATCH('Chart of Accounts'!$A183,'Yardi Report'!$A:$A,0),2))</f>
        <v/>
      </c>
      <c r="C177">
        <f>IF(A177="","",MAX($C$1:C176)+1)</f>
        <v/>
      </c>
      <c r="E177">
        <f>A177&amp;" "&amp;B177</f>
        <v/>
      </c>
      <c r="G177">
        <f>+G176+1</f>
        <v/>
      </c>
    </row>
    <row r="178">
      <c r="A178">
        <f>IF(ISNA(INDEX('Yardi Report'!$A:$E,MATCH('Chart of Accounts'!$A184,'Yardi Report'!$A:$A,0),1)),"",INDEX('Yardi Report'!$A:$E,MATCH('Chart of Accounts'!$A184,'Yardi Report'!$A:$A,0),1))</f>
        <v/>
      </c>
      <c r="B178">
        <f>IF(ISNA(INDEX('Yardi Report'!$A:$E,MATCH('Chart of Accounts'!$A184,'Yardi Report'!$A:$A,0),2)),"",INDEX('Yardi Report'!$A:$E,MATCH('Chart of Accounts'!$A184,'Yardi Report'!$A:$A,0),2))</f>
        <v/>
      </c>
      <c r="C178">
        <f>IF(A178="","",MAX($C$1:C177)+1)</f>
        <v/>
      </c>
      <c r="E178">
        <f>A178&amp;" "&amp;B178</f>
        <v/>
      </c>
      <c r="G178">
        <f>+G177+1</f>
        <v/>
      </c>
    </row>
    <row r="179">
      <c r="A179">
        <f>IF(ISNA(INDEX('Yardi Report'!$A:$E,MATCH('Chart of Accounts'!$A185,'Yardi Report'!$A:$A,0),1)),"",INDEX('Yardi Report'!$A:$E,MATCH('Chart of Accounts'!$A185,'Yardi Report'!$A:$A,0),1))</f>
        <v/>
      </c>
      <c r="B179">
        <f>IF(ISNA(INDEX('Yardi Report'!$A:$E,MATCH('Chart of Accounts'!$A185,'Yardi Report'!$A:$A,0),2)),"",INDEX('Yardi Report'!$A:$E,MATCH('Chart of Accounts'!$A185,'Yardi Report'!$A:$A,0),2))</f>
        <v/>
      </c>
      <c r="C179">
        <f>IF(A179="","",MAX($C$1:C178)+1)</f>
        <v/>
      </c>
      <c r="E179">
        <f>A179&amp;" "&amp;B179</f>
        <v/>
      </c>
      <c r="G179">
        <f>+G178+1</f>
        <v/>
      </c>
    </row>
    <row r="180">
      <c r="A180">
        <f>IF(ISNA(INDEX('Yardi Report'!$A:$E,MATCH('Chart of Accounts'!$A186,'Yardi Report'!$A:$A,0),1)),"",INDEX('Yardi Report'!$A:$E,MATCH('Chart of Accounts'!$A186,'Yardi Report'!$A:$A,0),1))</f>
        <v/>
      </c>
      <c r="B180">
        <f>IF(ISNA(INDEX('Yardi Report'!$A:$E,MATCH('Chart of Accounts'!$A186,'Yardi Report'!$A:$A,0),2)),"",INDEX('Yardi Report'!$A:$E,MATCH('Chart of Accounts'!$A186,'Yardi Report'!$A:$A,0),2))</f>
        <v/>
      </c>
      <c r="C180">
        <f>IF(A180="","",MAX($C$1:C179)+1)</f>
        <v/>
      </c>
      <c r="E180">
        <f>A180&amp;" "&amp;B180</f>
        <v/>
      </c>
      <c r="G180">
        <f>+G179+1</f>
        <v/>
      </c>
    </row>
    <row r="181">
      <c r="A181">
        <f>IF(ISNA(INDEX('Yardi Report'!$A:$E,MATCH('Chart of Accounts'!$A187,'Yardi Report'!$A:$A,0),1)),"",INDEX('Yardi Report'!$A:$E,MATCH('Chart of Accounts'!$A187,'Yardi Report'!$A:$A,0),1))</f>
        <v/>
      </c>
      <c r="B181">
        <f>IF(ISNA(INDEX('Yardi Report'!$A:$E,MATCH('Chart of Accounts'!$A187,'Yardi Report'!$A:$A,0),2)),"",INDEX('Yardi Report'!$A:$E,MATCH('Chart of Accounts'!$A187,'Yardi Report'!$A:$A,0),2))</f>
        <v/>
      </c>
      <c r="C181">
        <f>IF(A181="","",MAX($C$1:C180)+1)</f>
        <v/>
      </c>
      <c r="E181">
        <f>A181&amp;" "&amp;B181</f>
        <v/>
      </c>
      <c r="G181">
        <f>+G180+1</f>
        <v/>
      </c>
    </row>
    <row r="182">
      <c r="A182">
        <f>IF(ISNA(INDEX('Yardi Report'!$A:$E,MATCH('Chart of Accounts'!$A188,'Yardi Report'!$A:$A,0),1)),"",INDEX('Yardi Report'!$A:$E,MATCH('Chart of Accounts'!$A188,'Yardi Report'!$A:$A,0),1))</f>
        <v/>
      </c>
      <c r="B182">
        <f>IF(ISNA(INDEX('Yardi Report'!$A:$E,MATCH('Chart of Accounts'!$A188,'Yardi Report'!$A:$A,0),2)),"",INDEX('Yardi Report'!$A:$E,MATCH('Chart of Accounts'!$A188,'Yardi Report'!$A:$A,0),2))</f>
        <v/>
      </c>
      <c r="C182">
        <f>IF(A182="","",MAX($C$1:C181)+1)</f>
        <v/>
      </c>
      <c r="E182">
        <f>A182&amp;" "&amp;B182</f>
        <v/>
      </c>
      <c r="G182">
        <f>+G181+1</f>
        <v/>
      </c>
    </row>
    <row r="183">
      <c r="A183">
        <f>IF(ISNA(INDEX('Yardi Report'!$A:$E,MATCH('Chart of Accounts'!$A189,'Yardi Report'!$A:$A,0),1)),"",INDEX('Yardi Report'!$A:$E,MATCH('Chart of Accounts'!$A189,'Yardi Report'!$A:$A,0),1))</f>
        <v/>
      </c>
      <c r="B183">
        <f>IF(ISNA(INDEX('Yardi Report'!$A:$E,MATCH('Chart of Accounts'!$A189,'Yardi Report'!$A:$A,0),2)),"",INDEX('Yardi Report'!$A:$E,MATCH('Chart of Accounts'!$A189,'Yardi Report'!$A:$A,0),2))</f>
        <v/>
      </c>
      <c r="C183">
        <f>IF(A183="","",MAX($C$1:C182)+1)</f>
        <v/>
      </c>
      <c r="E183">
        <f>A183&amp;" "&amp;B183</f>
        <v/>
      </c>
      <c r="G183">
        <f>+G182+1</f>
        <v/>
      </c>
    </row>
    <row r="184">
      <c r="A184">
        <f>IF(ISNA(INDEX('Yardi Report'!$A:$E,MATCH('Chart of Accounts'!$A190,'Yardi Report'!$A:$A,0),1)),"",INDEX('Yardi Report'!$A:$E,MATCH('Chart of Accounts'!$A190,'Yardi Report'!$A:$A,0),1))</f>
        <v/>
      </c>
      <c r="B184">
        <f>IF(ISNA(INDEX('Yardi Report'!$A:$E,MATCH('Chart of Accounts'!$A190,'Yardi Report'!$A:$A,0),2)),"",INDEX('Yardi Report'!$A:$E,MATCH('Chart of Accounts'!$A190,'Yardi Report'!$A:$A,0),2))</f>
        <v/>
      </c>
      <c r="C184">
        <f>IF(A184="","",MAX($C$1:C183)+1)</f>
        <v/>
      </c>
      <c r="E184">
        <f>A184&amp;" "&amp;B184</f>
        <v/>
      </c>
      <c r="G184">
        <f>+G183+1</f>
        <v/>
      </c>
    </row>
    <row r="185">
      <c r="A185">
        <f>IF(ISNA(INDEX('Yardi Report'!$A:$E,MATCH('Chart of Accounts'!$A191,'Yardi Report'!$A:$A,0),1)),"",INDEX('Yardi Report'!$A:$E,MATCH('Chart of Accounts'!$A191,'Yardi Report'!$A:$A,0),1))</f>
        <v/>
      </c>
      <c r="B185">
        <f>IF(ISNA(INDEX('Yardi Report'!$A:$E,MATCH('Chart of Accounts'!$A191,'Yardi Report'!$A:$A,0),2)),"",INDEX('Yardi Report'!$A:$E,MATCH('Chart of Accounts'!$A191,'Yardi Report'!$A:$A,0),2))</f>
        <v/>
      </c>
      <c r="C185">
        <f>IF(A185="","",MAX($C$1:C184)+1)</f>
        <v/>
      </c>
      <c r="E185">
        <f>A185&amp;" "&amp;B185</f>
        <v/>
      </c>
      <c r="G185">
        <f>+G184+1</f>
        <v/>
      </c>
    </row>
    <row r="186">
      <c r="A186">
        <f>IF(ISNA(INDEX('Yardi Report'!$A:$E,MATCH('Chart of Accounts'!$A192,'Yardi Report'!$A:$A,0),1)),"",INDEX('Yardi Report'!$A:$E,MATCH('Chart of Accounts'!$A192,'Yardi Report'!$A:$A,0),1))</f>
        <v/>
      </c>
      <c r="B186">
        <f>IF(ISNA(INDEX('Yardi Report'!$A:$E,MATCH('Chart of Accounts'!$A192,'Yardi Report'!$A:$A,0),2)),"",INDEX('Yardi Report'!$A:$E,MATCH('Chart of Accounts'!$A192,'Yardi Report'!$A:$A,0),2))</f>
        <v/>
      </c>
      <c r="C186">
        <f>IF(A186="","",MAX($C$1:C185)+1)</f>
        <v/>
      </c>
      <c r="E186">
        <f>A186&amp;" "&amp;B186</f>
        <v/>
      </c>
      <c r="G186">
        <f>+G185+1</f>
        <v/>
      </c>
    </row>
    <row r="187">
      <c r="A187">
        <f>IF(ISNA(INDEX('Yardi Report'!$A:$E,MATCH('Chart of Accounts'!$A193,'Yardi Report'!$A:$A,0),1)),"",INDEX('Yardi Report'!$A:$E,MATCH('Chart of Accounts'!$A193,'Yardi Report'!$A:$A,0),1))</f>
        <v/>
      </c>
      <c r="B187">
        <f>IF(ISNA(INDEX('Yardi Report'!$A:$E,MATCH('Chart of Accounts'!$A193,'Yardi Report'!$A:$A,0),2)),"",INDEX('Yardi Report'!$A:$E,MATCH('Chart of Accounts'!$A193,'Yardi Report'!$A:$A,0),2))</f>
        <v/>
      </c>
      <c r="C187">
        <f>IF(A187="","",MAX($C$1:C186)+1)</f>
        <v/>
      </c>
      <c r="E187">
        <f>A187&amp;" "&amp;B187</f>
        <v/>
      </c>
      <c r="G187">
        <f>+G186+1</f>
        <v/>
      </c>
    </row>
    <row r="188">
      <c r="A188">
        <f>IF(ISNA(INDEX('Yardi Report'!$A:$E,MATCH('Chart of Accounts'!$A194,'Yardi Report'!$A:$A,0),1)),"",INDEX('Yardi Report'!$A:$E,MATCH('Chart of Accounts'!$A194,'Yardi Report'!$A:$A,0),1))</f>
        <v/>
      </c>
      <c r="B188">
        <f>IF(ISNA(INDEX('Yardi Report'!$A:$E,MATCH('Chart of Accounts'!$A194,'Yardi Report'!$A:$A,0),2)),"",INDEX('Yardi Report'!$A:$E,MATCH('Chart of Accounts'!$A194,'Yardi Report'!$A:$A,0),2))</f>
        <v/>
      </c>
      <c r="C188">
        <f>IF(A188="","",MAX($C$1:C187)+1)</f>
        <v/>
      </c>
      <c r="E188">
        <f>A188&amp;" "&amp;B188</f>
        <v/>
      </c>
      <c r="G188">
        <f>+G187+1</f>
        <v/>
      </c>
    </row>
    <row r="189">
      <c r="A189">
        <f>IF(ISNA(INDEX('Yardi Report'!$A:$E,MATCH('Chart of Accounts'!$A195,'Yardi Report'!$A:$A,0),1)),"",INDEX('Yardi Report'!$A:$E,MATCH('Chart of Accounts'!$A195,'Yardi Report'!$A:$A,0),1))</f>
        <v/>
      </c>
      <c r="B189">
        <f>IF(ISNA(INDEX('Yardi Report'!$A:$E,MATCH('Chart of Accounts'!$A195,'Yardi Report'!$A:$A,0),2)),"",INDEX('Yardi Report'!$A:$E,MATCH('Chart of Accounts'!$A195,'Yardi Report'!$A:$A,0),2))</f>
        <v/>
      </c>
      <c r="C189">
        <f>IF(A189="","",MAX($C$1:C188)+1)</f>
        <v/>
      </c>
      <c r="E189">
        <f>A189&amp;" "&amp;B189</f>
        <v/>
      </c>
      <c r="G189">
        <f>+G188+1</f>
        <v/>
      </c>
    </row>
    <row r="190">
      <c r="A190">
        <f>IF(ISNA(INDEX('Yardi Report'!$A:$E,MATCH('Chart of Accounts'!$A196,'Yardi Report'!$A:$A,0),1)),"",INDEX('Yardi Report'!$A:$E,MATCH('Chart of Accounts'!$A196,'Yardi Report'!$A:$A,0),1))</f>
        <v/>
      </c>
      <c r="B190">
        <f>IF(ISNA(INDEX('Yardi Report'!$A:$E,MATCH('Chart of Accounts'!$A196,'Yardi Report'!$A:$A,0),2)),"",INDEX('Yardi Report'!$A:$E,MATCH('Chart of Accounts'!$A196,'Yardi Report'!$A:$A,0),2))</f>
        <v/>
      </c>
      <c r="C190">
        <f>IF(A190="","",MAX($C$1:C189)+1)</f>
        <v/>
      </c>
      <c r="E190">
        <f>A190&amp;" "&amp;B190</f>
        <v/>
      </c>
      <c r="G190">
        <f>+G189+1</f>
        <v/>
      </c>
    </row>
    <row r="191">
      <c r="A191">
        <f>IF(ISNA(INDEX('Yardi Report'!$A:$E,MATCH('Chart of Accounts'!$A197,'Yardi Report'!$A:$A,0),1)),"",INDEX('Yardi Report'!$A:$E,MATCH('Chart of Accounts'!$A197,'Yardi Report'!$A:$A,0),1))</f>
        <v/>
      </c>
      <c r="B191">
        <f>IF(ISNA(INDEX('Yardi Report'!$A:$E,MATCH('Chart of Accounts'!$A197,'Yardi Report'!$A:$A,0),2)),"",INDEX('Yardi Report'!$A:$E,MATCH('Chart of Accounts'!$A197,'Yardi Report'!$A:$A,0),2))</f>
        <v/>
      </c>
      <c r="C191">
        <f>IF(A191="","",MAX($C$1:C190)+1)</f>
        <v/>
      </c>
      <c r="E191">
        <f>A191&amp;" "&amp;B191</f>
        <v/>
      </c>
      <c r="G191">
        <f>+G190+1</f>
        <v/>
      </c>
    </row>
    <row r="192">
      <c r="A192">
        <f>IF(ISNA(INDEX('Yardi Report'!$A:$E,MATCH('Chart of Accounts'!$A198,'Yardi Report'!$A:$A,0),1)),"",INDEX('Yardi Report'!$A:$E,MATCH('Chart of Accounts'!$A198,'Yardi Report'!$A:$A,0),1))</f>
        <v/>
      </c>
      <c r="B192">
        <f>IF(ISNA(INDEX('Yardi Report'!$A:$E,MATCH('Chart of Accounts'!$A198,'Yardi Report'!$A:$A,0),2)),"",INDEX('Yardi Report'!$A:$E,MATCH('Chart of Accounts'!$A198,'Yardi Report'!$A:$A,0),2))</f>
        <v/>
      </c>
      <c r="C192">
        <f>IF(A192="","",MAX($C$1:C191)+1)</f>
        <v/>
      </c>
      <c r="E192">
        <f>A192&amp;" "&amp;B192</f>
        <v/>
      </c>
      <c r="G192">
        <f>+G191+1</f>
        <v/>
      </c>
    </row>
    <row r="193">
      <c r="A193">
        <f>IF(ISNA(INDEX('Yardi Report'!$A:$E,MATCH('Chart of Accounts'!$A199,'Yardi Report'!$A:$A,0),1)),"",INDEX('Yardi Report'!$A:$E,MATCH('Chart of Accounts'!$A199,'Yardi Report'!$A:$A,0),1))</f>
        <v/>
      </c>
      <c r="B193">
        <f>IF(ISNA(INDEX('Yardi Report'!$A:$E,MATCH('Chart of Accounts'!$A199,'Yardi Report'!$A:$A,0),2)),"",INDEX('Yardi Report'!$A:$E,MATCH('Chart of Accounts'!$A199,'Yardi Report'!$A:$A,0),2))</f>
        <v/>
      </c>
      <c r="C193">
        <f>IF(A193="","",MAX($C$1:C192)+1)</f>
        <v/>
      </c>
      <c r="E193">
        <f>A193&amp;" "&amp;B193</f>
        <v/>
      </c>
      <c r="G193">
        <f>+G192+1</f>
        <v/>
      </c>
    </row>
    <row r="194">
      <c r="A194">
        <f>IF(ISNA(INDEX('Yardi Report'!$A:$E,MATCH('Chart of Accounts'!$A200,'Yardi Report'!$A:$A,0),1)),"",INDEX('Yardi Report'!$A:$E,MATCH('Chart of Accounts'!$A200,'Yardi Report'!$A:$A,0),1))</f>
        <v/>
      </c>
      <c r="B194">
        <f>IF(ISNA(INDEX('Yardi Report'!$A:$E,MATCH('Chart of Accounts'!$A200,'Yardi Report'!$A:$A,0),2)),"",INDEX('Yardi Report'!$A:$E,MATCH('Chart of Accounts'!$A200,'Yardi Report'!$A:$A,0),2))</f>
        <v/>
      </c>
      <c r="C194">
        <f>IF(A194="","",MAX($C$1:C193)+1)</f>
        <v/>
      </c>
      <c r="E194">
        <f>A194&amp;" "&amp;B194</f>
        <v/>
      </c>
      <c r="G194">
        <f>+G193+1</f>
        <v/>
      </c>
    </row>
    <row r="195">
      <c r="A195">
        <f>IF(ISNA(INDEX('Yardi Report'!$A:$E,MATCH('Chart of Accounts'!$A201,'Yardi Report'!$A:$A,0),1)),"",INDEX('Yardi Report'!$A:$E,MATCH('Chart of Accounts'!$A201,'Yardi Report'!$A:$A,0),1))</f>
        <v/>
      </c>
      <c r="B195">
        <f>IF(ISNA(INDEX('Yardi Report'!$A:$E,MATCH('Chart of Accounts'!$A201,'Yardi Report'!$A:$A,0),2)),"",INDEX('Yardi Report'!$A:$E,MATCH('Chart of Accounts'!$A201,'Yardi Report'!$A:$A,0),2))</f>
        <v/>
      </c>
      <c r="C195">
        <f>IF(A195="","",MAX($C$1:C194)+1)</f>
        <v/>
      </c>
      <c r="E195">
        <f>A195&amp;" "&amp;B195</f>
        <v/>
      </c>
      <c r="G195">
        <f>+G194+1</f>
        <v/>
      </c>
    </row>
    <row r="196">
      <c r="A196">
        <f>IF(ISNA(INDEX('Yardi Report'!$A:$E,MATCH('Chart of Accounts'!$A202,'Yardi Report'!$A:$A,0),1)),"",INDEX('Yardi Report'!$A:$E,MATCH('Chart of Accounts'!$A202,'Yardi Report'!$A:$A,0),1))</f>
        <v/>
      </c>
      <c r="B196">
        <f>IF(ISNA(INDEX('Yardi Report'!$A:$E,MATCH('Chart of Accounts'!$A202,'Yardi Report'!$A:$A,0),2)),"",INDEX('Yardi Report'!$A:$E,MATCH('Chart of Accounts'!$A202,'Yardi Report'!$A:$A,0),2))</f>
        <v/>
      </c>
      <c r="C196">
        <f>IF(A196="","",MAX($C$1:C195)+1)</f>
        <v/>
      </c>
      <c r="E196">
        <f>A196&amp;" "&amp;B196</f>
        <v/>
      </c>
      <c r="G196">
        <f>+G195+1</f>
        <v/>
      </c>
    </row>
    <row r="197">
      <c r="A197">
        <f>IF(ISNA(INDEX('Yardi Report'!$A:$E,MATCH('Chart of Accounts'!$A203,'Yardi Report'!$A:$A,0),1)),"",INDEX('Yardi Report'!$A:$E,MATCH('Chart of Accounts'!$A203,'Yardi Report'!$A:$A,0),1))</f>
        <v/>
      </c>
      <c r="B197">
        <f>IF(ISNA(INDEX('Yardi Report'!$A:$E,MATCH('Chart of Accounts'!$A203,'Yardi Report'!$A:$A,0),2)),"",INDEX('Yardi Report'!$A:$E,MATCH('Chart of Accounts'!$A203,'Yardi Report'!$A:$A,0),2))</f>
        <v/>
      </c>
      <c r="C197">
        <f>IF(A197="","",MAX($C$1:C196)+1)</f>
        <v/>
      </c>
      <c r="E197">
        <f>A197&amp;" "&amp;B197</f>
        <v/>
      </c>
      <c r="G197">
        <f>+G196+1</f>
        <v/>
      </c>
    </row>
    <row r="198">
      <c r="A198">
        <f>IF(ISNA(INDEX('Yardi Report'!$A:$E,MATCH('Chart of Accounts'!$A204,'Yardi Report'!$A:$A,0),1)),"",INDEX('Yardi Report'!$A:$E,MATCH('Chart of Accounts'!$A204,'Yardi Report'!$A:$A,0),1))</f>
        <v/>
      </c>
      <c r="B198">
        <f>IF(ISNA(INDEX('Yardi Report'!$A:$E,MATCH('Chart of Accounts'!$A204,'Yardi Report'!$A:$A,0),2)),"",INDEX('Yardi Report'!$A:$E,MATCH('Chart of Accounts'!$A204,'Yardi Report'!$A:$A,0),2))</f>
        <v/>
      </c>
      <c r="C198">
        <f>IF(A198="","",MAX($C$1:C197)+1)</f>
        <v/>
      </c>
      <c r="E198">
        <f>A198&amp;" "&amp;B198</f>
        <v/>
      </c>
      <c r="G198">
        <f>+G197+1</f>
        <v/>
      </c>
    </row>
    <row r="199">
      <c r="A199">
        <f>IF(ISNA(INDEX('Yardi Report'!$A:$E,MATCH('Chart of Accounts'!$A205,'Yardi Report'!$A:$A,0),1)),"",INDEX('Yardi Report'!$A:$E,MATCH('Chart of Accounts'!$A205,'Yardi Report'!$A:$A,0),1))</f>
        <v/>
      </c>
      <c r="B199">
        <f>IF(ISNA(INDEX('Yardi Report'!$A:$E,MATCH('Chart of Accounts'!$A205,'Yardi Report'!$A:$A,0),2)),"",INDEX('Yardi Report'!$A:$E,MATCH('Chart of Accounts'!$A205,'Yardi Report'!$A:$A,0),2))</f>
        <v/>
      </c>
      <c r="C199">
        <f>IF(A199="","",MAX($C$1:C198)+1)</f>
        <v/>
      </c>
      <c r="E199">
        <f>A199&amp;" "&amp;B199</f>
        <v/>
      </c>
      <c r="G199">
        <f>+G198+1</f>
        <v/>
      </c>
    </row>
    <row r="200">
      <c r="A200">
        <f>IF(ISNA(INDEX('Yardi Report'!$A:$E,MATCH('Chart of Accounts'!$A206,'Yardi Report'!$A:$A,0),1)),"",INDEX('Yardi Report'!$A:$E,MATCH('Chart of Accounts'!$A206,'Yardi Report'!$A:$A,0),1))</f>
        <v/>
      </c>
      <c r="B200">
        <f>IF(ISNA(INDEX('Yardi Report'!$A:$E,MATCH('Chart of Accounts'!$A206,'Yardi Report'!$A:$A,0),2)),"",INDEX('Yardi Report'!$A:$E,MATCH('Chart of Accounts'!$A206,'Yardi Report'!$A:$A,0),2))</f>
        <v/>
      </c>
      <c r="C200">
        <f>IF(A200="","",MAX($C$1:C199)+1)</f>
        <v/>
      </c>
      <c r="E200">
        <f>A200&amp;" "&amp;B200</f>
        <v/>
      </c>
      <c r="G200">
        <f>+G199+1</f>
        <v/>
      </c>
    </row>
    <row r="201">
      <c r="A201">
        <f>IF(ISNA(INDEX('Yardi Report'!$A:$E,MATCH('Chart of Accounts'!$A207,'Yardi Report'!$A:$A,0),1)),"",INDEX('Yardi Report'!$A:$E,MATCH('Chart of Accounts'!$A207,'Yardi Report'!$A:$A,0),1))</f>
        <v/>
      </c>
      <c r="B201">
        <f>IF(ISNA(INDEX('Yardi Report'!$A:$E,MATCH('Chart of Accounts'!$A207,'Yardi Report'!$A:$A,0),2)),"",INDEX('Yardi Report'!$A:$E,MATCH('Chart of Accounts'!$A207,'Yardi Report'!$A:$A,0),2))</f>
        <v/>
      </c>
      <c r="C201">
        <f>IF(A201="","",MAX($C$1:C200)+1)</f>
        <v/>
      </c>
      <c r="E201">
        <f>A201&amp;" "&amp;B201</f>
        <v/>
      </c>
      <c r="G201">
        <f>+G200+1</f>
        <v/>
      </c>
    </row>
    <row r="202">
      <c r="A202">
        <f>IF(ISNA(INDEX('Yardi Report'!$A:$E,MATCH('Chart of Accounts'!$A208,'Yardi Report'!$A:$A,0),1)),"",INDEX('Yardi Report'!$A:$E,MATCH('Chart of Accounts'!$A208,'Yardi Report'!$A:$A,0),1))</f>
        <v/>
      </c>
      <c r="B202">
        <f>IF(ISNA(INDEX('Yardi Report'!$A:$E,MATCH('Chart of Accounts'!$A208,'Yardi Report'!$A:$A,0),2)),"",INDEX('Yardi Report'!$A:$E,MATCH('Chart of Accounts'!$A208,'Yardi Report'!$A:$A,0),2))</f>
        <v/>
      </c>
      <c r="C202">
        <f>IF(A202="","",MAX($C$1:C201)+1)</f>
        <v/>
      </c>
      <c r="E202">
        <f>A202&amp;" "&amp;B202</f>
        <v/>
      </c>
      <c r="G202">
        <f>+G201+1</f>
        <v/>
      </c>
    </row>
    <row r="203">
      <c r="A203">
        <f>IF(ISNA(INDEX('Yardi Report'!$A:$E,MATCH('Chart of Accounts'!$A209,'Yardi Report'!$A:$A,0),1)),"",INDEX('Yardi Report'!$A:$E,MATCH('Chart of Accounts'!$A209,'Yardi Report'!$A:$A,0),1))</f>
        <v/>
      </c>
      <c r="B203">
        <f>IF(ISNA(INDEX('Yardi Report'!$A:$E,MATCH('Chart of Accounts'!$A209,'Yardi Report'!$A:$A,0),2)),"",INDEX('Yardi Report'!$A:$E,MATCH('Chart of Accounts'!$A209,'Yardi Report'!$A:$A,0),2))</f>
        <v/>
      </c>
      <c r="C203">
        <f>IF(A203="","",MAX($C$1:C202)+1)</f>
        <v/>
      </c>
      <c r="E203">
        <f>A203&amp;" "&amp;B203</f>
        <v/>
      </c>
      <c r="G203">
        <f>+G202+1</f>
        <v/>
      </c>
    </row>
    <row r="204">
      <c r="A204">
        <f>IF(ISNA(INDEX('Yardi Report'!$A:$E,MATCH('Chart of Accounts'!$A210,'Yardi Report'!$A:$A,0),1)),"",INDEX('Yardi Report'!$A:$E,MATCH('Chart of Accounts'!$A210,'Yardi Report'!$A:$A,0),1))</f>
        <v/>
      </c>
      <c r="B204">
        <f>IF(ISNA(INDEX('Yardi Report'!$A:$E,MATCH('Chart of Accounts'!$A210,'Yardi Report'!$A:$A,0),2)),"",INDEX('Yardi Report'!$A:$E,MATCH('Chart of Accounts'!$A210,'Yardi Report'!$A:$A,0),2))</f>
        <v/>
      </c>
      <c r="C204">
        <f>IF(A204="","",MAX($C$1:C203)+1)</f>
        <v/>
      </c>
      <c r="E204">
        <f>A204&amp;" "&amp;B204</f>
        <v/>
      </c>
      <c r="G204">
        <f>+G203+1</f>
        <v/>
      </c>
    </row>
    <row r="205">
      <c r="A205">
        <f>IF(ISNA(INDEX('Yardi Report'!$A:$E,MATCH('Chart of Accounts'!$A211,'Yardi Report'!$A:$A,0),1)),"",INDEX('Yardi Report'!$A:$E,MATCH('Chart of Accounts'!$A211,'Yardi Report'!$A:$A,0),1))</f>
        <v/>
      </c>
      <c r="B205">
        <f>IF(ISNA(INDEX('Yardi Report'!$A:$E,MATCH('Chart of Accounts'!$A211,'Yardi Report'!$A:$A,0),2)),"",INDEX('Yardi Report'!$A:$E,MATCH('Chart of Accounts'!$A211,'Yardi Report'!$A:$A,0),2))</f>
        <v/>
      </c>
      <c r="C205">
        <f>IF(A205="","",MAX($C$1:C204)+1)</f>
        <v/>
      </c>
      <c r="E205">
        <f>A205&amp;" "&amp;B205</f>
        <v/>
      </c>
      <c r="G205">
        <f>+G204+1</f>
        <v/>
      </c>
    </row>
    <row r="206">
      <c r="A206">
        <f>IF(ISNA(INDEX('Yardi Report'!$A:$E,MATCH('Chart of Accounts'!$A212,'Yardi Report'!$A:$A,0),1)),"",INDEX('Yardi Report'!$A:$E,MATCH('Chart of Accounts'!$A212,'Yardi Report'!$A:$A,0),1))</f>
        <v/>
      </c>
      <c r="B206">
        <f>IF(ISNA(INDEX('Yardi Report'!$A:$E,MATCH('Chart of Accounts'!$A212,'Yardi Report'!$A:$A,0),2)),"",INDEX('Yardi Report'!$A:$E,MATCH('Chart of Accounts'!$A212,'Yardi Report'!$A:$A,0),2))</f>
        <v/>
      </c>
      <c r="C206">
        <f>IF(A206="","",MAX($C$1:C205)+1)</f>
        <v/>
      </c>
      <c r="E206">
        <f>A206&amp;" "&amp;B206</f>
        <v/>
      </c>
      <c r="G206">
        <f>+G205+1</f>
        <v/>
      </c>
    </row>
    <row r="207">
      <c r="A207">
        <f>IF(ISNA(INDEX('Yardi Report'!$A:$E,MATCH('Chart of Accounts'!$A213,'Yardi Report'!$A:$A,0),1)),"",INDEX('Yardi Report'!$A:$E,MATCH('Chart of Accounts'!$A213,'Yardi Report'!$A:$A,0),1))</f>
        <v/>
      </c>
      <c r="B207">
        <f>IF(ISNA(INDEX('Yardi Report'!$A:$E,MATCH('Chart of Accounts'!$A213,'Yardi Report'!$A:$A,0),2)),"",INDEX('Yardi Report'!$A:$E,MATCH('Chart of Accounts'!$A213,'Yardi Report'!$A:$A,0),2))</f>
        <v/>
      </c>
      <c r="C207">
        <f>IF(A207="","",MAX($C$1:C206)+1)</f>
        <v/>
      </c>
      <c r="E207">
        <f>A207&amp;" "&amp;B207</f>
        <v/>
      </c>
      <c r="G207">
        <f>+G206+1</f>
        <v/>
      </c>
    </row>
    <row r="208">
      <c r="A208">
        <f>IF(ISNA(INDEX('Yardi Report'!$A:$E,MATCH('Chart of Accounts'!$A214,'Yardi Report'!$A:$A,0),1)),"",INDEX('Yardi Report'!$A:$E,MATCH('Chart of Accounts'!$A214,'Yardi Report'!$A:$A,0),1))</f>
        <v/>
      </c>
      <c r="B208">
        <f>IF(ISNA(INDEX('Yardi Report'!$A:$E,MATCH('Chart of Accounts'!$A214,'Yardi Report'!$A:$A,0),2)),"",INDEX('Yardi Report'!$A:$E,MATCH('Chart of Accounts'!$A214,'Yardi Report'!$A:$A,0),2))</f>
        <v/>
      </c>
      <c r="C208">
        <f>IF(A208="","",MAX($C$1:C207)+1)</f>
        <v/>
      </c>
      <c r="E208">
        <f>A208&amp;" "&amp;B208</f>
        <v/>
      </c>
      <c r="G208">
        <f>+G207+1</f>
        <v/>
      </c>
    </row>
    <row r="209">
      <c r="A209">
        <f>IF(ISNA(INDEX('Yardi Report'!$A:$E,MATCH('Chart of Accounts'!$A215,'Yardi Report'!$A:$A,0),1)),"",INDEX('Yardi Report'!$A:$E,MATCH('Chart of Accounts'!$A215,'Yardi Report'!$A:$A,0),1))</f>
        <v/>
      </c>
      <c r="B209">
        <f>IF(ISNA(INDEX('Yardi Report'!$A:$E,MATCH('Chart of Accounts'!$A215,'Yardi Report'!$A:$A,0),2)),"",INDEX('Yardi Report'!$A:$E,MATCH('Chart of Accounts'!$A215,'Yardi Report'!$A:$A,0),2))</f>
        <v/>
      </c>
      <c r="C209">
        <f>IF(A209="","",MAX($C$1:C208)+1)</f>
        <v/>
      </c>
      <c r="E209">
        <f>A209&amp;" "&amp;B209</f>
        <v/>
      </c>
      <c r="G209">
        <f>+G208+1</f>
        <v/>
      </c>
    </row>
    <row r="210">
      <c r="A210">
        <f>IF(ISNA(INDEX('Yardi Report'!$A:$E,MATCH('Chart of Accounts'!$A216,'Yardi Report'!$A:$A,0),1)),"",INDEX('Yardi Report'!$A:$E,MATCH('Chart of Accounts'!$A216,'Yardi Report'!$A:$A,0),1))</f>
        <v/>
      </c>
      <c r="B210">
        <f>IF(ISNA(INDEX('Yardi Report'!$A:$E,MATCH('Chart of Accounts'!$A216,'Yardi Report'!$A:$A,0),2)),"",INDEX('Yardi Report'!$A:$E,MATCH('Chart of Accounts'!$A216,'Yardi Report'!$A:$A,0),2))</f>
        <v/>
      </c>
      <c r="C210">
        <f>IF(A210="","",MAX($C$1:C209)+1)</f>
        <v/>
      </c>
      <c r="E210">
        <f>A210&amp;" "&amp;B210</f>
        <v/>
      </c>
      <c r="G210">
        <f>+G209+1</f>
        <v/>
      </c>
    </row>
    <row r="211">
      <c r="A211">
        <f>IF(ISNA(INDEX('Yardi Report'!$A:$E,MATCH('Chart of Accounts'!$A217,'Yardi Report'!$A:$A,0),1)),"",INDEX('Yardi Report'!$A:$E,MATCH('Chart of Accounts'!$A217,'Yardi Report'!$A:$A,0),1))</f>
        <v/>
      </c>
      <c r="B211">
        <f>IF(ISNA(INDEX('Yardi Report'!$A:$E,MATCH('Chart of Accounts'!$A217,'Yardi Report'!$A:$A,0),2)),"",INDEX('Yardi Report'!$A:$E,MATCH('Chart of Accounts'!$A217,'Yardi Report'!$A:$A,0),2))</f>
        <v/>
      </c>
      <c r="C211">
        <f>IF(A211="","",MAX($C$1:C210)+1)</f>
        <v/>
      </c>
      <c r="E211">
        <f>A211&amp;" "&amp;B211</f>
        <v/>
      </c>
      <c r="G211">
        <f>+G210+1</f>
        <v/>
      </c>
    </row>
    <row r="212">
      <c r="A212">
        <f>IF(ISNA(INDEX('Yardi Report'!$A:$E,MATCH('Chart of Accounts'!$A218,'Yardi Report'!$A:$A,0),1)),"",INDEX('Yardi Report'!$A:$E,MATCH('Chart of Accounts'!$A218,'Yardi Report'!$A:$A,0),1))</f>
        <v/>
      </c>
      <c r="B212">
        <f>IF(ISNA(INDEX('Yardi Report'!$A:$E,MATCH('Chart of Accounts'!$A218,'Yardi Report'!$A:$A,0),2)),"",INDEX('Yardi Report'!$A:$E,MATCH('Chart of Accounts'!$A218,'Yardi Report'!$A:$A,0),2))</f>
        <v/>
      </c>
      <c r="C212">
        <f>IF(A212="","",MAX($C$1:C211)+1)</f>
        <v/>
      </c>
      <c r="E212">
        <f>A212&amp;" "&amp;B212</f>
        <v/>
      </c>
      <c r="G212">
        <f>+G211+1</f>
        <v/>
      </c>
    </row>
    <row r="213">
      <c r="A213">
        <f>IF(ISNA(INDEX('Yardi Report'!$A:$E,MATCH('Chart of Accounts'!$A219,'Yardi Report'!$A:$A,0),1)),"",INDEX('Yardi Report'!$A:$E,MATCH('Chart of Accounts'!$A219,'Yardi Report'!$A:$A,0),1))</f>
        <v/>
      </c>
      <c r="B213">
        <f>IF(ISNA(INDEX('Yardi Report'!$A:$E,MATCH('Chart of Accounts'!$A219,'Yardi Report'!$A:$A,0),2)),"",INDEX('Yardi Report'!$A:$E,MATCH('Chart of Accounts'!$A219,'Yardi Report'!$A:$A,0),2))</f>
        <v/>
      </c>
      <c r="C213">
        <f>IF(A213="","",MAX($C$1:C212)+1)</f>
        <v/>
      </c>
      <c r="E213">
        <f>A213&amp;" "&amp;B213</f>
        <v/>
      </c>
      <c r="G213">
        <f>+G212+1</f>
        <v/>
      </c>
    </row>
    <row r="214">
      <c r="A214">
        <f>IF(ISNA(INDEX('Yardi Report'!$A:$E,MATCH('Chart of Accounts'!$A220,'Yardi Report'!$A:$A,0),1)),"",INDEX('Yardi Report'!$A:$E,MATCH('Chart of Accounts'!$A220,'Yardi Report'!$A:$A,0),1))</f>
        <v/>
      </c>
      <c r="B214">
        <f>IF(ISNA(INDEX('Yardi Report'!$A:$E,MATCH('Chart of Accounts'!$A220,'Yardi Report'!$A:$A,0),2)),"",INDEX('Yardi Report'!$A:$E,MATCH('Chart of Accounts'!$A220,'Yardi Report'!$A:$A,0),2))</f>
        <v/>
      </c>
      <c r="C214">
        <f>IF(A214="","",MAX($C$1:C213)+1)</f>
        <v/>
      </c>
      <c r="E214">
        <f>A214&amp;" "&amp;B214</f>
        <v/>
      </c>
      <c r="G214">
        <f>+G213+1</f>
        <v/>
      </c>
    </row>
    <row r="215">
      <c r="A215">
        <f>IF(ISNA(INDEX('Yardi Report'!$A:$E,MATCH('Chart of Accounts'!$A221,'Yardi Report'!$A:$A,0),1)),"",INDEX('Yardi Report'!$A:$E,MATCH('Chart of Accounts'!$A221,'Yardi Report'!$A:$A,0),1))</f>
        <v/>
      </c>
      <c r="B215">
        <f>IF(ISNA(INDEX('Yardi Report'!$A:$E,MATCH('Chart of Accounts'!$A221,'Yardi Report'!$A:$A,0),2)),"",INDEX('Yardi Report'!$A:$E,MATCH('Chart of Accounts'!$A221,'Yardi Report'!$A:$A,0),2))</f>
        <v/>
      </c>
      <c r="C215">
        <f>IF(A215="","",MAX($C$1:C214)+1)</f>
        <v/>
      </c>
      <c r="E215">
        <f>A215&amp;" "&amp;B215</f>
        <v/>
      </c>
      <c r="G215">
        <f>+G214+1</f>
        <v/>
      </c>
    </row>
    <row r="216">
      <c r="A216">
        <f>IF(ISNA(INDEX('Yardi Report'!$A:$E,MATCH('Chart of Accounts'!$A222,'Yardi Report'!$A:$A,0),1)),"",INDEX('Yardi Report'!$A:$E,MATCH('Chart of Accounts'!$A222,'Yardi Report'!$A:$A,0),1))</f>
        <v/>
      </c>
      <c r="B216">
        <f>IF(ISNA(INDEX('Yardi Report'!$A:$E,MATCH('Chart of Accounts'!$A222,'Yardi Report'!$A:$A,0),2)),"",INDEX('Yardi Report'!$A:$E,MATCH('Chart of Accounts'!$A222,'Yardi Report'!$A:$A,0),2))</f>
        <v/>
      </c>
      <c r="C216">
        <f>IF(A216="","",MAX($C$1:C215)+1)</f>
        <v/>
      </c>
      <c r="E216">
        <f>A216&amp;" "&amp;B216</f>
        <v/>
      </c>
      <c r="G216">
        <f>+G215+1</f>
        <v/>
      </c>
    </row>
    <row r="217">
      <c r="A217">
        <f>IF(ISNA(INDEX('Yardi Report'!$A:$E,MATCH('Chart of Accounts'!$A223,'Yardi Report'!$A:$A,0),1)),"",INDEX('Yardi Report'!$A:$E,MATCH('Chart of Accounts'!$A223,'Yardi Report'!$A:$A,0),1))</f>
        <v/>
      </c>
      <c r="B217">
        <f>IF(ISNA(INDEX('Yardi Report'!$A:$E,MATCH('Chart of Accounts'!$A223,'Yardi Report'!$A:$A,0),2)),"",INDEX('Yardi Report'!$A:$E,MATCH('Chart of Accounts'!$A223,'Yardi Report'!$A:$A,0),2))</f>
        <v/>
      </c>
      <c r="C217">
        <f>IF(A217="","",MAX($C$1:C216)+1)</f>
        <v/>
      </c>
      <c r="E217">
        <f>A217&amp;" "&amp;B217</f>
        <v/>
      </c>
      <c r="G217">
        <f>+G216+1</f>
        <v/>
      </c>
    </row>
    <row r="218">
      <c r="A218">
        <f>IF(ISNA(INDEX('Yardi Report'!$A:$E,MATCH('Chart of Accounts'!$A224,'Yardi Report'!$A:$A,0),1)),"",INDEX('Yardi Report'!$A:$E,MATCH('Chart of Accounts'!$A224,'Yardi Report'!$A:$A,0),1))</f>
        <v/>
      </c>
      <c r="B218">
        <f>IF(ISNA(INDEX('Yardi Report'!$A:$E,MATCH('Chart of Accounts'!$A224,'Yardi Report'!$A:$A,0),2)),"",INDEX('Yardi Report'!$A:$E,MATCH('Chart of Accounts'!$A224,'Yardi Report'!$A:$A,0),2))</f>
        <v/>
      </c>
      <c r="C218">
        <f>IF(A218="","",MAX($C$1:C217)+1)</f>
        <v/>
      </c>
      <c r="E218">
        <f>A218&amp;" "&amp;B218</f>
        <v/>
      </c>
      <c r="G218">
        <f>+G217+1</f>
        <v/>
      </c>
    </row>
    <row r="219">
      <c r="A219">
        <f>IF(ISNA(INDEX('Yardi Report'!$A:$E,MATCH('Chart of Accounts'!$A225,'Yardi Report'!$A:$A,0),1)),"",INDEX('Yardi Report'!$A:$E,MATCH('Chart of Accounts'!$A225,'Yardi Report'!$A:$A,0),1))</f>
        <v/>
      </c>
      <c r="B219">
        <f>IF(ISNA(INDEX('Yardi Report'!$A:$E,MATCH('Chart of Accounts'!$A225,'Yardi Report'!$A:$A,0),2)),"",INDEX('Yardi Report'!$A:$E,MATCH('Chart of Accounts'!$A225,'Yardi Report'!$A:$A,0),2))</f>
        <v/>
      </c>
      <c r="C219">
        <f>IF(A219="","",MAX($C$1:C218)+1)</f>
        <v/>
      </c>
      <c r="E219">
        <f>A219&amp;" "&amp;B219</f>
        <v/>
      </c>
      <c r="G219">
        <f>+G218+1</f>
        <v/>
      </c>
    </row>
    <row r="220">
      <c r="A220">
        <f>IF(ISNA(INDEX('Yardi Report'!$A:$E,MATCH('Chart of Accounts'!$A226,'Yardi Report'!$A:$A,0),1)),"",INDEX('Yardi Report'!$A:$E,MATCH('Chart of Accounts'!$A226,'Yardi Report'!$A:$A,0),1))</f>
        <v/>
      </c>
      <c r="B220">
        <f>IF(ISNA(INDEX('Yardi Report'!$A:$E,MATCH('Chart of Accounts'!$A226,'Yardi Report'!$A:$A,0),2)),"",INDEX('Yardi Report'!$A:$E,MATCH('Chart of Accounts'!$A226,'Yardi Report'!$A:$A,0),2))</f>
        <v/>
      </c>
      <c r="C220">
        <f>IF(A220="","",MAX($C$1:C219)+1)</f>
        <v/>
      </c>
      <c r="E220">
        <f>A220&amp;" "&amp;B220</f>
        <v/>
      </c>
      <c r="G220">
        <f>+G219+1</f>
        <v/>
      </c>
    </row>
    <row r="221">
      <c r="A221">
        <f>IF(ISNA(INDEX('Yardi Report'!$A:$E,MATCH('Chart of Accounts'!$A227,'Yardi Report'!$A:$A,0),1)),"",INDEX('Yardi Report'!$A:$E,MATCH('Chart of Accounts'!$A227,'Yardi Report'!$A:$A,0),1))</f>
        <v/>
      </c>
      <c r="B221">
        <f>IF(ISNA(INDEX('Yardi Report'!$A:$E,MATCH('Chart of Accounts'!$A227,'Yardi Report'!$A:$A,0),2)),"",INDEX('Yardi Report'!$A:$E,MATCH('Chart of Accounts'!$A227,'Yardi Report'!$A:$A,0),2))</f>
        <v/>
      </c>
      <c r="C221">
        <f>IF(A221="","",MAX($C$1:C220)+1)</f>
        <v/>
      </c>
      <c r="E221">
        <f>A221&amp;" "&amp;B221</f>
        <v/>
      </c>
      <c r="G221">
        <f>+G220+1</f>
        <v/>
      </c>
    </row>
    <row r="222">
      <c r="A222">
        <f>IF(ISNA(INDEX('Yardi Report'!$A:$E,MATCH('Chart of Accounts'!$A228,'Yardi Report'!$A:$A,0),1)),"",INDEX('Yardi Report'!$A:$E,MATCH('Chart of Accounts'!$A228,'Yardi Report'!$A:$A,0),1))</f>
        <v/>
      </c>
      <c r="B222">
        <f>IF(ISNA(INDEX('Yardi Report'!$A:$E,MATCH('Chart of Accounts'!$A228,'Yardi Report'!$A:$A,0),2)),"",INDEX('Yardi Report'!$A:$E,MATCH('Chart of Accounts'!$A228,'Yardi Report'!$A:$A,0),2))</f>
        <v/>
      </c>
      <c r="C222">
        <f>IF(A222="","",MAX($C$1:C221)+1)</f>
        <v/>
      </c>
      <c r="E222">
        <f>A222&amp;" "&amp;B222</f>
        <v/>
      </c>
      <c r="G222">
        <f>+G221+1</f>
        <v/>
      </c>
    </row>
    <row r="223">
      <c r="A223">
        <f>IF(ISNA(INDEX('Yardi Report'!$A:$E,MATCH('Chart of Accounts'!$A229,'Yardi Report'!$A:$A,0),1)),"",INDEX('Yardi Report'!$A:$E,MATCH('Chart of Accounts'!$A229,'Yardi Report'!$A:$A,0),1))</f>
        <v/>
      </c>
      <c r="B223">
        <f>IF(ISNA(INDEX('Yardi Report'!$A:$E,MATCH('Chart of Accounts'!$A229,'Yardi Report'!$A:$A,0),2)),"",INDEX('Yardi Report'!$A:$E,MATCH('Chart of Accounts'!$A229,'Yardi Report'!$A:$A,0),2))</f>
        <v/>
      </c>
      <c r="C223">
        <f>IF(A223="","",MAX($C$1:C222)+1)</f>
        <v/>
      </c>
      <c r="E223">
        <f>A223&amp;" "&amp;B223</f>
        <v/>
      </c>
      <c r="G223">
        <f>+G222+1</f>
        <v/>
      </c>
    </row>
    <row r="224">
      <c r="A224">
        <f>IF(ISNA(INDEX('Yardi Report'!$A:$E,MATCH('Chart of Accounts'!$A230,'Yardi Report'!$A:$A,0),1)),"",INDEX('Yardi Report'!$A:$E,MATCH('Chart of Accounts'!$A230,'Yardi Report'!$A:$A,0),1))</f>
        <v/>
      </c>
      <c r="B224">
        <f>IF(ISNA(INDEX('Yardi Report'!$A:$E,MATCH('Chart of Accounts'!$A230,'Yardi Report'!$A:$A,0),2)),"",INDEX('Yardi Report'!$A:$E,MATCH('Chart of Accounts'!$A230,'Yardi Report'!$A:$A,0),2))</f>
        <v/>
      </c>
      <c r="C224">
        <f>IF(A224="","",MAX($C$1:C223)+1)</f>
        <v/>
      </c>
      <c r="E224">
        <f>A224&amp;" "&amp;B224</f>
        <v/>
      </c>
      <c r="G224">
        <f>+G223+1</f>
        <v/>
      </c>
    </row>
    <row r="225">
      <c r="A225">
        <f>IF(ISNA(INDEX('Yardi Report'!$A:$E,MATCH('Chart of Accounts'!$A231,'Yardi Report'!$A:$A,0),1)),"",INDEX('Yardi Report'!$A:$E,MATCH('Chart of Accounts'!$A231,'Yardi Report'!$A:$A,0),1))</f>
        <v/>
      </c>
      <c r="B225">
        <f>IF(ISNA(INDEX('Yardi Report'!$A:$E,MATCH('Chart of Accounts'!$A231,'Yardi Report'!$A:$A,0),2)),"",INDEX('Yardi Report'!$A:$E,MATCH('Chart of Accounts'!$A231,'Yardi Report'!$A:$A,0),2))</f>
        <v/>
      </c>
      <c r="C225">
        <f>IF(A225="","",MAX($C$1:C224)+1)</f>
        <v/>
      </c>
      <c r="E225">
        <f>A225&amp;" "&amp;B225</f>
        <v/>
      </c>
      <c r="G225">
        <f>+G224+1</f>
        <v/>
      </c>
    </row>
    <row r="226">
      <c r="A226">
        <f>IF(ISNA(INDEX('Yardi Report'!$A:$E,MATCH('Chart of Accounts'!$A232,'Yardi Report'!$A:$A,0),1)),"",INDEX('Yardi Report'!$A:$E,MATCH('Chart of Accounts'!$A232,'Yardi Report'!$A:$A,0),1))</f>
        <v/>
      </c>
      <c r="B226">
        <f>IF(ISNA(INDEX('Yardi Report'!$A:$E,MATCH('Chart of Accounts'!$A232,'Yardi Report'!$A:$A,0),2)),"",INDEX('Yardi Report'!$A:$E,MATCH('Chart of Accounts'!$A232,'Yardi Report'!$A:$A,0),2))</f>
        <v/>
      </c>
      <c r="C226">
        <f>IF(A226="","",MAX($C$1:C225)+1)</f>
        <v/>
      </c>
      <c r="E226">
        <f>A226&amp;" "&amp;B226</f>
        <v/>
      </c>
      <c r="G226">
        <f>+G225+1</f>
        <v/>
      </c>
    </row>
    <row r="227">
      <c r="A227">
        <f>IF(ISNA(INDEX('Yardi Report'!$A:$E,MATCH('Chart of Accounts'!$A233,'Yardi Report'!$A:$A,0),1)),"",INDEX('Yardi Report'!$A:$E,MATCH('Chart of Accounts'!$A233,'Yardi Report'!$A:$A,0),1))</f>
        <v/>
      </c>
      <c r="B227">
        <f>IF(ISNA(INDEX('Yardi Report'!$A:$E,MATCH('Chart of Accounts'!$A233,'Yardi Report'!$A:$A,0),2)),"",INDEX('Yardi Report'!$A:$E,MATCH('Chart of Accounts'!$A233,'Yardi Report'!$A:$A,0),2))</f>
        <v/>
      </c>
      <c r="C227">
        <f>IF(A227="","",MAX($C$1:C226)+1)</f>
        <v/>
      </c>
      <c r="E227">
        <f>A227&amp;" "&amp;B227</f>
        <v/>
      </c>
      <c r="G227">
        <f>+G226+1</f>
        <v/>
      </c>
    </row>
    <row r="228">
      <c r="A228">
        <f>IF(ISNA(INDEX('Yardi Report'!$A:$E,MATCH('Chart of Accounts'!$A234,'Yardi Report'!$A:$A,0),1)),"",INDEX('Yardi Report'!$A:$E,MATCH('Chart of Accounts'!$A234,'Yardi Report'!$A:$A,0),1))</f>
        <v/>
      </c>
      <c r="B228">
        <f>IF(ISNA(INDEX('Yardi Report'!$A:$E,MATCH('Chart of Accounts'!$A234,'Yardi Report'!$A:$A,0),2)),"",INDEX('Yardi Report'!$A:$E,MATCH('Chart of Accounts'!$A234,'Yardi Report'!$A:$A,0),2))</f>
        <v/>
      </c>
      <c r="C228">
        <f>IF(A228="","",MAX($C$1:C227)+1)</f>
        <v/>
      </c>
      <c r="E228">
        <f>A228&amp;" "&amp;B228</f>
        <v/>
      </c>
      <c r="G228">
        <f>+G227+1</f>
        <v/>
      </c>
    </row>
    <row r="229">
      <c r="A229">
        <f>IF(ISNA(INDEX('Yardi Report'!$A:$E,MATCH('Chart of Accounts'!$A235,'Yardi Report'!$A:$A,0),1)),"",INDEX('Yardi Report'!$A:$E,MATCH('Chart of Accounts'!$A235,'Yardi Report'!$A:$A,0),1))</f>
        <v/>
      </c>
      <c r="B229">
        <f>IF(ISNA(INDEX('Yardi Report'!$A:$E,MATCH('Chart of Accounts'!$A235,'Yardi Report'!$A:$A,0),2)),"",INDEX('Yardi Report'!$A:$E,MATCH('Chart of Accounts'!$A235,'Yardi Report'!$A:$A,0),2))</f>
        <v/>
      </c>
      <c r="C229">
        <f>IF(A229="","",MAX($C$1:C228)+1)</f>
        <v/>
      </c>
      <c r="E229">
        <f>A229&amp;" "&amp;B229</f>
        <v/>
      </c>
      <c r="G229">
        <f>+G228+1</f>
        <v/>
      </c>
    </row>
    <row r="230">
      <c r="A230">
        <f>IF(ISNA(INDEX('Yardi Report'!$A:$E,MATCH('Chart of Accounts'!$A236,'Yardi Report'!$A:$A,0),1)),"",INDEX('Yardi Report'!$A:$E,MATCH('Chart of Accounts'!$A236,'Yardi Report'!$A:$A,0),1))</f>
        <v/>
      </c>
      <c r="B230">
        <f>IF(ISNA(INDEX('Yardi Report'!$A:$E,MATCH('Chart of Accounts'!$A236,'Yardi Report'!$A:$A,0),2)),"",INDEX('Yardi Report'!$A:$E,MATCH('Chart of Accounts'!$A236,'Yardi Report'!$A:$A,0),2))</f>
        <v/>
      </c>
      <c r="C230">
        <f>IF(A230="","",MAX($C$1:C229)+1)</f>
        <v/>
      </c>
      <c r="E230">
        <f>A230&amp;" "&amp;B230</f>
        <v/>
      </c>
      <c r="G230">
        <f>+G229+1</f>
        <v/>
      </c>
    </row>
    <row r="231">
      <c r="A231">
        <f>IF(ISNA(INDEX('Yardi Report'!$A:$E,MATCH('Chart of Accounts'!$A237,'Yardi Report'!$A:$A,0),1)),"",INDEX('Yardi Report'!$A:$E,MATCH('Chart of Accounts'!$A237,'Yardi Report'!$A:$A,0),1))</f>
        <v/>
      </c>
      <c r="B231">
        <f>IF(ISNA(INDEX('Yardi Report'!$A:$E,MATCH('Chart of Accounts'!$A237,'Yardi Report'!$A:$A,0),2)),"",INDEX('Yardi Report'!$A:$E,MATCH('Chart of Accounts'!$A237,'Yardi Report'!$A:$A,0),2))</f>
        <v/>
      </c>
      <c r="C231">
        <f>IF(A231="","",MAX($C$1:C230)+1)</f>
        <v/>
      </c>
      <c r="E231">
        <f>A231&amp;" "&amp;B231</f>
        <v/>
      </c>
      <c r="G231">
        <f>+G230+1</f>
        <v/>
      </c>
    </row>
    <row r="232">
      <c r="A232">
        <f>IF(ISNA(INDEX('Yardi Report'!$A:$E,MATCH('Chart of Accounts'!$A238,'Yardi Report'!$A:$A,0),1)),"",INDEX('Yardi Report'!$A:$E,MATCH('Chart of Accounts'!$A238,'Yardi Report'!$A:$A,0),1))</f>
        <v/>
      </c>
      <c r="B232">
        <f>IF(ISNA(INDEX('Yardi Report'!$A:$E,MATCH('Chart of Accounts'!$A238,'Yardi Report'!$A:$A,0),2)),"",INDEX('Yardi Report'!$A:$E,MATCH('Chart of Accounts'!$A238,'Yardi Report'!$A:$A,0),2))</f>
        <v/>
      </c>
      <c r="C232">
        <f>IF(A232="","",MAX($C$1:C231)+1)</f>
        <v/>
      </c>
      <c r="E232">
        <f>A232&amp;" "&amp;B232</f>
        <v/>
      </c>
      <c r="G232">
        <f>+G231+1</f>
        <v/>
      </c>
    </row>
    <row r="233">
      <c r="A233">
        <f>IF(ISNA(INDEX('Yardi Report'!$A:$E,MATCH('Chart of Accounts'!$A239,'Yardi Report'!$A:$A,0),1)),"",INDEX('Yardi Report'!$A:$E,MATCH('Chart of Accounts'!$A239,'Yardi Report'!$A:$A,0),1))</f>
        <v/>
      </c>
      <c r="B233">
        <f>IF(ISNA(INDEX('Yardi Report'!$A:$E,MATCH('Chart of Accounts'!$A239,'Yardi Report'!$A:$A,0),2)),"",INDEX('Yardi Report'!$A:$E,MATCH('Chart of Accounts'!$A239,'Yardi Report'!$A:$A,0),2))</f>
        <v/>
      </c>
      <c r="C233">
        <f>IF(A233="","",MAX($C$1:C232)+1)</f>
        <v/>
      </c>
      <c r="E233">
        <f>A233&amp;" "&amp;B233</f>
        <v/>
      </c>
      <c r="G233">
        <f>+G232+1</f>
        <v/>
      </c>
    </row>
    <row r="234">
      <c r="A234">
        <f>IF(ISNA(INDEX('Yardi Report'!$A:$E,MATCH('Chart of Accounts'!$A240,'Yardi Report'!$A:$A,0),1)),"",INDEX('Yardi Report'!$A:$E,MATCH('Chart of Accounts'!$A240,'Yardi Report'!$A:$A,0),1))</f>
        <v/>
      </c>
      <c r="B234">
        <f>IF(ISNA(INDEX('Yardi Report'!$A:$E,MATCH('Chart of Accounts'!$A240,'Yardi Report'!$A:$A,0),2)),"",INDEX('Yardi Report'!$A:$E,MATCH('Chart of Accounts'!$A240,'Yardi Report'!$A:$A,0),2))</f>
        <v/>
      </c>
      <c r="C234">
        <f>IF(A234="","",MAX($C$1:C233)+1)</f>
        <v/>
      </c>
      <c r="E234">
        <f>A234&amp;" "&amp;B234</f>
        <v/>
      </c>
      <c r="G234">
        <f>+G233+1</f>
        <v/>
      </c>
    </row>
    <row r="235">
      <c r="A235">
        <f>IF(ISNA(INDEX('Yardi Report'!$A:$E,MATCH('Chart of Accounts'!$A241,'Yardi Report'!$A:$A,0),1)),"",INDEX('Yardi Report'!$A:$E,MATCH('Chart of Accounts'!$A241,'Yardi Report'!$A:$A,0),1))</f>
        <v/>
      </c>
      <c r="B235">
        <f>IF(ISNA(INDEX('Yardi Report'!$A:$E,MATCH('Chart of Accounts'!$A241,'Yardi Report'!$A:$A,0),2)),"",INDEX('Yardi Report'!$A:$E,MATCH('Chart of Accounts'!$A241,'Yardi Report'!$A:$A,0),2))</f>
        <v/>
      </c>
      <c r="C235">
        <f>IF(A235="","",MAX($C$1:C234)+1)</f>
        <v/>
      </c>
      <c r="E235">
        <f>A235&amp;" "&amp;B235</f>
        <v/>
      </c>
      <c r="G235">
        <f>+G234+1</f>
        <v/>
      </c>
    </row>
    <row r="236">
      <c r="A236">
        <f>IF(ISNA(INDEX('Yardi Report'!$A:$E,MATCH('Chart of Accounts'!$A242,'Yardi Report'!$A:$A,0),1)),"",INDEX('Yardi Report'!$A:$E,MATCH('Chart of Accounts'!$A242,'Yardi Report'!$A:$A,0),1))</f>
        <v/>
      </c>
      <c r="B236">
        <f>IF(ISNA(INDEX('Yardi Report'!$A:$E,MATCH('Chart of Accounts'!$A242,'Yardi Report'!$A:$A,0),2)),"",INDEX('Yardi Report'!$A:$E,MATCH('Chart of Accounts'!$A242,'Yardi Report'!$A:$A,0),2))</f>
        <v/>
      </c>
      <c r="C236">
        <f>IF(A236="","",MAX($C$1:C235)+1)</f>
        <v/>
      </c>
      <c r="E236">
        <f>A236&amp;" "&amp;B236</f>
        <v/>
      </c>
      <c r="G236">
        <f>+G235+1</f>
        <v/>
      </c>
    </row>
    <row r="237">
      <c r="A237">
        <f>IF(ISNA(INDEX('Yardi Report'!$A:$E,MATCH('Chart of Accounts'!$A243,'Yardi Report'!$A:$A,0),1)),"",INDEX('Yardi Report'!$A:$E,MATCH('Chart of Accounts'!$A243,'Yardi Report'!$A:$A,0),1))</f>
        <v/>
      </c>
      <c r="B237">
        <f>IF(ISNA(INDEX('Yardi Report'!$A:$E,MATCH('Chart of Accounts'!$A243,'Yardi Report'!$A:$A,0),2)),"",INDEX('Yardi Report'!$A:$E,MATCH('Chart of Accounts'!$A243,'Yardi Report'!$A:$A,0),2))</f>
        <v/>
      </c>
      <c r="C237">
        <f>IF(A237="","",MAX($C$1:C236)+1)</f>
        <v/>
      </c>
      <c r="E237">
        <f>A237&amp;" "&amp;B237</f>
        <v/>
      </c>
      <c r="G237">
        <f>+G236+1</f>
        <v/>
      </c>
    </row>
    <row r="238">
      <c r="A238">
        <f>IF(ISNA(INDEX('Yardi Report'!$A:$E,MATCH('Chart of Accounts'!$A244,'Yardi Report'!$A:$A,0),1)),"",INDEX('Yardi Report'!$A:$E,MATCH('Chart of Accounts'!$A244,'Yardi Report'!$A:$A,0),1))</f>
        <v/>
      </c>
      <c r="B238">
        <f>IF(ISNA(INDEX('Yardi Report'!$A:$E,MATCH('Chart of Accounts'!$A244,'Yardi Report'!$A:$A,0),2)),"",INDEX('Yardi Report'!$A:$E,MATCH('Chart of Accounts'!$A244,'Yardi Report'!$A:$A,0),2))</f>
        <v/>
      </c>
      <c r="C238">
        <f>IF(A238="","",MAX($C$1:C237)+1)</f>
        <v/>
      </c>
      <c r="E238">
        <f>A238&amp;" "&amp;B238</f>
        <v/>
      </c>
      <c r="G238">
        <f>+G237+1</f>
        <v/>
      </c>
    </row>
    <row r="239">
      <c r="A239">
        <f>IF(ISNA(INDEX('Yardi Report'!$A:$E,MATCH('Chart of Accounts'!$A245,'Yardi Report'!$A:$A,0),1)),"",INDEX('Yardi Report'!$A:$E,MATCH('Chart of Accounts'!$A245,'Yardi Report'!$A:$A,0),1))</f>
        <v/>
      </c>
      <c r="B239">
        <f>IF(ISNA(INDEX('Yardi Report'!$A:$E,MATCH('Chart of Accounts'!$A245,'Yardi Report'!$A:$A,0),2)),"",INDEX('Yardi Report'!$A:$E,MATCH('Chart of Accounts'!$A245,'Yardi Report'!$A:$A,0),2))</f>
        <v/>
      </c>
      <c r="C239">
        <f>IF(A239="","",MAX($C$1:C238)+1)</f>
        <v/>
      </c>
      <c r="E239">
        <f>A239&amp;" "&amp;B239</f>
        <v/>
      </c>
      <c r="G239">
        <f>+G238+1</f>
        <v/>
      </c>
    </row>
    <row r="240">
      <c r="A240">
        <f>IF(ISNA(INDEX('Yardi Report'!$A:$E,MATCH('Chart of Accounts'!$A246,'Yardi Report'!$A:$A,0),1)),"",INDEX('Yardi Report'!$A:$E,MATCH('Chart of Accounts'!$A246,'Yardi Report'!$A:$A,0),1))</f>
        <v/>
      </c>
      <c r="B240">
        <f>IF(ISNA(INDEX('Yardi Report'!$A:$E,MATCH('Chart of Accounts'!$A246,'Yardi Report'!$A:$A,0),2)),"",INDEX('Yardi Report'!$A:$E,MATCH('Chart of Accounts'!$A246,'Yardi Report'!$A:$A,0),2))</f>
        <v/>
      </c>
      <c r="C240">
        <f>IF(A240="","",MAX($C$1:C239)+1)</f>
        <v/>
      </c>
      <c r="E240">
        <f>A240&amp;" "&amp;B240</f>
        <v/>
      </c>
      <c r="G240">
        <f>+G239+1</f>
        <v/>
      </c>
    </row>
    <row r="241">
      <c r="A241">
        <f>IF(ISNA(INDEX('Yardi Report'!$A:$E,MATCH('Chart of Accounts'!$A247,'Yardi Report'!$A:$A,0),1)),"",INDEX('Yardi Report'!$A:$E,MATCH('Chart of Accounts'!$A247,'Yardi Report'!$A:$A,0),1))</f>
        <v/>
      </c>
      <c r="B241">
        <f>IF(ISNA(INDEX('Yardi Report'!$A:$E,MATCH('Chart of Accounts'!$A247,'Yardi Report'!$A:$A,0),2)),"",INDEX('Yardi Report'!$A:$E,MATCH('Chart of Accounts'!$A247,'Yardi Report'!$A:$A,0),2))</f>
        <v/>
      </c>
      <c r="C241">
        <f>IF(A241="","",MAX($C$1:C240)+1)</f>
        <v/>
      </c>
      <c r="E241">
        <f>A241&amp;" "&amp;B241</f>
        <v/>
      </c>
      <c r="G241">
        <f>+G240+1</f>
        <v/>
      </c>
    </row>
    <row r="242">
      <c r="A242">
        <f>IF(ISNA(INDEX('Yardi Report'!$A:$E,MATCH('Chart of Accounts'!$A248,'Yardi Report'!$A:$A,0),1)),"",INDEX('Yardi Report'!$A:$E,MATCH('Chart of Accounts'!$A248,'Yardi Report'!$A:$A,0),1))</f>
        <v/>
      </c>
      <c r="B242">
        <f>IF(ISNA(INDEX('Yardi Report'!$A:$E,MATCH('Chart of Accounts'!$A248,'Yardi Report'!$A:$A,0),2)),"",INDEX('Yardi Report'!$A:$E,MATCH('Chart of Accounts'!$A248,'Yardi Report'!$A:$A,0),2))</f>
        <v/>
      </c>
      <c r="C242">
        <f>IF(A242="","",MAX($C$1:C241)+1)</f>
        <v/>
      </c>
      <c r="E242">
        <f>A242&amp;" "&amp;B242</f>
        <v/>
      </c>
      <c r="G242">
        <f>+G241+1</f>
        <v/>
      </c>
    </row>
    <row r="243">
      <c r="A243">
        <f>IF(ISNA(INDEX('Yardi Report'!$A:$E,MATCH('Chart of Accounts'!$A249,'Yardi Report'!$A:$A,0),1)),"",INDEX('Yardi Report'!$A:$E,MATCH('Chart of Accounts'!$A249,'Yardi Report'!$A:$A,0),1))</f>
        <v/>
      </c>
      <c r="B243">
        <f>IF(ISNA(INDEX('Yardi Report'!$A:$E,MATCH('Chart of Accounts'!$A249,'Yardi Report'!$A:$A,0),2)),"",INDEX('Yardi Report'!$A:$E,MATCH('Chart of Accounts'!$A249,'Yardi Report'!$A:$A,0),2))</f>
        <v/>
      </c>
      <c r="C243">
        <f>IF(A243="","",MAX($C$1:C242)+1)</f>
        <v/>
      </c>
      <c r="E243">
        <f>A243&amp;" "&amp;B243</f>
        <v/>
      </c>
      <c r="G243">
        <f>+G242+1</f>
        <v/>
      </c>
    </row>
    <row r="244">
      <c r="A244">
        <f>IF(ISNA(INDEX('Yardi Report'!$A:$E,MATCH('Chart of Accounts'!$A250,'Yardi Report'!$A:$A,0),1)),"",INDEX('Yardi Report'!$A:$E,MATCH('Chart of Accounts'!$A250,'Yardi Report'!$A:$A,0),1))</f>
        <v/>
      </c>
      <c r="B244">
        <f>IF(ISNA(INDEX('Yardi Report'!$A:$E,MATCH('Chart of Accounts'!$A250,'Yardi Report'!$A:$A,0),2)),"",INDEX('Yardi Report'!$A:$E,MATCH('Chart of Accounts'!$A250,'Yardi Report'!$A:$A,0),2))</f>
        <v/>
      </c>
      <c r="C244">
        <f>IF(A244="","",MAX($C$1:C243)+1)</f>
        <v/>
      </c>
      <c r="E244">
        <f>A244&amp;" "&amp;B244</f>
        <v/>
      </c>
      <c r="G244">
        <f>+G243+1</f>
        <v/>
      </c>
    </row>
    <row r="245">
      <c r="A245">
        <f>IF(ISNA(INDEX('Yardi Report'!$A:$E,MATCH('Chart of Accounts'!$A251,'Yardi Report'!$A:$A,0),1)),"",INDEX('Yardi Report'!$A:$E,MATCH('Chart of Accounts'!$A251,'Yardi Report'!$A:$A,0),1))</f>
        <v/>
      </c>
      <c r="B245">
        <f>IF(ISNA(INDEX('Yardi Report'!$A:$E,MATCH('Chart of Accounts'!$A251,'Yardi Report'!$A:$A,0),2)),"",INDEX('Yardi Report'!$A:$E,MATCH('Chart of Accounts'!$A251,'Yardi Report'!$A:$A,0),2))</f>
        <v/>
      </c>
      <c r="C245">
        <f>IF(A245="","",MAX($C$1:C244)+1)</f>
        <v/>
      </c>
      <c r="E245">
        <f>A245&amp;" "&amp;B245</f>
        <v/>
      </c>
      <c r="G245">
        <f>+G244+1</f>
        <v/>
      </c>
    </row>
    <row r="246">
      <c r="A246">
        <f>IF(ISNA(INDEX('Yardi Report'!$A:$E,MATCH('Chart of Accounts'!$A252,'Yardi Report'!$A:$A,0),1)),"",INDEX('Yardi Report'!$A:$E,MATCH('Chart of Accounts'!$A252,'Yardi Report'!$A:$A,0),1))</f>
        <v/>
      </c>
      <c r="B246">
        <f>IF(ISNA(INDEX('Yardi Report'!$A:$E,MATCH('Chart of Accounts'!$A252,'Yardi Report'!$A:$A,0),2)),"",INDEX('Yardi Report'!$A:$E,MATCH('Chart of Accounts'!$A252,'Yardi Report'!$A:$A,0),2))</f>
        <v/>
      </c>
      <c r="C246">
        <f>IF(A246="","",MAX($C$1:C245)+1)</f>
        <v/>
      </c>
      <c r="E246">
        <f>A246&amp;" "&amp;B246</f>
        <v/>
      </c>
      <c r="G246">
        <f>+G245+1</f>
        <v/>
      </c>
    </row>
    <row r="247">
      <c r="A247">
        <f>IF(ISNA(INDEX('Yardi Report'!$A:$E,MATCH('Chart of Accounts'!$A253,'Yardi Report'!$A:$A,0),1)),"",INDEX('Yardi Report'!$A:$E,MATCH('Chart of Accounts'!$A253,'Yardi Report'!$A:$A,0),1))</f>
        <v/>
      </c>
      <c r="B247">
        <f>IF(ISNA(INDEX('Yardi Report'!$A:$E,MATCH('Chart of Accounts'!$A253,'Yardi Report'!$A:$A,0),2)),"",INDEX('Yardi Report'!$A:$E,MATCH('Chart of Accounts'!$A253,'Yardi Report'!$A:$A,0),2))</f>
        <v/>
      </c>
      <c r="C247">
        <f>IF(A247="","",MAX($C$1:C246)+1)</f>
        <v/>
      </c>
      <c r="E247">
        <f>A247&amp;" "&amp;B247</f>
        <v/>
      </c>
      <c r="G247">
        <f>+G246+1</f>
        <v/>
      </c>
    </row>
    <row r="248">
      <c r="A248">
        <f>IF(ISNA(INDEX('Yardi Report'!$A:$E,MATCH('Chart of Accounts'!$A254,'Yardi Report'!$A:$A,0),1)),"",INDEX('Yardi Report'!$A:$E,MATCH('Chart of Accounts'!$A254,'Yardi Report'!$A:$A,0),1))</f>
        <v/>
      </c>
      <c r="B248">
        <f>IF(ISNA(INDEX('Yardi Report'!$A:$E,MATCH('Chart of Accounts'!$A254,'Yardi Report'!$A:$A,0),2)),"",INDEX('Yardi Report'!$A:$E,MATCH('Chart of Accounts'!$A254,'Yardi Report'!$A:$A,0),2))</f>
        <v/>
      </c>
      <c r="C248">
        <f>IF(A248="","",MAX($C$1:C247)+1)</f>
        <v/>
      </c>
      <c r="E248">
        <f>A248&amp;" "&amp;B248</f>
        <v/>
      </c>
      <c r="G248">
        <f>+G247+1</f>
        <v/>
      </c>
    </row>
    <row r="249">
      <c r="A249">
        <f>IF(ISNA(INDEX('Yardi Report'!$A:$E,MATCH('Chart of Accounts'!$A255,'Yardi Report'!$A:$A,0),1)),"",INDEX('Yardi Report'!$A:$E,MATCH('Chart of Accounts'!$A255,'Yardi Report'!$A:$A,0),1))</f>
        <v/>
      </c>
      <c r="B249">
        <f>IF(ISNA(INDEX('Yardi Report'!$A:$E,MATCH('Chart of Accounts'!$A255,'Yardi Report'!$A:$A,0),2)),"",INDEX('Yardi Report'!$A:$E,MATCH('Chart of Accounts'!$A255,'Yardi Report'!$A:$A,0),2))</f>
        <v/>
      </c>
      <c r="C249">
        <f>IF(A249="","",MAX($C$1:C248)+1)</f>
        <v/>
      </c>
      <c r="E249">
        <f>A249&amp;" "&amp;B249</f>
        <v/>
      </c>
      <c r="G249">
        <f>+G248+1</f>
        <v/>
      </c>
    </row>
    <row r="250">
      <c r="A250">
        <f>IF(ISNA(INDEX('Yardi Report'!$A:$E,MATCH('Chart of Accounts'!$A256,'Yardi Report'!$A:$A,0),1)),"",INDEX('Yardi Report'!$A:$E,MATCH('Chart of Accounts'!$A256,'Yardi Report'!$A:$A,0),1))</f>
        <v/>
      </c>
      <c r="B250">
        <f>IF(ISNA(INDEX('Yardi Report'!$A:$E,MATCH('Chart of Accounts'!$A256,'Yardi Report'!$A:$A,0),2)),"",INDEX('Yardi Report'!$A:$E,MATCH('Chart of Accounts'!$A256,'Yardi Report'!$A:$A,0),2))</f>
        <v/>
      </c>
      <c r="C250">
        <f>IF(A250="","",MAX($C$1:C249)+1)</f>
        <v/>
      </c>
      <c r="E250">
        <f>A250&amp;" "&amp;B250</f>
        <v/>
      </c>
      <c r="G250">
        <f>+G249+1</f>
        <v/>
      </c>
    </row>
    <row r="251">
      <c r="A251">
        <f>IF(ISNA(INDEX('Yardi Report'!$A:$E,MATCH('Chart of Accounts'!$A257,'Yardi Report'!$A:$A,0),1)),"",INDEX('Yardi Report'!$A:$E,MATCH('Chart of Accounts'!$A257,'Yardi Report'!$A:$A,0),1))</f>
        <v/>
      </c>
      <c r="B251">
        <f>IF(ISNA(INDEX('Yardi Report'!$A:$E,MATCH('Chart of Accounts'!$A257,'Yardi Report'!$A:$A,0),2)),"",INDEX('Yardi Report'!$A:$E,MATCH('Chart of Accounts'!$A257,'Yardi Report'!$A:$A,0),2))</f>
        <v/>
      </c>
      <c r="C251">
        <f>IF(A251="","",MAX($C$1:C250)+1)</f>
        <v/>
      </c>
      <c r="E251">
        <f>A251&amp;" "&amp;B251</f>
        <v/>
      </c>
      <c r="G251">
        <f>+G250+1</f>
        <v/>
      </c>
    </row>
    <row r="252">
      <c r="A252">
        <f>IF(ISNA(INDEX('Yardi Report'!$A:$E,MATCH('Chart of Accounts'!$A258,'Yardi Report'!$A:$A,0),1)),"",INDEX('Yardi Report'!$A:$E,MATCH('Chart of Accounts'!$A258,'Yardi Report'!$A:$A,0),1))</f>
        <v/>
      </c>
      <c r="B252">
        <f>IF(ISNA(INDEX('Yardi Report'!$A:$E,MATCH('Chart of Accounts'!$A258,'Yardi Report'!$A:$A,0),2)),"",INDEX('Yardi Report'!$A:$E,MATCH('Chart of Accounts'!$A258,'Yardi Report'!$A:$A,0),2))</f>
        <v/>
      </c>
      <c r="C252">
        <f>IF(A252="","",MAX($C$1:C251)+1)</f>
        <v/>
      </c>
      <c r="E252">
        <f>A252&amp;" "&amp;B252</f>
        <v/>
      </c>
      <c r="G252">
        <f>+G251+1</f>
        <v/>
      </c>
    </row>
    <row r="253">
      <c r="A253">
        <f>IF(ISNA(INDEX('Yardi Report'!$A:$E,MATCH('Chart of Accounts'!$A259,'Yardi Report'!$A:$A,0),1)),"",INDEX('Yardi Report'!$A:$E,MATCH('Chart of Accounts'!$A259,'Yardi Report'!$A:$A,0),1))</f>
        <v/>
      </c>
      <c r="B253">
        <f>IF(ISNA(INDEX('Yardi Report'!$A:$E,MATCH('Chart of Accounts'!$A259,'Yardi Report'!$A:$A,0),2)),"",INDEX('Yardi Report'!$A:$E,MATCH('Chart of Accounts'!$A259,'Yardi Report'!$A:$A,0),2))</f>
        <v/>
      </c>
      <c r="C253">
        <f>IF(A253="","",MAX($C$1:C252)+1)</f>
        <v/>
      </c>
      <c r="E253">
        <f>A253&amp;" "&amp;B253</f>
        <v/>
      </c>
      <c r="G253">
        <f>+G252+1</f>
        <v/>
      </c>
    </row>
    <row r="254">
      <c r="A254">
        <f>IF(ISNA(INDEX('Yardi Report'!$A:$E,MATCH('Chart of Accounts'!$A260,'Yardi Report'!$A:$A,0),1)),"",INDEX('Yardi Report'!$A:$E,MATCH('Chart of Accounts'!$A260,'Yardi Report'!$A:$A,0),1))</f>
        <v/>
      </c>
      <c r="B254">
        <f>IF(ISNA(INDEX('Yardi Report'!$A:$E,MATCH('Chart of Accounts'!$A260,'Yardi Report'!$A:$A,0),2)),"",INDEX('Yardi Report'!$A:$E,MATCH('Chart of Accounts'!$A260,'Yardi Report'!$A:$A,0),2))</f>
        <v/>
      </c>
      <c r="C254">
        <f>IF(A254="","",MAX($C$1:C253)+1)</f>
        <v/>
      </c>
      <c r="E254">
        <f>A254&amp;" "&amp;B254</f>
        <v/>
      </c>
      <c r="G254">
        <f>+G253+1</f>
        <v/>
      </c>
    </row>
    <row r="255">
      <c r="A255">
        <f>IF(ISNA(INDEX('Yardi Report'!$A:$E,MATCH('Chart of Accounts'!$A261,'Yardi Report'!$A:$A,0),1)),"",INDEX('Yardi Report'!$A:$E,MATCH('Chart of Accounts'!$A261,'Yardi Report'!$A:$A,0),1))</f>
        <v/>
      </c>
      <c r="B255">
        <f>IF(ISNA(INDEX('Yardi Report'!$A:$E,MATCH('Chart of Accounts'!$A261,'Yardi Report'!$A:$A,0),2)),"",INDEX('Yardi Report'!$A:$E,MATCH('Chart of Accounts'!$A261,'Yardi Report'!$A:$A,0),2))</f>
        <v/>
      </c>
      <c r="C255">
        <f>IF(A255="","",MAX($C$1:C254)+1)</f>
        <v/>
      </c>
      <c r="E255">
        <f>A255&amp;" "&amp;B255</f>
        <v/>
      </c>
      <c r="G255">
        <f>+G254+1</f>
        <v/>
      </c>
    </row>
    <row r="256">
      <c r="A256">
        <f>IF(ISNA(INDEX('Yardi Report'!$A:$E,MATCH('Chart of Accounts'!$A262,'Yardi Report'!$A:$A,0),1)),"",INDEX('Yardi Report'!$A:$E,MATCH('Chart of Accounts'!$A262,'Yardi Report'!$A:$A,0),1))</f>
        <v/>
      </c>
      <c r="B256">
        <f>IF(ISNA(INDEX('Yardi Report'!$A:$E,MATCH('Chart of Accounts'!$A262,'Yardi Report'!$A:$A,0),2)),"",INDEX('Yardi Report'!$A:$E,MATCH('Chart of Accounts'!$A262,'Yardi Report'!$A:$A,0),2))</f>
        <v/>
      </c>
      <c r="C256">
        <f>IF(A256="","",MAX($C$1:C255)+1)</f>
        <v/>
      </c>
      <c r="E256">
        <f>A256&amp;" "&amp;B256</f>
        <v/>
      </c>
      <c r="G256">
        <f>+G255+1</f>
        <v/>
      </c>
    </row>
    <row r="257">
      <c r="A257">
        <f>IF(ISNA(INDEX('Yardi Report'!$A:$E,MATCH('Chart of Accounts'!$A263,'Yardi Report'!$A:$A,0),1)),"",INDEX('Yardi Report'!$A:$E,MATCH('Chart of Accounts'!$A263,'Yardi Report'!$A:$A,0),1))</f>
        <v/>
      </c>
      <c r="B257">
        <f>IF(ISNA(INDEX('Yardi Report'!$A:$E,MATCH('Chart of Accounts'!$A263,'Yardi Report'!$A:$A,0),2)),"",INDEX('Yardi Report'!$A:$E,MATCH('Chart of Accounts'!$A263,'Yardi Report'!$A:$A,0),2))</f>
        <v/>
      </c>
      <c r="C257">
        <f>IF(A257="","",MAX($C$1:C256)+1)</f>
        <v/>
      </c>
      <c r="E257">
        <f>A257&amp;" "&amp;B257</f>
        <v/>
      </c>
      <c r="G257">
        <f>+G256+1</f>
        <v/>
      </c>
    </row>
    <row r="258">
      <c r="A258">
        <f>IF(ISNA(INDEX('Yardi Report'!$A:$E,MATCH('Chart of Accounts'!$A264,'Yardi Report'!$A:$A,0),1)),"",INDEX('Yardi Report'!$A:$E,MATCH('Chart of Accounts'!$A264,'Yardi Report'!$A:$A,0),1))</f>
        <v/>
      </c>
      <c r="B258">
        <f>IF(ISNA(INDEX('Yardi Report'!$A:$E,MATCH('Chart of Accounts'!$A264,'Yardi Report'!$A:$A,0),2)),"",INDEX('Yardi Report'!$A:$E,MATCH('Chart of Accounts'!$A264,'Yardi Report'!$A:$A,0),2))</f>
        <v/>
      </c>
      <c r="C258">
        <f>IF(A258="","",MAX($C$1:C257)+1)</f>
        <v/>
      </c>
      <c r="E258">
        <f>A258&amp;" "&amp;B258</f>
        <v/>
      </c>
      <c r="G258">
        <f>+G257+1</f>
        <v/>
      </c>
    </row>
    <row r="259">
      <c r="A259">
        <f>IF(ISNA(INDEX('Yardi Report'!$A:$E,MATCH('Chart of Accounts'!$A265,'Yardi Report'!$A:$A,0),1)),"",INDEX('Yardi Report'!$A:$E,MATCH('Chart of Accounts'!$A265,'Yardi Report'!$A:$A,0),1))</f>
        <v/>
      </c>
      <c r="B259">
        <f>IF(ISNA(INDEX('Yardi Report'!$A:$E,MATCH('Chart of Accounts'!$A265,'Yardi Report'!$A:$A,0),2)),"",INDEX('Yardi Report'!$A:$E,MATCH('Chart of Accounts'!$A265,'Yardi Report'!$A:$A,0),2))</f>
        <v/>
      </c>
      <c r="C259">
        <f>IF(A259="","",MAX($C$1:C258)+1)</f>
        <v/>
      </c>
      <c r="E259">
        <f>A259&amp;" "&amp;B259</f>
        <v/>
      </c>
      <c r="G259">
        <f>+G258+1</f>
        <v/>
      </c>
    </row>
    <row r="260">
      <c r="A260">
        <f>IF(ISNA(INDEX('Yardi Report'!$A:$E,MATCH('Chart of Accounts'!$A266,'Yardi Report'!$A:$A,0),1)),"",INDEX('Yardi Report'!$A:$E,MATCH('Chart of Accounts'!$A266,'Yardi Report'!$A:$A,0),1))</f>
        <v/>
      </c>
      <c r="B260">
        <f>IF(ISNA(INDEX('Yardi Report'!$A:$E,MATCH('Chart of Accounts'!$A266,'Yardi Report'!$A:$A,0),2)),"",INDEX('Yardi Report'!$A:$E,MATCH('Chart of Accounts'!$A266,'Yardi Report'!$A:$A,0),2))</f>
        <v/>
      </c>
      <c r="C260">
        <f>IF(A260="","",MAX($C$1:C259)+1)</f>
        <v/>
      </c>
      <c r="E260">
        <f>A260&amp;" "&amp;B260</f>
        <v/>
      </c>
      <c r="G260">
        <f>+G259+1</f>
        <v/>
      </c>
    </row>
    <row r="261">
      <c r="A261">
        <f>IF(ISNA(INDEX('Yardi Report'!$A:$E,MATCH('Chart of Accounts'!$A267,'Yardi Report'!$A:$A,0),1)),"",INDEX('Yardi Report'!$A:$E,MATCH('Chart of Accounts'!$A267,'Yardi Report'!$A:$A,0),1))</f>
        <v/>
      </c>
      <c r="B261">
        <f>IF(ISNA(INDEX('Yardi Report'!$A:$E,MATCH('Chart of Accounts'!$A267,'Yardi Report'!$A:$A,0),2)),"",INDEX('Yardi Report'!$A:$E,MATCH('Chart of Accounts'!$A267,'Yardi Report'!$A:$A,0),2))</f>
        <v/>
      </c>
      <c r="C261">
        <f>IF(A261="","",MAX($C$1:C260)+1)</f>
        <v/>
      </c>
      <c r="E261">
        <f>A261&amp;" "&amp;B261</f>
        <v/>
      </c>
      <c r="G261">
        <f>+G260+1</f>
        <v/>
      </c>
    </row>
    <row r="262">
      <c r="A262">
        <f>IF(ISNA(INDEX('Yardi Report'!$A:$E,MATCH('Chart of Accounts'!$A268,'Yardi Report'!$A:$A,0),1)),"",INDEX('Yardi Report'!$A:$E,MATCH('Chart of Accounts'!$A268,'Yardi Report'!$A:$A,0),1))</f>
        <v/>
      </c>
      <c r="B262">
        <f>IF(ISNA(INDEX('Yardi Report'!$A:$E,MATCH('Chart of Accounts'!$A268,'Yardi Report'!$A:$A,0),2)),"",INDEX('Yardi Report'!$A:$E,MATCH('Chart of Accounts'!$A268,'Yardi Report'!$A:$A,0),2))</f>
        <v/>
      </c>
      <c r="C262">
        <f>IF(A262="","",MAX($C$1:C261)+1)</f>
        <v/>
      </c>
      <c r="E262">
        <f>A262&amp;" "&amp;B262</f>
        <v/>
      </c>
      <c r="G262">
        <f>+G261+1</f>
        <v/>
      </c>
    </row>
    <row r="263">
      <c r="A263">
        <f>IF(ISNA(INDEX('Yardi Report'!$A:$E,MATCH('Chart of Accounts'!$A269,'Yardi Report'!$A:$A,0),1)),"",INDEX('Yardi Report'!$A:$E,MATCH('Chart of Accounts'!$A269,'Yardi Report'!$A:$A,0),1))</f>
        <v/>
      </c>
      <c r="B263">
        <f>IF(ISNA(INDEX('Yardi Report'!$A:$E,MATCH('Chart of Accounts'!$A269,'Yardi Report'!$A:$A,0),2)),"",INDEX('Yardi Report'!$A:$E,MATCH('Chart of Accounts'!$A269,'Yardi Report'!$A:$A,0),2))</f>
        <v/>
      </c>
      <c r="C263">
        <f>IF(A263="","",MAX($C$1:C262)+1)</f>
        <v/>
      </c>
      <c r="E263">
        <f>A263&amp;" "&amp;B263</f>
        <v/>
      </c>
      <c r="G263">
        <f>+G262+1</f>
        <v/>
      </c>
    </row>
    <row r="264">
      <c r="A264">
        <f>IF(ISNA(INDEX('Yardi Report'!$A:$E,MATCH('Chart of Accounts'!$A270,'Yardi Report'!$A:$A,0),1)),"",INDEX('Yardi Report'!$A:$E,MATCH('Chart of Accounts'!$A270,'Yardi Report'!$A:$A,0),1))</f>
        <v/>
      </c>
      <c r="B264">
        <f>IF(ISNA(INDEX('Yardi Report'!$A:$E,MATCH('Chart of Accounts'!$A270,'Yardi Report'!$A:$A,0),2)),"",INDEX('Yardi Report'!$A:$E,MATCH('Chart of Accounts'!$A270,'Yardi Report'!$A:$A,0),2))</f>
        <v/>
      </c>
      <c r="C264">
        <f>IF(A264="","",MAX($C$1:C263)+1)</f>
        <v/>
      </c>
      <c r="E264">
        <f>A264&amp;" "&amp;B264</f>
        <v/>
      </c>
      <c r="G264">
        <f>+G263+1</f>
        <v/>
      </c>
    </row>
    <row r="265">
      <c r="A265">
        <f>IF(ISNA(INDEX('Yardi Report'!$A:$E,MATCH('Chart of Accounts'!$A271,'Yardi Report'!$A:$A,0),1)),"",INDEX('Yardi Report'!$A:$E,MATCH('Chart of Accounts'!$A271,'Yardi Report'!$A:$A,0),1))</f>
        <v/>
      </c>
      <c r="B265">
        <f>IF(ISNA(INDEX('Yardi Report'!$A:$E,MATCH('Chart of Accounts'!$A271,'Yardi Report'!$A:$A,0),2)),"",INDEX('Yardi Report'!$A:$E,MATCH('Chart of Accounts'!$A271,'Yardi Report'!$A:$A,0),2))</f>
        <v/>
      </c>
      <c r="C265">
        <f>IF(A265="","",MAX($C$1:C264)+1)</f>
        <v/>
      </c>
      <c r="E265">
        <f>A265&amp;" "&amp;B265</f>
        <v/>
      </c>
      <c r="G265">
        <f>+G264+1</f>
        <v/>
      </c>
    </row>
    <row r="266">
      <c r="A266">
        <f>IF(ISNA(INDEX('Yardi Report'!$A:$E,MATCH('Chart of Accounts'!$A272,'Yardi Report'!$A:$A,0),1)),"",INDEX('Yardi Report'!$A:$E,MATCH('Chart of Accounts'!$A272,'Yardi Report'!$A:$A,0),1))</f>
        <v/>
      </c>
      <c r="B266">
        <f>IF(ISNA(INDEX('Yardi Report'!$A:$E,MATCH('Chart of Accounts'!$A272,'Yardi Report'!$A:$A,0),2)),"",INDEX('Yardi Report'!$A:$E,MATCH('Chart of Accounts'!$A272,'Yardi Report'!$A:$A,0),2))</f>
        <v/>
      </c>
      <c r="C266">
        <f>IF(A266="","",MAX($C$1:C265)+1)</f>
        <v/>
      </c>
      <c r="E266">
        <f>A266&amp;" "&amp;B266</f>
        <v/>
      </c>
      <c r="G266">
        <f>+G265+1</f>
        <v/>
      </c>
    </row>
    <row r="267">
      <c r="A267">
        <f>IF(ISNA(INDEX('Yardi Report'!$A:$E,MATCH('Chart of Accounts'!$A273,'Yardi Report'!$A:$A,0),1)),"",INDEX('Yardi Report'!$A:$E,MATCH('Chart of Accounts'!$A273,'Yardi Report'!$A:$A,0),1))</f>
        <v/>
      </c>
      <c r="B267">
        <f>IF(ISNA(INDEX('Yardi Report'!$A:$E,MATCH('Chart of Accounts'!$A273,'Yardi Report'!$A:$A,0),2)),"",INDEX('Yardi Report'!$A:$E,MATCH('Chart of Accounts'!$A273,'Yardi Report'!$A:$A,0),2))</f>
        <v/>
      </c>
      <c r="C267">
        <f>IF(A267="","",MAX($C$1:C266)+1)</f>
        <v/>
      </c>
      <c r="E267">
        <f>A267&amp;" "&amp;B267</f>
        <v/>
      </c>
      <c r="G267">
        <f>+G266+1</f>
        <v/>
      </c>
    </row>
    <row r="268">
      <c r="A268">
        <f>IF(ISNA(INDEX('Yardi Report'!$A:$E,MATCH('Chart of Accounts'!$A274,'Yardi Report'!$A:$A,0),1)),"",INDEX('Yardi Report'!$A:$E,MATCH('Chart of Accounts'!$A274,'Yardi Report'!$A:$A,0),1))</f>
        <v/>
      </c>
      <c r="B268">
        <f>IF(ISNA(INDEX('Yardi Report'!$A:$E,MATCH('Chart of Accounts'!$A274,'Yardi Report'!$A:$A,0),2)),"",INDEX('Yardi Report'!$A:$E,MATCH('Chart of Accounts'!$A274,'Yardi Report'!$A:$A,0),2))</f>
        <v/>
      </c>
      <c r="C268">
        <f>IF(A268="","",MAX($C$1:C267)+1)</f>
        <v/>
      </c>
      <c r="E268">
        <f>A268&amp;" "&amp;B268</f>
        <v/>
      </c>
      <c r="G268">
        <f>+G267+1</f>
        <v/>
      </c>
    </row>
    <row r="269">
      <c r="A269">
        <f>IF(ISNA(INDEX('Yardi Report'!$A:$E,MATCH('Chart of Accounts'!$A275,'Yardi Report'!$A:$A,0),1)),"",INDEX('Yardi Report'!$A:$E,MATCH('Chart of Accounts'!$A275,'Yardi Report'!$A:$A,0),1))</f>
        <v/>
      </c>
      <c r="B269">
        <f>IF(ISNA(INDEX('Yardi Report'!$A:$E,MATCH('Chart of Accounts'!$A275,'Yardi Report'!$A:$A,0),2)),"",INDEX('Yardi Report'!$A:$E,MATCH('Chart of Accounts'!$A275,'Yardi Report'!$A:$A,0),2))</f>
        <v/>
      </c>
      <c r="C269">
        <f>IF(A269="","",MAX($C$1:C268)+1)</f>
        <v/>
      </c>
      <c r="E269">
        <f>A269&amp;" "&amp;B269</f>
        <v/>
      </c>
      <c r="G269">
        <f>+G268+1</f>
        <v/>
      </c>
    </row>
    <row r="270">
      <c r="A270">
        <f>IF(ISNA(INDEX('Yardi Report'!$A:$E,MATCH('Chart of Accounts'!$A276,'Yardi Report'!$A:$A,0),1)),"",INDEX('Yardi Report'!$A:$E,MATCH('Chart of Accounts'!$A276,'Yardi Report'!$A:$A,0),1))</f>
        <v/>
      </c>
      <c r="B270">
        <f>IF(ISNA(INDEX('Yardi Report'!$A:$E,MATCH('Chart of Accounts'!$A276,'Yardi Report'!$A:$A,0),2)),"",INDEX('Yardi Report'!$A:$E,MATCH('Chart of Accounts'!$A276,'Yardi Report'!$A:$A,0),2))</f>
        <v/>
      </c>
      <c r="C270">
        <f>IF(A270="","",MAX($C$1:C269)+1)</f>
        <v/>
      </c>
      <c r="E270">
        <f>A270&amp;" "&amp;B270</f>
        <v/>
      </c>
      <c r="G270">
        <f>+G269+1</f>
        <v/>
      </c>
    </row>
    <row r="271">
      <c r="A271">
        <f>IF(ISNA(INDEX('Yardi Report'!$A:$E,MATCH('Chart of Accounts'!$A277,'Yardi Report'!$A:$A,0),1)),"",INDEX('Yardi Report'!$A:$E,MATCH('Chart of Accounts'!$A277,'Yardi Report'!$A:$A,0),1))</f>
        <v/>
      </c>
      <c r="B271">
        <f>IF(ISNA(INDEX('Yardi Report'!$A:$E,MATCH('Chart of Accounts'!$A277,'Yardi Report'!$A:$A,0),2)),"",INDEX('Yardi Report'!$A:$E,MATCH('Chart of Accounts'!$A277,'Yardi Report'!$A:$A,0),2))</f>
        <v/>
      </c>
      <c r="C271">
        <f>IF(A271="","",MAX($C$1:C270)+1)</f>
        <v/>
      </c>
      <c r="E271">
        <f>A271&amp;" "&amp;B271</f>
        <v/>
      </c>
      <c r="G271">
        <f>+G270+1</f>
        <v/>
      </c>
    </row>
    <row r="272">
      <c r="A272">
        <f>IF(ISNA(INDEX('Yardi Report'!$A:$E,MATCH('Chart of Accounts'!$A278,'Yardi Report'!$A:$A,0),1)),"",INDEX('Yardi Report'!$A:$E,MATCH('Chart of Accounts'!$A278,'Yardi Report'!$A:$A,0),1))</f>
        <v/>
      </c>
      <c r="B272">
        <f>IF(ISNA(INDEX('Yardi Report'!$A:$E,MATCH('Chart of Accounts'!$A278,'Yardi Report'!$A:$A,0),2)),"",INDEX('Yardi Report'!$A:$E,MATCH('Chart of Accounts'!$A278,'Yardi Report'!$A:$A,0),2))</f>
        <v/>
      </c>
      <c r="C272">
        <f>IF(A272="","",MAX($C$1:C271)+1)</f>
        <v/>
      </c>
      <c r="E272">
        <f>A272&amp;" "&amp;B272</f>
        <v/>
      </c>
      <c r="G272">
        <f>+G271+1</f>
        <v/>
      </c>
    </row>
    <row r="273">
      <c r="A273">
        <f>IF(ISNA(INDEX('Yardi Report'!$A:$E,MATCH('Chart of Accounts'!$A279,'Yardi Report'!$A:$A,0),1)),"",INDEX('Yardi Report'!$A:$E,MATCH('Chart of Accounts'!$A279,'Yardi Report'!$A:$A,0),1))</f>
        <v/>
      </c>
      <c r="B273">
        <f>IF(ISNA(INDEX('Yardi Report'!$A:$E,MATCH('Chart of Accounts'!$A279,'Yardi Report'!$A:$A,0),2)),"",INDEX('Yardi Report'!$A:$E,MATCH('Chart of Accounts'!$A279,'Yardi Report'!$A:$A,0),2))</f>
        <v/>
      </c>
      <c r="C273">
        <f>IF(A273="","",MAX($C$1:C272)+1)</f>
        <v/>
      </c>
      <c r="E273">
        <f>A273&amp;" "&amp;B273</f>
        <v/>
      </c>
      <c r="G273">
        <f>+G272+1</f>
        <v/>
      </c>
    </row>
    <row r="274">
      <c r="A274">
        <f>IF(ISNA(INDEX('Yardi Report'!$A:$E,MATCH('Chart of Accounts'!$A280,'Yardi Report'!$A:$A,0),1)),"",INDEX('Yardi Report'!$A:$E,MATCH('Chart of Accounts'!$A280,'Yardi Report'!$A:$A,0),1))</f>
        <v/>
      </c>
      <c r="B274">
        <f>IF(ISNA(INDEX('Yardi Report'!$A:$E,MATCH('Chart of Accounts'!$A280,'Yardi Report'!$A:$A,0),2)),"",INDEX('Yardi Report'!$A:$E,MATCH('Chart of Accounts'!$A280,'Yardi Report'!$A:$A,0),2))</f>
        <v/>
      </c>
      <c r="C274">
        <f>IF(A274="","",MAX($C$1:C273)+1)</f>
        <v/>
      </c>
      <c r="E274">
        <f>A274&amp;" "&amp;B274</f>
        <v/>
      </c>
      <c r="G274">
        <f>+G273+1</f>
        <v/>
      </c>
    </row>
    <row r="275">
      <c r="A275">
        <f>IF(ISNA(INDEX('Yardi Report'!$A:$E,MATCH('Chart of Accounts'!$A281,'Yardi Report'!$A:$A,0),1)),"",INDEX('Yardi Report'!$A:$E,MATCH('Chart of Accounts'!$A281,'Yardi Report'!$A:$A,0),1))</f>
        <v/>
      </c>
      <c r="B275">
        <f>IF(ISNA(INDEX('Yardi Report'!$A:$E,MATCH('Chart of Accounts'!$A281,'Yardi Report'!$A:$A,0),2)),"",INDEX('Yardi Report'!$A:$E,MATCH('Chart of Accounts'!$A281,'Yardi Report'!$A:$A,0),2))</f>
        <v/>
      </c>
      <c r="C275">
        <f>IF(A275="","",MAX($C$1:C274)+1)</f>
        <v/>
      </c>
      <c r="E275">
        <f>A275&amp;" "&amp;B275</f>
        <v/>
      </c>
      <c r="G275">
        <f>+G274+1</f>
        <v/>
      </c>
    </row>
    <row r="276">
      <c r="A276">
        <f>IF(ISNA(INDEX('Yardi Report'!$A:$E,MATCH('Chart of Accounts'!$A282,'Yardi Report'!$A:$A,0),1)),"",INDEX('Yardi Report'!$A:$E,MATCH('Chart of Accounts'!$A282,'Yardi Report'!$A:$A,0),1))</f>
        <v/>
      </c>
      <c r="B276">
        <f>IF(ISNA(INDEX('Yardi Report'!$A:$E,MATCH('Chart of Accounts'!$A282,'Yardi Report'!$A:$A,0),2)),"",INDEX('Yardi Report'!$A:$E,MATCH('Chart of Accounts'!$A282,'Yardi Report'!$A:$A,0),2))</f>
        <v/>
      </c>
      <c r="C276">
        <f>IF(A276="","",MAX($C$1:C275)+1)</f>
        <v/>
      </c>
      <c r="E276">
        <f>A276&amp;" "&amp;B276</f>
        <v/>
      </c>
      <c r="G276">
        <f>+G275+1</f>
        <v/>
      </c>
    </row>
    <row r="277">
      <c r="A277">
        <f>IF(ISNA(INDEX('Yardi Report'!$A:$E,MATCH('Chart of Accounts'!$A283,'Yardi Report'!$A:$A,0),1)),"",INDEX('Yardi Report'!$A:$E,MATCH('Chart of Accounts'!$A283,'Yardi Report'!$A:$A,0),1))</f>
        <v/>
      </c>
      <c r="B277">
        <f>IF(ISNA(INDEX('Yardi Report'!$A:$E,MATCH('Chart of Accounts'!$A283,'Yardi Report'!$A:$A,0),2)),"",INDEX('Yardi Report'!$A:$E,MATCH('Chart of Accounts'!$A283,'Yardi Report'!$A:$A,0),2))</f>
        <v/>
      </c>
      <c r="C277">
        <f>IF(A277="","",MAX($C$1:C276)+1)</f>
        <v/>
      </c>
      <c r="E277">
        <f>A277&amp;" "&amp;B277</f>
        <v/>
      </c>
      <c r="G277">
        <f>+G276+1</f>
        <v/>
      </c>
    </row>
    <row r="278">
      <c r="A278">
        <f>IF(ISNA(INDEX('Yardi Report'!$A:$E,MATCH('Chart of Accounts'!$A284,'Yardi Report'!$A:$A,0),1)),"",INDEX('Yardi Report'!$A:$E,MATCH('Chart of Accounts'!$A284,'Yardi Report'!$A:$A,0),1))</f>
        <v/>
      </c>
      <c r="B278">
        <f>IF(ISNA(INDEX('Yardi Report'!$A:$E,MATCH('Chart of Accounts'!$A284,'Yardi Report'!$A:$A,0),2)),"",INDEX('Yardi Report'!$A:$E,MATCH('Chart of Accounts'!$A284,'Yardi Report'!$A:$A,0),2))</f>
        <v/>
      </c>
      <c r="C278">
        <f>IF(A278="","",MAX($C$1:C277)+1)</f>
        <v/>
      </c>
      <c r="E278">
        <f>A278&amp;" "&amp;B278</f>
        <v/>
      </c>
      <c r="G278">
        <f>+G277+1</f>
        <v/>
      </c>
    </row>
    <row r="279">
      <c r="A279">
        <f>IF(ISNA(INDEX('Yardi Report'!$A:$E,MATCH('Chart of Accounts'!$A285,'Yardi Report'!$A:$A,0),1)),"",INDEX('Yardi Report'!$A:$E,MATCH('Chart of Accounts'!$A285,'Yardi Report'!$A:$A,0),1))</f>
        <v/>
      </c>
      <c r="B279">
        <f>IF(ISNA(INDEX('Yardi Report'!$A:$E,MATCH('Chart of Accounts'!$A285,'Yardi Report'!$A:$A,0),2)),"",INDEX('Yardi Report'!$A:$E,MATCH('Chart of Accounts'!$A285,'Yardi Report'!$A:$A,0),2))</f>
        <v/>
      </c>
      <c r="C279">
        <f>IF(A279="","",MAX($C$1:C278)+1)</f>
        <v/>
      </c>
      <c r="E279">
        <f>A279&amp;" "&amp;B279</f>
        <v/>
      </c>
      <c r="G279">
        <f>+G278+1</f>
        <v/>
      </c>
    </row>
    <row r="280">
      <c r="A280">
        <f>IF(ISNA(INDEX('Yardi Report'!$A:$E,MATCH('Chart of Accounts'!$A286,'Yardi Report'!$A:$A,0),1)),"",INDEX('Yardi Report'!$A:$E,MATCH('Chart of Accounts'!$A286,'Yardi Report'!$A:$A,0),1))</f>
        <v/>
      </c>
      <c r="B280">
        <f>IF(ISNA(INDEX('Yardi Report'!$A:$E,MATCH('Chart of Accounts'!$A286,'Yardi Report'!$A:$A,0),2)),"",INDEX('Yardi Report'!$A:$E,MATCH('Chart of Accounts'!$A286,'Yardi Report'!$A:$A,0),2))</f>
        <v/>
      </c>
      <c r="C280">
        <f>IF(A280="","",MAX($C$1:C279)+1)</f>
        <v/>
      </c>
      <c r="E280">
        <f>A280&amp;" "&amp;B280</f>
        <v/>
      </c>
      <c r="G280">
        <f>+G279+1</f>
        <v/>
      </c>
    </row>
    <row r="281">
      <c r="A281">
        <f>IF(ISNA(INDEX('Yardi Report'!$A:$E,MATCH('Chart of Accounts'!$A287,'Yardi Report'!$A:$A,0),1)),"",INDEX('Yardi Report'!$A:$E,MATCH('Chart of Accounts'!$A287,'Yardi Report'!$A:$A,0),1))</f>
        <v/>
      </c>
      <c r="B281">
        <f>IF(ISNA(INDEX('Yardi Report'!$A:$E,MATCH('Chart of Accounts'!$A287,'Yardi Report'!$A:$A,0),2)),"",INDEX('Yardi Report'!$A:$E,MATCH('Chart of Accounts'!$A287,'Yardi Report'!$A:$A,0),2))</f>
        <v/>
      </c>
      <c r="C281">
        <f>IF(A281="","",MAX($C$1:C280)+1)</f>
        <v/>
      </c>
      <c r="E281">
        <f>A281&amp;" "&amp;B281</f>
        <v/>
      </c>
      <c r="G281">
        <f>+G280+1</f>
        <v/>
      </c>
    </row>
    <row r="282">
      <c r="A282">
        <f>IF(ISNA(INDEX('Yardi Report'!$A:$E,MATCH('Chart of Accounts'!$A288,'Yardi Report'!$A:$A,0),1)),"",INDEX('Yardi Report'!$A:$E,MATCH('Chart of Accounts'!$A288,'Yardi Report'!$A:$A,0),1))</f>
        <v/>
      </c>
      <c r="B282">
        <f>IF(ISNA(INDEX('Yardi Report'!$A:$E,MATCH('Chart of Accounts'!$A288,'Yardi Report'!$A:$A,0),2)),"",INDEX('Yardi Report'!$A:$E,MATCH('Chart of Accounts'!$A288,'Yardi Report'!$A:$A,0),2))</f>
        <v/>
      </c>
      <c r="C282">
        <f>IF(A282="","",MAX($C$1:C281)+1)</f>
        <v/>
      </c>
      <c r="E282">
        <f>A282&amp;" "&amp;B282</f>
        <v/>
      </c>
      <c r="G282">
        <f>+G281+1</f>
        <v/>
      </c>
    </row>
    <row r="283">
      <c r="A283">
        <f>IF(ISNA(INDEX('Yardi Report'!$A:$E,MATCH('Chart of Accounts'!$A289,'Yardi Report'!$A:$A,0),1)),"",INDEX('Yardi Report'!$A:$E,MATCH('Chart of Accounts'!$A289,'Yardi Report'!$A:$A,0),1))</f>
        <v/>
      </c>
      <c r="B283">
        <f>IF(ISNA(INDEX('Yardi Report'!$A:$E,MATCH('Chart of Accounts'!$A289,'Yardi Report'!$A:$A,0),2)),"",INDEX('Yardi Report'!$A:$E,MATCH('Chart of Accounts'!$A289,'Yardi Report'!$A:$A,0),2))</f>
        <v/>
      </c>
      <c r="C283">
        <f>IF(A283="","",MAX($C$1:C282)+1)</f>
        <v/>
      </c>
      <c r="E283">
        <f>A283&amp;" "&amp;B283</f>
        <v/>
      </c>
      <c r="G283">
        <f>+G282+1</f>
        <v/>
      </c>
    </row>
    <row r="284">
      <c r="A284">
        <f>IF(ISNA(INDEX('Yardi Report'!$A:$E,MATCH('Chart of Accounts'!$A290,'Yardi Report'!$A:$A,0),1)),"",INDEX('Yardi Report'!$A:$E,MATCH('Chart of Accounts'!$A290,'Yardi Report'!$A:$A,0),1))</f>
        <v/>
      </c>
      <c r="B284">
        <f>IF(ISNA(INDEX('Yardi Report'!$A:$E,MATCH('Chart of Accounts'!$A290,'Yardi Report'!$A:$A,0),2)),"",INDEX('Yardi Report'!$A:$E,MATCH('Chart of Accounts'!$A290,'Yardi Report'!$A:$A,0),2))</f>
        <v/>
      </c>
      <c r="C284">
        <f>IF(A284="","",MAX($C$1:C283)+1)</f>
        <v/>
      </c>
      <c r="E284">
        <f>A284&amp;" "&amp;B284</f>
        <v/>
      </c>
      <c r="G284">
        <f>+G283+1</f>
        <v/>
      </c>
    </row>
    <row r="285">
      <c r="A285">
        <f>IF(ISNA(INDEX('Yardi Report'!$A:$E,MATCH('Chart of Accounts'!$A291,'Yardi Report'!$A:$A,0),1)),"",INDEX('Yardi Report'!$A:$E,MATCH('Chart of Accounts'!$A291,'Yardi Report'!$A:$A,0),1))</f>
        <v/>
      </c>
      <c r="B285">
        <f>IF(ISNA(INDEX('Yardi Report'!$A:$E,MATCH('Chart of Accounts'!$A291,'Yardi Report'!$A:$A,0),2)),"",INDEX('Yardi Report'!$A:$E,MATCH('Chart of Accounts'!$A291,'Yardi Report'!$A:$A,0),2))</f>
        <v/>
      </c>
      <c r="C285">
        <f>IF(A285="","",MAX($C$1:C284)+1)</f>
        <v/>
      </c>
      <c r="E285">
        <f>A285&amp;" "&amp;B285</f>
        <v/>
      </c>
      <c r="G285">
        <f>+G284+1</f>
        <v/>
      </c>
    </row>
    <row r="286">
      <c r="A286">
        <f>IF(ISNA(INDEX('Yardi Report'!$A:$E,MATCH('Chart of Accounts'!$A292,'Yardi Report'!$A:$A,0),1)),"",INDEX('Yardi Report'!$A:$E,MATCH('Chart of Accounts'!$A292,'Yardi Report'!$A:$A,0),1))</f>
        <v/>
      </c>
      <c r="B286">
        <f>IF(ISNA(INDEX('Yardi Report'!$A:$E,MATCH('Chart of Accounts'!$A292,'Yardi Report'!$A:$A,0),2)),"",INDEX('Yardi Report'!$A:$E,MATCH('Chart of Accounts'!$A292,'Yardi Report'!$A:$A,0),2))</f>
        <v/>
      </c>
      <c r="C286">
        <f>IF(A286="","",MAX($C$1:C285)+1)</f>
        <v/>
      </c>
      <c r="E286">
        <f>A286&amp;" "&amp;B286</f>
        <v/>
      </c>
      <c r="G286">
        <f>+G285+1</f>
        <v/>
      </c>
    </row>
    <row r="287">
      <c r="A287">
        <f>IF(ISNA(INDEX('Yardi Report'!$A:$E,MATCH('Chart of Accounts'!$A293,'Yardi Report'!$A:$A,0),1)),"",INDEX('Yardi Report'!$A:$E,MATCH('Chart of Accounts'!$A293,'Yardi Report'!$A:$A,0),1))</f>
        <v/>
      </c>
      <c r="B287">
        <f>IF(ISNA(INDEX('Yardi Report'!$A:$E,MATCH('Chart of Accounts'!$A293,'Yardi Report'!$A:$A,0),2)),"",INDEX('Yardi Report'!$A:$E,MATCH('Chart of Accounts'!$A293,'Yardi Report'!$A:$A,0),2))</f>
        <v/>
      </c>
      <c r="C287">
        <f>IF(A287="","",MAX($C$1:C286)+1)</f>
        <v/>
      </c>
      <c r="E287">
        <f>A287&amp;" "&amp;B287</f>
        <v/>
      </c>
      <c r="G287">
        <f>+G286+1</f>
        <v/>
      </c>
    </row>
    <row r="288">
      <c r="A288">
        <f>IF(ISNA(INDEX('Yardi Report'!$A:$E,MATCH('Chart of Accounts'!$A294,'Yardi Report'!$A:$A,0),1)),"",INDEX('Yardi Report'!$A:$E,MATCH('Chart of Accounts'!$A294,'Yardi Report'!$A:$A,0),1))</f>
        <v/>
      </c>
      <c r="B288">
        <f>IF(ISNA(INDEX('Yardi Report'!$A:$E,MATCH('Chart of Accounts'!$A294,'Yardi Report'!$A:$A,0),2)),"",INDEX('Yardi Report'!$A:$E,MATCH('Chart of Accounts'!$A294,'Yardi Report'!$A:$A,0),2))</f>
        <v/>
      </c>
      <c r="C288">
        <f>IF(A288="","",MAX($C$1:C287)+1)</f>
        <v/>
      </c>
      <c r="E288">
        <f>A288&amp;" "&amp;B288</f>
        <v/>
      </c>
      <c r="G288">
        <f>+G287+1</f>
        <v/>
      </c>
    </row>
    <row r="289">
      <c r="A289">
        <f>IF(ISNA(INDEX('Yardi Report'!$A:$E,MATCH('Chart of Accounts'!$A295,'Yardi Report'!$A:$A,0),1)),"",INDEX('Yardi Report'!$A:$E,MATCH('Chart of Accounts'!$A295,'Yardi Report'!$A:$A,0),1))</f>
        <v/>
      </c>
      <c r="B289">
        <f>IF(ISNA(INDEX('Yardi Report'!$A:$E,MATCH('Chart of Accounts'!$A295,'Yardi Report'!$A:$A,0),2)),"",INDEX('Yardi Report'!$A:$E,MATCH('Chart of Accounts'!$A295,'Yardi Report'!$A:$A,0),2))</f>
        <v/>
      </c>
      <c r="C289">
        <f>IF(A289="","",MAX($C$1:C288)+1)</f>
        <v/>
      </c>
      <c r="E289">
        <f>A289&amp;" "&amp;B289</f>
        <v/>
      </c>
      <c r="G289">
        <f>+G288+1</f>
        <v/>
      </c>
    </row>
    <row r="290">
      <c r="A290">
        <f>IF(ISNA(INDEX('Yardi Report'!$A:$E,MATCH('Chart of Accounts'!$A296,'Yardi Report'!$A:$A,0),1)),"",INDEX('Yardi Report'!$A:$E,MATCH('Chart of Accounts'!$A296,'Yardi Report'!$A:$A,0),1))</f>
        <v/>
      </c>
      <c r="B290">
        <f>IF(ISNA(INDEX('Yardi Report'!$A:$E,MATCH('Chart of Accounts'!$A296,'Yardi Report'!$A:$A,0),2)),"",INDEX('Yardi Report'!$A:$E,MATCH('Chart of Accounts'!$A296,'Yardi Report'!$A:$A,0),2))</f>
        <v/>
      </c>
      <c r="C290">
        <f>IF(A290="","",MAX($C$1:C289)+1)</f>
        <v/>
      </c>
      <c r="E290">
        <f>A290&amp;" "&amp;B290</f>
        <v/>
      </c>
      <c r="G290">
        <f>+G289+1</f>
        <v/>
      </c>
    </row>
    <row r="291">
      <c r="A291">
        <f>IF(ISNA(INDEX('Yardi Report'!$A:$E,MATCH('Chart of Accounts'!$A297,'Yardi Report'!$A:$A,0),1)),"",INDEX('Yardi Report'!$A:$E,MATCH('Chart of Accounts'!$A297,'Yardi Report'!$A:$A,0),1))</f>
        <v/>
      </c>
      <c r="B291">
        <f>IF(ISNA(INDEX('Yardi Report'!$A:$E,MATCH('Chart of Accounts'!$A297,'Yardi Report'!$A:$A,0),2)),"",INDEX('Yardi Report'!$A:$E,MATCH('Chart of Accounts'!$A297,'Yardi Report'!$A:$A,0),2))</f>
        <v/>
      </c>
      <c r="C291">
        <f>IF(A291="","",MAX($C$1:C290)+1)</f>
        <v/>
      </c>
      <c r="E291">
        <f>A291&amp;" "&amp;B291</f>
        <v/>
      </c>
      <c r="G291">
        <f>+G290+1</f>
        <v/>
      </c>
    </row>
    <row r="292">
      <c r="A292">
        <f>IF(ISNA(INDEX('Yardi Report'!$A:$E,MATCH('Chart of Accounts'!$A298,'Yardi Report'!$A:$A,0),1)),"",INDEX('Yardi Report'!$A:$E,MATCH('Chart of Accounts'!$A298,'Yardi Report'!$A:$A,0),1))</f>
        <v/>
      </c>
      <c r="B292">
        <f>IF(ISNA(INDEX('Yardi Report'!$A:$E,MATCH('Chart of Accounts'!$A298,'Yardi Report'!$A:$A,0),2)),"",INDEX('Yardi Report'!$A:$E,MATCH('Chart of Accounts'!$A298,'Yardi Report'!$A:$A,0),2))</f>
        <v/>
      </c>
      <c r="C292">
        <f>IF(A292="","",MAX($C$1:C291)+1)</f>
        <v/>
      </c>
      <c r="E292">
        <f>A292&amp;" "&amp;B292</f>
        <v/>
      </c>
      <c r="G292">
        <f>+G291+1</f>
        <v/>
      </c>
    </row>
    <row r="293">
      <c r="A293">
        <f>IF(ISNA(INDEX('Yardi Report'!$A:$E,MATCH('Chart of Accounts'!$A299,'Yardi Report'!$A:$A,0),1)),"",INDEX('Yardi Report'!$A:$E,MATCH('Chart of Accounts'!$A299,'Yardi Report'!$A:$A,0),1))</f>
        <v/>
      </c>
      <c r="B293">
        <f>IF(ISNA(INDEX('Yardi Report'!$A:$E,MATCH('Chart of Accounts'!$A299,'Yardi Report'!$A:$A,0),2)),"",INDEX('Yardi Report'!$A:$E,MATCH('Chart of Accounts'!$A299,'Yardi Report'!$A:$A,0),2))</f>
        <v/>
      </c>
      <c r="C293">
        <f>IF(A293="","",MAX($C$1:C292)+1)</f>
        <v/>
      </c>
      <c r="E293">
        <f>A293&amp;" "&amp;B293</f>
        <v/>
      </c>
      <c r="G293">
        <f>+G292+1</f>
        <v/>
      </c>
    </row>
    <row r="294">
      <c r="A294">
        <f>IF(ISNA(INDEX('Yardi Report'!$A:$E,MATCH('Chart of Accounts'!$A300,'Yardi Report'!$A:$A,0),1)),"",INDEX('Yardi Report'!$A:$E,MATCH('Chart of Accounts'!$A300,'Yardi Report'!$A:$A,0),1))</f>
        <v/>
      </c>
      <c r="B294">
        <f>IF(ISNA(INDEX('Yardi Report'!$A:$E,MATCH('Chart of Accounts'!$A300,'Yardi Report'!$A:$A,0),2)),"",INDEX('Yardi Report'!$A:$E,MATCH('Chart of Accounts'!$A300,'Yardi Report'!$A:$A,0),2))</f>
        <v/>
      </c>
      <c r="C294">
        <f>IF(A294="","",MAX($C$1:C293)+1)</f>
        <v/>
      </c>
      <c r="E294">
        <f>A294&amp;" "&amp;B294</f>
        <v/>
      </c>
      <c r="G294">
        <f>+G293+1</f>
        <v/>
      </c>
    </row>
    <row r="295">
      <c r="A295">
        <f>IF(ISNA(INDEX('Yardi Report'!$A:$E,MATCH('Chart of Accounts'!$A301,'Yardi Report'!$A:$A,0),1)),"",INDEX('Yardi Report'!$A:$E,MATCH('Chart of Accounts'!$A301,'Yardi Report'!$A:$A,0),1))</f>
        <v/>
      </c>
      <c r="B295">
        <f>IF(ISNA(INDEX('Yardi Report'!$A:$E,MATCH('Chart of Accounts'!$A301,'Yardi Report'!$A:$A,0),2)),"",INDEX('Yardi Report'!$A:$E,MATCH('Chart of Accounts'!$A301,'Yardi Report'!$A:$A,0),2))</f>
        <v/>
      </c>
      <c r="C295">
        <f>IF(A295="","",MAX($C$1:C294)+1)</f>
        <v/>
      </c>
      <c r="E295">
        <f>A295&amp;" "&amp;B295</f>
        <v/>
      </c>
      <c r="G295">
        <f>+G294+1</f>
        <v/>
      </c>
    </row>
    <row r="296">
      <c r="A296">
        <f>IF(ISNA(INDEX('Yardi Report'!$A:$E,MATCH('Chart of Accounts'!$A302,'Yardi Report'!$A:$A,0),1)),"",INDEX('Yardi Report'!$A:$E,MATCH('Chart of Accounts'!$A302,'Yardi Report'!$A:$A,0),1))</f>
        <v/>
      </c>
      <c r="B296">
        <f>IF(ISNA(INDEX('Yardi Report'!$A:$E,MATCH('Chart of Accounts'!$A302,'Yardi Report'!$A:$A,0),2)),"",INDEX('Yardi Report'!$A:$E,MATCH('Chart of Accounts'!$A302,'Yardi Report'!$A:$A,0),2))</f>
        <v/>
      </c>
      <c r="C296">
        <f>IF(A296="","",MAX($C$1:C295)+1)</f>
        <v/>
      </c>
      <c r="E296">
        <f>A296&amp;" "&amp;B296</f>
        <v/>
      </c>
      <c r="G296">
        <f>+G295+1</f>
        <v/>
      </c>
    </row>
    <row r="297">
      <c r="A297">
        <f>IF(ISNA(INDEX('Yardi Report'!$A:$E,MATCH('Chart of Accounts'!$A303,'Yardi Report'!$A:$A,0),1)),"",INDEX('Yardi Report'!$A:$E,MATCH('Chart of Accounts'!$A303,'Yardi Report'!$A:$A,0),1))</f>
        <v/>
      </c>
      <c r="B297">
        <f>IF(ISNA(INDEX('Yardi Report'!$A:$E,MATCH('Chart of Accounts'!$A303,'Yardi Report'!$A:$A,0),2)),"",INDEX('Yardi Report'!$A:$E,MATCH('Chart of Accounts'!$A303,'Yardi Report'!$A:$A,0),2))</f>
        <v/>
      </c>
      <c r="C297">
        <f>IF(A297="","",MAX($C$1:C296)+1)</f>
        <v/>
      </c>
      <c r="E297">
        <f>A297&amp;" "&amp;B297</f>
        <v/>
      </c>
      <c r="G297">
        <f>+G296+1</f>
        <v/>
      </c>
    </row>
    <row r="298">
      <c r="A298">
        <f>IF(ISNA(INDEX('Yardi Report'!$A:$E,MATCH('Chart of Accounts'!$A304,'Yardi Report'!$A:$A,0),1)),"",INDEX('Yardi Report'!$A:$E,MATCH('Chart of Accounts'!$A304,'Yardi Report'!$A:$A,0),1))</f>
        <v/>
      </c>
      <c r="B298">
        <f>IF(ISNA(INDEX('Yardi Report'!$A:$E,MATCH('Chart of Accounts'!$A304,'Yardi Report'!$A:$A,0),2)),"",INDEX('Yardi Report'!$A:$E,MATCH('Chart of Accounts'!$A304,'Yardi Report'!$A:$A,0),2))</f>
        <v/>
      </c>
      <c r="C298">
        <f>IF(A298="","",MAX($C$1:C297)+1)</f>
        <v/>
      </c>
      <c r="E298">
        <f>A298&amp;" "&amp;B298</f>
        <v/>
      </c>
      <c r="G298">
        <f>+G297+1</f>
        <v/>
      </c>
    </row>
    <row r="299">
      <c r="A299">
        <f>IF(ISNA(INDEX('Yardi Report'!$A:$E,MATCH('Chart of Accounts'!$A305,'Yardi Report'!$A:$A,0),1)),"",INDEX('Yardi Report'!$A:$E,MATCH('Chart of Accounts'!$A305,'Yardi Report'!$A:$A,0),1))</f>
        <v/>
      </c>
      <c r="B299">
        <f>IF(ISNA(INDEX('Yardi Report'!$A:$E,MATCH('Chart of Accounts'!$A305,'Yardi Report'!$A:$A,0),2)),"",INDEX('Yardi Report'!$A:$E,MATCH('Chart of Accounts'!$A305,'Yardi Report'!$A:$A,0),2))</f>
        <v/>
      </c>
      <c r="C299">
        <f>IF(A299="","",MAX($C$1:C298)+1)</f>
        <v/>
      </c>
      <c r="E299">
        <f>A299&amp;" "&amp;B299</f>
        <v/>
      </c>
      <c r="G299">
        <f>+G298+1</f>
        <v/>
      </c>
    </row>
    <row r="300">
      <c r="A300">
        <f>IF(ISNA(INDEX('Yardi Report'!$A:$E,MATCH('Chart of Accounts'!$A306,'Yardi Report'!$A:$A,0),1)),"",INDEX('Yardi Report'!$A:$E,MATCH('Chart of Accounts'!$A306,'Yardi Report'!$A:$A,0),1))</f>
        <v/>
      </c>
      <c r="B300">
        <f>IF(ISNA(INDEX('Yardi Report'!$A:$E,MATCH('Chart of Accounts'!$A306,'Yardi Report'!$A:$A,0),2)),"",INDEX('Yardi Report'!$A:$E,MATCH('Chart of Accounts'!$A306,'Yardi Report'!$A:$A,0),2))</f>
        <v/>
      </c>
      <c r="C300">
        <f>IF(A300="","",MAX($C$1:C299)+1)</f>
        <v/>
      </c>
      <c r="E300">
        <f>A300&amp;" "&amp;B300</f>
        <v/>
      </c>
      <c r="G300">
        <f>+G299+1</f>
        <v/>
      </c>
    </row>
    <row r="301">
      <c r="A301">
        <f>IF(ISNA(INDEX('Yardi Report'!$A:$E,MATCH('Chart of Accounts'!$A307,'Yardi Report'!$A:$A,0),1)),"",INDEX('Yardi Report'!$A:$E,MATCH('Chart of Accounts'!$A307,'Yardi Report'!$A:$A,0),1))</f>
        <v/>
      </c>
      <c r="B301">
        <f>IF(ISNA(INDEX('Yardi Report'!$A:$E,MATCH('Chart of Accounts'!$A307,'Yardi Report'!$A:$A,0),2)),"",INDEX('Yardi Report'!$A:$E,MATCH('Chart of Accounts'!$A307,'Yardi Report'!$A:$A,0),2))</f>
        <v/>
      </c>
      <c r="C301">
        <f>IF(A301="","",MAX($C$1:C300)+1)</f>
        <v/>
      </c>
      <c r="E301">
        <f>A301&amp;" "&amp;B301</f>
        <v/>
      </c>
      <c r="G301">
        <f>+G300+1</f>
        <v/>
      </c>
    </row>
    <row r="302">
      <c r="A302">
        <f>IF(ISNA(INDEX('Yardi Report'!$A:$E,MATCH('Chart of Accounts'!$A308,'Yardi Report'!$A:$A,0),1)),"",INDEX('Yardi Report'!$A:$E,MATCH('Chart of Accounts'!$A308,'Yardi Report'!$A:$A,0),1))</f>
        <v/>
      </c>
      <c r="B302">
        <f>IF(ISNA(INDEX('Yardi Report'!$A:$E,MATCH('Chart of Accounts'!$A308,'Yardi Report'!$A:$A,0),2)),"",INDEX('Yardi Report'!$A:$E,MATCH('Chart of Accounts'!$A308,'Yardi Report'!$A:$A,0),2))</f>
        <v/>
      </c>
      <c r="C302">
        <f>IF(A302="","",MAX($C$1:C301)+1)</f>
        <v/>
      </c>
      <c r="E302">
        <f>A302&amp;" "&amp;B302</f>
        <v/>
      </c>
      <c r="G302">
        <f>+G301+1</f>
        <v/>
      </c>
    </row>
    <row r="303">
      <c r="A303">
        <f>IF(ISNA(INDEX('Yardi Report'!$A:$E,MATCH('Chart of Accounts'!$A309,'Yardi Report'!$A:$A,0),1)),"",INDEX('Yardi Report'!$A:$E,MATCH('Chart of Accounts'!$A309,'Yardi Report'!$A:$A,0),1))</f>
        <v/>
      </c>
      <c r="B303">
        <f>IF(ISNA(INDEX('Yardi Report'!$A:$E,MATCH('Chart of Accounts'!$A309,'Yardi Report'!$A:$A,0),2)),"",INDEX('Yardi Report'!$A:$E,MATCH('Chart of Accounts'!$A309,'Yardi Report'!$A:$A,0),2))</f>
        <v/>
      </c>
      <c r="C303">
        <f>IF(A303="","",MAX($C$1:C302)+1)</f>
        <v/>
      </c>
      <c r="E303">
        <f>A303&amp;" "&amp;B303</f>
        <v/>
      </c>
      <c r="G303">
        <f>+G302+1</f>
        <v/>
      </c>
    </row>
    <row r="304">
      <c r="A304">
        <f>IF(ISNA(INDEX('Yardi Report'!$A:$E,MATCH('Chart of Accounts'!$A310,'Yardi Report'!$A:$A,0),1)),"",INDEX('Yardi Report'!$A:$E,MATCH('Chart of Accounts'!$A310,'Yardi Report'!$A:$A,0),1))</f>
        <v/>
      </c>
      <c r="B304">
        <f>IF(ISNA(INDEX('Yardi Report'!$A:$E,MATCH('Chart of Accounts'!$A310,'Yardi Report'!$A:$A,0),2)),"",INDEX('Yardi Report'!$A:$E,MATCH('Chart of Accounts'!$A310,'Yardi Report'!$A:$A,0),2))</f>
        <v/>
      </c>
      <c r="C304">
        <f>IF(A304="","",MAX($C$1:C303)+1)</f>
        <v/>
      </c>
      <c r="E304">
        <f>A304&amp;" "&amp;B304</f>
        <v/>
      </c>
      <c r="G304">
        <f>+G303+1</f>
        <v/>
      </c>
    </row>
    <row r="305">
      <c r="A305">
        <f>IF(ISNA(INDEX('Yardi Report'!$A:$E,MATCH('Chart of Accounts'!$A311,'Yardi Report'!$A:$A,0),1)),"",INDEX('Yardi Report'!$A:$E,MATCH('Chart of Accounts'!$A311,'Yardi Report'!$A:$A,0),1))</f>
        <v/>
      </c>
      <c r="B305">
        <f>IF(ISNA(INDEX('Yardi Report'!$A:$E,MATCH('Chart of Accounts'!$A311,'Yardi Report'!$A:$A,0),2)),"",INDEX('Yardi Report'!$A:$E,MATCH('Chart of Accounts'!$A311,'Yardi Report'!$A:$A,0),2))</f>
        <v/>
      </c>
      <c r="C305">
        <f>IF(A305="","",MAX($C$1:C304)+1)</f>
        <v/>
      </c>
      <c r="E305">
        <f>A305&amp;" "&amp;B305</f>
        <v/>
      </c>
      <c r="G305">
        <f>+G304+1</f>
        <v/>
      </c>
    </row>
    <row r="306">
      <c r="A306">
        <f>IF(ISNA(INDEX('Yardi Report'!$A:$E,MATCH('Chart of Accounts'!$A312,'Yardi Report'!$A:$A,0),1)),"",INDEX('Yardi Report'!$A:$E,MATCH('Chart of Accounts'!$A312,'Yardi Report'!$A:$A,0),1))</f>
        <v/>
      </c>
      <c r="B306">
        <f>IF(ISNA(INDEX('Yardi Report'!$A:$E,MATCH('Chart of Accounts'!$A312,'Yardi Report'!$A:$A,0),2)),"",INDEX('Yardi Report'!$A:$E,MATCH('Chart of Accounts'!$A312,'Yardi Report'!$A:$A,0),2))</f>
        <v/>
      </c>
      <c r="C306">
        <f>IF(A306="","",MAX($C$1:C305)+1)</f>
        <v/>
      </c>
      <c r="E306">
        <f>A306&amp;" "&amp;B306</f>
        <v/>
      </c>
      <c r="G306">
        <f>+G305+1</f>
        <v/>
      </c>
    </row>
    <row r="307">
      <c r="A307">
        <f>IF(ISNA(INDEX('Yardi Report'!$A:$E,MATCH('Chart of Accounts'!$A313,'Yardi Report'!$A:$A,0),1)),"",INDEX('Yardi Report'!$A:$E,MATCH('Chart of Accounts'!$A313,'Yardi Report'!$A:$A,0),1))</f>
        <v/>
      </c>
      <c r="B307">
        <f>IF(ISNA(INDEX('Yardi Report'!$A:$E,MATCH('Chart of Accounts'!$A313,'Yardi Report'!$A:$A,0),2)),"",INDEX('Yardi Report'!$A:$E,MATCH('Chart of Accounts'!$A313,'Yardi Report'!$A:$A,0),2))</f>
        <v/>
      </c>
      <c r="C307">
        <f>IF(A307="","",MAX($C$1:C306)+1)</f>
        <v/>
      </c>
      <c r="E307">
        <f>A307&amp;" "&amp;B307</f>
        <v/>
      </c>
      <c r="G307">
        <f>+G306+1</f>
        <v/>
      </c>
    </row>
    <row r="308">
      <c r="A308">
        <f>IF(ISNA(INDEX('Yardi Report'!$A:$E,MATCH('Chart of Accounts'!$A314,'Yardi Report'!$A:$A,0),1)),"",INDEX('Yardi Report'!$A:$E,MATCH('Chart of Accounts'!$A314,'Yardi Report'!$A:$A,0),1))</f>
        <v/>
      </c>
      <c r="B308">
        <f>IF(ISNA(INDEX('Yardi Report'!$A:$E,MATCH('Chart of Accounts'!$A314,'Yardi Report'!$A:$A,0),2)),"",INDEX('Yardi Report'!$A:$E,MATCH('Chart of Accounts'!$A314,'Yardi Report'!$A:$A,0),2))</f>
        <v/>
      </c>
      <c r="C308">
        <f>IF(A308="","",MAX($C$1:C307)+1)</f>
        <v/>
      </c>
      <c r="E308">
        <f>A308&amp;" "&amp;B308</f>
        <v/>
      </c>
      <c r="G308">
        <f>+G307+1</f>
        <v/>
      </c>
    </row>
    <row r="309">
      <c r="A309">
        <f>IF(ISNA(INDEX('Yardi Report'!$A:$E,MATCH('Chart of Accounts'!$A315,'Yardi Report'!$A:$A,0),1)),"",INDEX('Yardi Report'!$A:$E,MATCH('Chart of Accounts'!$A315,'Yardi Report'!$A:$A,0),1))</f>
        <v/>
      </c>
      <c r="B309">
        <f>IF(ISNA(INDEX('Yardi Report'!$A:$E,MATCH('Chart of Accounts'!$A315,'Yardi Report'!$A:$A,0),2)),"",INDEX('Yardi Report'!$A:$E,MATCH('Chart of Accounts'!$A315,'Yardi Report'!$A:$A,0),2))</f>
        <v/>
      </c>
      <c r="C309">
        <f>IF(A309="","",MAX($C$1:C308)+1)</f>
        <v/>
      </c>
      <c r="E309">
        <f>A309&amp;" "&amp;B309</f>
        <v/>
      </c>
      <c r="G309">
        <f>+G308+1</f>
        <v/>
      </c>
    </row>
    <row r="310">
      <c r="A310">
        <f>IF(ISNA(INDEX('Yardi Report'!$A:$E,MATCH('Chart of Accounts'!$A316,'Yardi Report'!$A:$A,0),1)),"",INDEX('Yardi Report'!$A:$E,MATCH('Chart of Accounts'!$A316,'Yardi Report'!$A:$A,0),1))</f>
        <v/>
      </c>
      <c r="B310">
        <f>IF(ISNA(INDEX('Yardi Report'!$A:$E,MATCH('Chart of Accounts'!$A316,'Yardi Report'!$A:$A,0),2)),"",INDEX('Yardi Report'!$A:$E,MATCH('Chart of Accounts'!$A316,'Yardi Report'!$A:$A,0),2))</f>
        <v/>
      </c>
      <c r="C310">
        <f>IF(A310="","",MAX($C$1:C309)+1)</f>
        <v/>
      </c>
      <c r="E310">
        <f>A310&amp;" "&amp;B310</f>
        <v/>
      </c>
      <c r="G310">
        <f>+G309+1</f>
        <v/>
      </c>
    </row>
    <row r="311">
      <c r="A311">
        <f>IF(ISNA(INDEX('Yardi Report'!$A:$E,MATCH('Chart of Accounts'!$A317,'Yardi Report'!$A:$A,0),1)),"",INDEX('Yardi Report'!$A:$E,MATCH('Chart of Accounts'!$A317,'Yardi Report'!$A:$A,0),1))</f>
        <v/>
      </c>
      <c r="B311">
        <f>IF(ISNA(INDEX('Yardi Report'!$A:$E,MATCH('Chart of Accounts'!$A317,'Yardi Report'!$A:$A,0),2)),"",INDEX('Yardi Report'!$A:$E,MATCH('Chart of Accounts'!$A317,'Yardi Report'!$A:$A,0),2))</f>
        <v/>
      </c>
      <c r="C311">
        <f>IF(A311="","",MAX($C$1:C310)+1)</f>
        <v/>
      </c>
      <c r="E311">
        <f>A311&amp;" "&amp;B311</f>
        <v/>
      </c>
      <c r="G311">
        <f>+G310+1</f>
        <v/>
      </c>
    </row>
    <row r="312">
      <c r="A312">
        <f>IF(ISNA(INDEX('Yardi Report'!$A:$E,MATCH('Chart of Accounts'!$A318,'Yardi Report'!$A:$A,0),1)),"",INDEX('Yardi Report'!$A:$E,MATCH('Chart of Accounts'!$A318,'Yardi Report'!$A:$A,0),1))</f>
        <v/>
      </c>
      <c r="B312">
        <f>IF(ISNA(INDEX('Yardi Report'!$A:$E,MATCH('Chart of Accounts'!$A318,'Yardi Report'!$A:$A,0),2)),"",INDEX('Yardi Report'!$A:$E,MATCH('Chart of Accounts'!$A318,'Yardi Report'!$A:$A,0),2))</f>
        <v/>
      </c>
      <c r="C312">
        <f>IF(A312="","",MAX($C$1:C311)+1)</f>
        <v/>
      </c>
      <c r="E312">
        <f>A312&amp;" "&amp;B312</f>
        <v/>
      </c>
      <c r="G312">
        <f>+G311+1</f>
        <v/>
      </c>
    </row>
    <row r="313">
      <c r="A313">
        <f>IF(ISNA(INDEX('Yardi Report'!$A:$E,MATCH('Chart of Accounts'!$A319,'Yardi Report'!$A:$A,0),1)),"",INDEX('Yardi Report'!$A:$E,MATCH('Chart of Accounts'!$A319,'Yardi Report'!$A:$A,0),1))</f>
        <v/>
      </c>
      <c r="B313">
        <f>IF(ISNA(INDEX('Yardi Report'!$A:$E,MATCH('Chart of Accounts'!$A319,'Yardi Report'!$A:$A,0),2)),"",INDEX('Yardi Report'!$A:$E,MATCH('Chart of Accounts'!$A319,'Yardi Report'!$A:$A,0),2))</f>
        <v/>
      </c>
      <c r="C313">
        <f>IF(A313="","",MAX($C$1:C312)+1)</f>
        <v/>
      </c>
      <c r="E313">
        <f>A313&amp;" "&amp;B313</f>
        <v/>
      </c>
      <c r="G313">
        <f>+G312+1</f>
        <v/>
      </c>
    </row>
    <row r="314">
      <c r="A314">
        <f>IF(ISNA(INDEX('Yardi Report'!$A:$E,MATCH('Chart of Accounts'!$A320,'Yardi Report'!$A:$A,0),1)),"",INDEX('Yardi Report'!$A:$E,MATCH('Chart of Accounts'!$A320,'Yardi Report'!$A:$A,0),1))</f>
        <v/>
      </c>
      <c r="B314">
        <f>IF(ISNA(INDEX('Yardi Report'!$A:$E,MATCH('Chart of Accounts'!$A320,'Yardi Report'!$A:$A,0),2)),"",INDEX('Yardi Report'!$A:$E,MATCH('Chart of Accounts'!$A320,'Yardi Report'!$A:$A,0),2))</f>
        <v/>
      </c>
      <c r="C314">
        <f>IF(A314="","",MAX($C$1:C313)+1)</f>
        <v/>
      </c>
      <c r="E314">
        <f>A314&amp;" "&amp;B314</f>
        <v/>
      </c>
      <c r="G314">
        <f>+G313+1</f>
        <v/>
      </c>
    </row>
    <row r="315">
      <c r="A315">
        <f>IF(ISNA(INDEX('Yardi Report'!$A:$E,MATCH('Chart of Accounts'!$A321,'Yardi Report'!$A:$A,0),1)),"",INDEX('Yardi Report'!$A:$E,MATCH('Chart of Accounts'!$A321,'Yardi Report'!$A:$A,0),1))</f>
        <v/>
      </c>
      <c r="B315">
        <f>IF(ISNA(INDEX('Yardi Report'!$A:$E,MATCH('Chart of Accounts'!$A321,'Yardi Report'!$A:$A,0),2)),"",INDEX('Yardi Report'!$A:$E,MATCH('Chart of Accounts'!$A321,'Yardi Report'!$A:$A,0),2))</f>
        <v/>
      </c>
      <c r="C315">
        <f>IF(A315="","",MAX($C$1:C314)+1)</f>
        <v/>
      </c>
      <c r="E315">
        <f>A315&amp;" "&amp;B315</f>
        <v/>
      </c>
      <c r="G315">
        <f>+G314+1</f>
        <v/>
      </c>
    </row>
    <row r="316">
      <c r="A316">
        <f>IF(ISNA(INDEX('Yardi Report'!$A:$E,MATCH('Chart of Accounts'!$A322,'Yardi Report'!$A:$A,0),1)),"",INDEX('Yardi Report'!$A:$E,MATCH('Chart of Accounts'!$A322,'Yardi Report'!$A:$A,0),1))</f>
        <v/>
      </c>
      <c r="B316">
        <f>IF(ISNA(INDEX('Yardi Report'!$A:$E,MATCH('Chart of Accounts'!$A322,'Yardi Report'!$A:$A,0),2)),"",INDEX('Yardi Report'!$A:$E,MATCH('Chart of Accounts'!$A322,'Yardi Report'!$A:$A,0),2))</f>
        <v/>
      </c>
      <c r="C316">
        <f>IF(A316="","",MAX($C$1:C315)+1)</f>
        <v/>
      </c>
      <c r="E316">
        <f>A316&amp;" "&amp;B316</f>
        <v/>
      </c>
      <c r="G316">
        <f>+G315+1</f>
        <v/>
      </c>
    </row>
    <row r="317">
      <c r="A317">
        <f>IF(ISNA(INDEX('Yardi Report'!$A:$E,MATCH('Chart of Accounts'!$A323,'Yardi Report'!$A:$A,0),1)),"",INDEX('Yardi Report'!$A:$E,MATCH('Chart of Accounts'!$A323,'Yardi Report'!$A:$A,0),1))</f>
        <v/>
      </c>
      <c r="B317">
        <f>IF(ISNA(INDEX('Yardi Report'!$A:$E,MATCH('Chart of Accounts'!$A323,'Yardi Report'!$A:$A,0),2)),"",INDEX('Yardi Report'!$A:$E,MATCH('Chart of Accounts'!$A323,'Yardi Report'!$A:$A,0),2))</f>
        <v/>
      </c>
      <c r="C317">
        <f>IF(A317="","",MAX($C$1:C316)+1)</f>
        <v/>
      </c>
      <c r="E317">
        <f>A317&amp;" "&amp;B317</f>
        <v/>
      </c>
      <c r="G317">
        <f>+G316+1</f>
        <v/>
      </c>
    </row>
    <row r="318">
      <c r="A318">
        <f>IF(ISNA(INDEX('Yardi Report'!$A:$E,MATCH('Chart of Accounts'!$A324,'Yardi Report'!$A:$A,0),1)),"",INDEX('Yardi Report'!$A:$E,MATCH('Chart of Accounts'!$A324,'Yardi Report'!$A:$A,0),1))</f>
        <v/>
      </c>
      <c r="B318">
        <f>IF(ISNA(INDEX('Yardi Report'!$A:$E,MATCH('Chart of Accounts'!$A324,'Yardi Report'!$A:$A,0),2)),"",INDEX('Yardi Report'!$A:$E,MATCH('Chart of Accounts'!$A324,'Yardi Report'!$A:$A,0),2))</f>
        <v/>
      </c>
      <c r="C318">
        <f>IF(A318="","",MAX($C$1:C317)+1)</f>
        <v/>
      </c>
      <c r="E318">
        <f>A318&amp;" "&amp;B318</f>
        <v/>
      </c>
      <c r="G318">
        <f>+G317+1</f>
        <v/>
      </c>
    </row>
    <row r="319">
      <c r="A319">
        <f>IF(ISNA(INDEX('Yardi Report'!$A:$E,MATCH('Chart of Accounts'!$A325,'Yardi Report'!$A:$A,0),1)),"",INDEX('Yardi Report'!$A:$E,MATCH('Chart of Accounts'!$A325,'Yardi Report'!$A:$A,0),1))</f>
        <v/>
      </c>
      <c r="B319">
        <f>IF(ISNA(INDEX('Yardi Report'!$A:$E,MATCH('Chart of Accounts'!$A325,'Yardi Report'!$A:$A,0),2)),"",INDEX('Yardi Report'!$A:$E,MATCH('Chart of Accounts'!$A325,'Yardi Report'!$A:$A,0),2))</f>
        <v/>
      </c>
      <c r="C319">
        <f>IF(A319="","",MAX($C$1:C318)+1)</f>
        <v/>
      </c>
      <c r="E319">
        <f>A319&amp;" "&amp;B319</f>
        <v/>
      </c>
      <c r="G319">
        <f>+G318+1</f>
        <v/>
      </c>
    </row>
    <row r="320">
      <c r="A320">
        <f>IF(ISNA(INDEX('Yardi Report'!$A:$E,MATCH('Chart of Accounts'!$A326,'Yardi Report'!$A:$A,0),1)),"",INDEX('Yardi Report'!$A:$E,MATCH('Chart of Accounts'!$A326,'Yardi Report'!$A:$A,0),1))</f>
        <v/>
      </c>
      <c r="B320">
        <f>IF(ISNA(INDEX('Yardi Report'!$A:$E,MATCH('Chart of Accounts'!$A326,'Yardi Report'!$A:$A,0),2)),"",INDEX('Yardi Report'!$A:$E,MATCH('Chart of Accounts'!$A326,'Yardi Report'!$A:$A,0),2))</f>
        <v/>
      </c>
      <c r="C320">
        <f>IF(A320="","",MAX($C$1:C319)+1)</f>
        <v/>
      </c>
      <c r="E320">
        <f>A320&amp;" "&amp;B320</f>
        <v/>
      </c>
      <c r="G320">
        <f>+G319+1</f>
        <v/>
      </c>
    </row>
    <row r="321">
      <c r="A321">
        <f>IF(ISNA(INDEX('Yardi Report'!$A:$E,MATCH('Chart of Accounts'!$A327,'Yardi Report'!$A:$A,0),1)),"",INDEX('Yardi Report'!$A:$E,MATCH('Chart of Accounts'!$A327,'Yardi Report'!$A:$A,0),1))</f>
        <v/>
      </c>
      <c r="B321">
        <f>IF(ISNA(INDEX('Yardi Report'!$A:$E,MATCH('Chart of Accounts'!$A327,'Yardi Report'!$A:$A,0),2)),"",INDEX('Yardi Report'!$A:$E,MATCH('Chart of Accounts'!$A327,'Yardi Report'!$A:$A,0),2))</f>
        <v/>
      </c>
      <c r="C321">
        <f>IF(A321="","",MAX($C$1:C320)+1)</f>
        <v/>
      </c>
      <c r="E321">
        <f>A321&amp;" "&amp;B321</f>
        <v/>
      </c>
      <c r="G321">
        <f>+G320+1</f>
        <v/>
      </c>
    </row>
    <row r="322">
      <c r="A322">
        <f>IF(ISNA(INDEX('Yardi Report'!$A:$E,MATCH('Chart of Accounts'!$A328,'Yardi Report'!$A:$A,0),1)),"",INDEX('Yardi Report'!$A:$E,MATCH('Chart of Accounts'!$A328,'Yardi Report'!$A:$A,0),1))</f>
        <v/>
      </c>
      <c r="B322">
        <f>IF(ISNA(INDEX('Yardi Report'!$A:$E,MATCH('Chart of Accounts'!$A328,'Yardi Report'!$A:$A,0),2)),"",INDEX('Yardi Report'!$A:$E,MATCH('Chart of Accounts'!$A328,'Yardi Report'!$A:$A,0),2))</f>
        <v/>
      </c>
      <c r="C322">
        <f>IF(A322="","",MAX($C$1:C321)+1)</f>
        <v/>
      </c>
      <c r="E322">
        <f>A322&amp;" "&amp;B322</f>
        <v/>
      </c>
      <c r="G322">
        <f>+G321+1</f>
        <v/>
      </c>
    </row>
    <row r="323">
      <c r="A323">
        <f>IF(ISNA(INDEX('Yardi Report'!$A:$E,MATCH('Chart of Accounts'!$A329,'Yardi Report'!$A:$A,0),1)),"",INDEX('Yardi Report'!$A:$E,MATCH('Chart of Accounts'!$A329,'Yardi Report'!$A:$A,0),1))</f>
        <v/>
      </c>
      <c r="B323">
        <f>IF(ISNA(INDEX('Yardi Report'!$A:$E,MATCH('Chart of Accounts'!$A329,'Yardi Report'!$A:$A,0),2)),"",INDEX('Yardi Report'!$A:$E,MATCH('Chart of Accounts'!$A329,'Yardi Report'!$A:$A,0),2))</f>
        <v/>
      </c>
      <c r="C323">
        <f>IF(A323="","",MAX($C$1:C322)+1)</f>
        <v/>
      </c>
      <c r="E323">
        <f>A323&amp;" "&amp;B323</f>
        <v/>
      </c>
      <c r="G323">
        <f>+G322+1</f>
        <v/>
      </c>
    </row>
    <row r="324">
      <c r="A324">
        <f>IF(ISNA(INDEX('Yardi Report'!$A:$E,MATCH('Chart of Accounts'!$A330,'Yardi Report'!$A:$A,0),1)),"",INDEX('Yardi Report'!$A:$E,MATCH('Chart of Accounts'!$A330,'Yardi Report'!$A:$A,0),1))</f>
        <v/>
      </c>
      <c r="B324">
        <f>IF(ISNA(INDEX('Yardi Report'!$A:$E,MATCH('Chart of Accounts'!$A330,'Yardi Report'!$A:$A,0),2)),"",INDEX('Yardi Report'!$A:$E,MATCH('Chart of Accounts'!$A330,'Yardi Report'!$A:$A,0),2))</f>
        <v/>
      </c>
      <c r="C324">
        <f>IF(A324="","",MAX($C$1:C323)+1)</f>
        <v/>
      </c>
      <c r="E324">
        <f>A324&amp;" "&amp;B324</f>
        <v/>
      </c>
      <c r="G324">
        <f>+G323+1</f>
        <v/>
      </c>
    </row>
    <row r="325">
      <c r="A325">
        <f>IF(ISNA(INDEX('Yardi Report'!$A:$E,MATCH('Chart of Accounts'!$A331,'Yardi Report'!$A:$A,0),1)),"",INDEX('Yardi Report'!$A:$E,MATCH('Chart of Accounts'!$A331,'Yardi Report'!$A:$A,0),1))</f>
        <v/>
      </c>
      <c r="B325">
        <f>IF(ISNA(INDEX('Yardi Report'!$A:$E,MATCH('Chart of Accounts'!$A331,'Yardi Report'!$A:$A,0),2)),"",INDEX('Yardi Report'!$A:$E,MATCH('Chart of Accounts'!$A331,'Yardi Report'!$A:$A,0),2))</f>
        <v/>
      </c>
      <c r="C325">
        <f>IF(A325="","",MAX($C$1:C324)+1)</f>
        <v/>
      </c>
      <c r="E325">
        <f>A325&amp;" "&amp;B325</f>
        <v/>
      </c>
      <c r="G325">
        <f>+G324+1</f>
        <v/>
      </c>
    </row>
    <row r="326">
      <c r="A326">
        <f>IF(ISNA(INDEX('Yardi Report'!$A:$E,MATCH('Chart of Accounts'!$A332,'Yardi Report'!$A:$A,0),1)),"",INDEX('Yardi Report'!$A:$E,MATCH('Chart of Accounts'!$A332,'Yardi Report'!$A:$A,0),1))</f>
        <v/>
      </c>
      <c r="B326">
        <f>IF(ISNA(INDEX('Yardi Report'!$A:$E,MATCH('Chart of Accounts'!$A332,'Yardi Report'!$A:$A,0),2)),"",INDEX('Yardi Report'!$A:$E,MATCH('Chart of Accounts'!$A332,'Yardi Report'!$A:$A,0),2))</f>
        <v/>
      </c>
      <c r="C326">
        <f>IF(A326="","",MAX($C$1:C325)+1)</f>
        <v/>
      </c>
      <c r="E326">
        <f>A326&amp;" "&amp;B326</f>
        <v/>
      </c>
      <c r="G326">
        <f>+G325+1</f>
        <v/>
      </c>
    </row>
    <row r="327">
      <c r="A327">
        <f>IF(ISNA(INDEX('Yardi Report'!$A:$E,MATCH('Chart of Accounts'!$A333,'Yardi Report'!$A:$A,0),1)),"",INDEX('Yardi Report'!$A:$E,MATCH('Chart of Accounts'!$A333,'Yardi Report'!$A:$A,0),1))</f>
        <v/>
      </c>
      <c r="B327">
        <f>IF(ISNA(INDEX('Yardi Report'!$A:$E,MATCH('Chart of Accounts'!$A333,'Yardi Report'!$A:$A,0),2)),"",INDEX('Yardi Report'!$A:$E,MATCH('Chart of Accounts'!$A333,'Yardi Report'!$A:$A,0),2))</f>
        <v/>
      </c>
      <c r="C327">
        <f>IF(A327="","",MAX($C$1:C326)+1)</f>
        <v/>
      </c>
      <c r="E327">
        <f>A327&amp;" "&amp;B327</f>
        <v/>
      </c>
      <c r="G327">
        <f>+G326+1</f>
        <v/>
      </c>
    </row>
    <row r="328">
      <c r="A328">
        <f>IF(ISNA(INDEX('Yardi Report'!$A:$E,MATCH('Chart of Accounts'!$A334,'Yardi Report'!$A:$A,0),1)),"",INDEX('Yardi Report'!$A:$E,MATCH('Chart of Accounts'!$A334,'Yardi Report'!$A:$A,0),1))</f>
        <v/>
      </c>
      <c r="B328">
        <f>IF(ISNA(INDEX('Yardi Report'!$A:$E,MATCH('Chart of Accounts'!$A334,'Yardi Report'!$A:$A,0),2)),"",INDEX('Yardi Report'!$A:$E,MATCH('Chart of Accounts'!$A334,'Yardi Report'!$A:$A,0),2))</f>
        <v/>
      </c>
      <c r="C328">
        <f>IF(A328="","",MAX($C$1:C327)+1)</f>
        <v/>
      </c>
      <c r="E328">
        <f>A328&amp;" "&amp;B328</f>
        <v/>
      </c>
      <c r="G328">
        <f>+G327+1</f>
        <v/>
      </c>
    </row>
    <row r="329">
      <c r="A329">
        <f>IF(ISNA(INDEX('Yardi Report'!$A:$E,MATCH('Chart of Accounts'!$A335,'Yardi Report'!$A:$A,0),1)),"",INDEX('Yardi Report'!$A:$E,MATCH('Chart of Accounts'!$A335,'Yardi Report'!$A:$A,0),1))</f>
        <v/>
      </c>
      <c r="B329">
        <f>IF(ISNA(INDEX('Yardi Report'!$A:$E,MATCH('Chart of Accounts'!$A335,'Yardi Report'!$A:$A,0),2)),"",INDEX('Yardi Report'!$A:$E,MATCH('Chart of Accounts'!$A335,'Yardi Report'!$A:$A,0),2))</f>
        <v/>
      </c>
      <c r="C329">
        <f>IF(A329="","",MAX($C$1:C328)+1)</f>
        <v/>
      </c>
      <c r="E329">
        <f>A329&amp;" "&amp;B329</f>
        <v/>
      </c>
      <c r="G329">
        <f>+G328+1</f>
        <v/>
      </c>
    </row>
    <row r="330">
      <c r="A330">
        <f>IF(ISNA(INDEX('Yardi Report'!$A:$E,MATCH('Chart of Accounts'!$A336,'Yardi Report'!$A:$A,0),1)),"",INDEX('Yardi Report'!$A:$E,MATCH('Chart of Accounts'!$A336,'Yardi Report'!$A:$A,0),1))</f>
        <v/>
      </c>
      <c r="B330">
        <f>IF(ISNA(INDEX('Yardi Report'!$A:$E,MATCH('Chart of Accounts'!$A336,'Yardi Report'!$A:$A,0),2)),"",INDEX('Yardi Report'!$A:$E,MATCH('Chart of Accounts'!$A336,'Yardi Report'!$A:$A,0),2))</f>
        <v/>
      </c>
      <c r="C330">
        <f>IF(A330="","",MAX($C$1:C329)+1)</f>
        <v/>
      </c>
      <c r="E330">
        <f>A330&amp;" "&amp;B330</f>
        <v/>
      </c>
      <c r="G330">
        <f>+G329+1</f>
        <v/>
      </c>
    </row>
    <row r="331">
      <c r="A331">
        <f>IF(ISNA(INDEX('Yardi Report'!$A:$E,MATCH('Chart of Accounts'!$A337,'Yardi Report'!$A:$A,0),1)),"",INDEX('Yardi Report'!$A:$E,MATCH('Chart of Accounts'!$A337,'Yardi Report'!$A:$A,0),1))</f>
        <v/>
      </c>
      <c r="B331">
        <f>IF(ISNA(INDEX('Yardi Report'!$A:$E,MATCH('Chart of Accounts'!$A337,'Yardi Report'!$A:$A,0),2)),"",INDEX('Yardi Report'!$A:$E,MATCH('Chart of Accounts'!$A337,'Yardi Report'!$A:$A,0),2))</f>
        <v/>
      </c>
      <c r="C331">
        <f>IF(A331="","",MAX($C$1:C330)+1)</f>
        <v/>
      </c>
      <c r="E331">
        <f>A331&amp;" "&amp;B331</f>
        <v/>
      </c>
      <c r="G331">
        <f>+G330+1</f>
        <v/>
      </c>
    </row>
    <row r="332">
      <c r="A332">
        <f>IF(ISNA(INDEX('Yardi Report'!$A:$E,MATCH('Chart of Accounts'!$A338,'Yardi Report'!$A:$A,0),1)),"",INDEX('Yardi Report'!$A:$E,MATCH('Chart of Accounts'!$A338,'Yardi Report'!$A:$A,0),1))</f>
        <v/>
      </c>
      <c r="B332">
        <f>IF(ISNA(INDEX('Yardi Report'!$A:$E,MATCH('Chart of Accounts'!$A338,'Yardi Report'!$A:$A,0),2)),"",INDEX('Yardi Report'!$A:$E,MATCH('Chart of Accounts'!$A338,'Yardi Report'!$A:$A,0),2))</f>
        <v/>
      </c>
      <c r="C332">
        <f>IF(A332="","",MAX($C$1:C331)+1)</f>
        <v/>
      </c>
      <c r="E332">
        <f>A332&amp;" "&amp;B332</f>
        <v/>
      </c>
      <c r="G332">
        <f>+G331+1</f>
        <v/>
      </c>
    </row>
    <row r="333">
      <c r="A333">
        <f>IF(ISNA(INDEX('Yardi Report'!$A:$E,MATCH('Chart of Accounts'!$A339,'Yardi Report'!$A:$A,0),1)),"",INDEX('Yardi Report'!$A:$E,MATCH('Chart of Accounts'!$A339,'Yardi Report'!$A:$A,0),1))</f>
        <v/>
      </c>
      <c r="B333">
        <f>IF(ISNA(INDEX('Yardi Report'!$A:$E,MATCH('Chart of Accounts'!$A339,'Yardi Report'!$A:$A,0),2)),"",INDEX('Yardi Report'!$A:$E,MATCH('Chart of Accounts'!$A339,'Yardi Report'!$A:$A,0),2))</f>
        <v/>
      </c>
      <c r="C333">
        <f>IF(A333="","",MAX($C$1:C332)+1)</f>
        <v/>
      </c>
      <c r="E333">
        <f>A333&amp;" "&amp;B333</f>
        <v/>
      </c>
      <c r="G333">
        <f>+G332+1</f>
        <v/>
      </c>
    </row>
    <row r="334">
      <c r="A334">
        <f>IF(ISNA(INDEX('Yardi Report'!$A:$E,MATCH('Chart of Accounts'!$A340,'Yardi Report'!$A:$A,0),1)),"",INDEX('Yardi Report'!$A:$E,MATCH('Chart of Accounts'!$A340,'Yardi Report'!$A:$A,0),1))</f>
        <v/>
      </c>
      <c r="B334">
        <f>IF(ISNA(INDEX('Yardi Report'!$A:$E,MATCH('Chart of Accounts'!$A340,'Yardi Report'!$A:$A,0),2)),"",INDEX('Yardi Report'!$A:$E,MATCH('Chart of Accounts'!$A340,'Yardi Report'!$A:$A,0),2))</f>
        <v/>
      </c>
      <c r="C334">
        <f>IF(A334="","",MAX($C$1:C333)+1)</f>
        <v/>
      </c>
      <c r="E334">
        <f>A334&amp;" "&amp;B334</f>
        <v/>
      </c>
      <c r="G334">
        <f>+G333+1</f>
        <v/>
      </c>
    </row>
    <row r="335">
      <c r="A335">
        <f>IF(ISNA(INDEX('Yardi Report'!$A:$E,MATCH('Chart of Accounts'!$A341,'Yardi Report'!$A:$A,0),1)),"",INDEX('Yardi Report'!$A:$E,MATCH('Chart of Accounts'!$A341,'Yardi Report'!$A:$A,0),1))</f>
        <v/>
      </c>
      <c r="B335">
        <f>IF(ISNA(INDEX('Yardi Report'!$A:$E,MATCH('Chart of Accounts'!$A341,'Yardi Report'!$A:$A,0),2)),"",INDEX('Yardi Report'!$A:$E,MATCH('Chart of Accounts'!$A341,'Yardi Report'!$A:$A,0),2))</f>
        <v/>
      </c>
      <c r="C335">
        <f>IF(A335="","",MAX($C$1:C334)+1)</f>
        <v/>
      </c>
      <c r="E335">
        <f>A335&amp;" "&amp;B335</f>
        <v/>
      </c>
      <c r="G335">
        <f>+G334+1</f>
        <v/>
      </c>
    </row>
    <row r="336">
      <c r="A336">
        <f>IF(ISNA(INDEX('Yardi Report'!$A:$E,MATCH('Chart of Accounts'!$A342,'Yardi Report'!$A:$A,0),1)),"",INDEX('Yardi Report'!$A:$E,MATCH('Chart of Accounts'!$A342,'Yardi Report'!$A:$A,0),1))</f>
        <v/>
      </c>
      <c r="B336">
        <f>IF(ISNA(INDEX('Yardi Report'!$A:$E,MATCH('Chart of Accounts'!$A342,'Yardi Report'!$A:$A,0),2)),"",INDEX('Yardi Report'!$A:$E,MATCH('Chart of Accounts'!$A342,'Yardi Report'!$A:$A,0),2))</f>
        <v/>
      </c>
      <c r="C336">
        <f>IF(A336="","",MAX($C$1:C335)+1)</f>
        <v/>
      </c>
      <c r="E336">
        <f>A336&amp;" "&amp;B336</f>
        <v/>
      </c>
      <c r="G336">
        <f>+G335+1</f>
        <v/>
      </c>
    </row>
    <row r="337">
      <c r="A337">
        <f>IF(ISNA(INDEX('Yardi Report'!$A:$E,MATCH('Chart of Accounts'!$A343,'Yardi Report'!$A:$A,0),1)),"",INDEX('Yardi Report'!$A:$E,MATCH('Chart of Accounts'!$A343,'Yardi Report'!$A:$A,0),1))</f>
        <v/>
      </c>
      <c r="B337">
        <f>IF(ISNA(INDEX('Yardi Report'!$A:$E,MATCH('Chart of Accounts'!$A343,'Yardi Report'!$A:$A,0),2)),"",INDEX('Yardi Report'!$A:$E,MATCH('Chart of Accounts'!$A343,'Yardi Report'!$A:$A,0),2))</f>
        <v/>
      </c>
      <c r="C337">
        <f>IF(A337="","",MAX($C$1:C336)+1)</f>
        <v/>
      </c>
      <c r="E337">
        <f>A337&amp;" "&amp;B337</f>
        <v/>
      </c>
      <c r="G337">
        <f>+G336+1</f>
        <v/>
      </c>
    </row>
    <row r="338">
      <c r="A338">
        <f>IF(ISNA(INDEX('Yardi Report'!$A:$E,MATCH('Chart of Accounts'!$A344,'Yardi Report'!$A:$A,0),1)),"",INDEX('Yardi Report'!$A:$E,MATCH('Chart of Accounts'!$A344,'Yardi Report'!$A:$A,0),1))</f>
        <v/>
      </c>
      <c r="B338">
        <f>IF(ISNA(INDEX('Yardi Report'!$A:$E,MATCH('Chart of Accounts'!$A344,'Yardi Report'!$A:$A,0),2)),"",INDEX('Yardi Report'!$A:$E,MATCH('Chart of Accounts'!$A344,'Yardi Report'!$A:$A,0),2))</f>
        <v/>
      </c>
      <c r="C338">
        <f>IF(A338="","",MAX($C$1:C337)+1)</f>
        <v/>
      </c>
      <c r="E338">
        <f>A338&amp;" "&amp;B338</f>
        <v/>
      </c>
      <c r="G338">
        <f>+G337+1</f>
        <v/>
      </c>
    </row>
    <row r="339">
      <c r="A339">
        <f>IF(ISNA(INDEX('Yardi Report'!$A:$E,MATCH('Chart of Accounts'!$A345,'Yardi Report'!$A:$A,0),1)),"",INDEX('Yardi Report'!$A:$E,MATCH('Chart of Accounts'!$A345,'Yardi Report'!$A:$A,0),1))</f>
        <v/>
      </c>
      <c r="B339">
        <f>IF(ISNA(INDEX('Yardi Report'!$A:$E,MATCH('Chart of Accounts'!$A345,'Yardi Report'!$A:$A,0),2)),"",INDEX('Yardi Report'!$A:$E,MATCH('Chart of Accounts'!$A345,'Yardi Report'!$A:$A,0),2))</f>
        <v/>
      </c>
      <c r="C339">
        <f>IF(A339="","",MAX($C$1:C338)+1)</f>
        <v/>
      </c>
      <c r="E339">
        <f>A339&amp;" "&amp;B339</f>
        <v/>
      </c>
      <c r="G339">
        <f>+G338+1</f>
        <v/>
      </c>
    </row>
    <row r="340">
      <c r="A340">
        <f>IF(ISNA(INDEX('Yardi Report'!$A:$E,MATCH('Chart of Accounts'!$A346,'Yardi Report'!$A:$A,0),1)),"",INDEX('Yardi Report'!$A:$E,MATCH('Chart of Accounts'!$A346,'Yardi Report'!$A:$A,0),1))</f>
        <v/>
      </c>
      <c r="B340">
        <f>IF(ISNA(INDEX('Yardi Report'!$A:$E,MATCH('Chart of Accounts'!$A346,'Yardi Report'!$A:$A,0),2)),"",INDEX('Yardi Report'!$A:$E,MATCH('Chart of Accounts'!$A346,'Yardi Report'!$A:$A,0),2))</f>
        <v/>
      </c>
      <c r="C340">
        <f>IF(A340="","",MAX($C$1:C339)+1)</f>
        <v/>
      </c>
      <c r="E340">
        <f>A340&amp;" "&amp;B340</f>
        <v/>
      </c>
      <c r="G340">
        <f>+G339+1</f>
        <v/>
      </c>
    </row>
    <row r="341">
      <c r="A341">
        <f>IF(ISNA(INDEX('Yardi Report'!$A:$E,MATCH('Chart of Accounts'!$A347,'Yardi Report'!$A:$A,0),1)),"",INDEX('Yardi Report'!$A:$E,MATCH('Chart of Accounts'!$A347,'Yardi Report'!$A:$A,0),1))</f>
        <v/>
      </c>
      <c r="B341">
        <f>IF(ISNA(INDEX('Yardi Report'!$A:$E,MATCH('Chart of Accounts'!$A347,'Yardi Report'!$A:$A,0),2)),"",INDEX('Yardi Report'!$A:$E,MATCH('Chart of Accounts'!$A347,'Yardi Report'!$A:$A,0),2))</f>
        <v/>
      </c>
      <c r="C341">
        <f>IF(A341="","",MAX($C$1:C340)+1)</f>
        <v/>
      </c>
      <c r="E341">
        <f>A341&amp;" "&amp;B341</f>
        <v/>
      </c>
      <c r="G341">
        <f>+G340+1</f>
        <v/>
      </c>
    </row>
    <row r="342">
      <c r="A342">
        <f>IF(ISNA(INDEX('Yardi Report'!$A:$E,MATCH('Chart of Accounts'!$A348,'Yardi Report'!$A:$A,0),1)),"",INDEX('Yardi Report'!$A:$E,MATCH('Chart of Accounts'!$A348,'Yardi Report'!$A:$A,0),1))</f>
        <v/>
      </c>
      <c r="B342">
        <f>IF(ISNA(INDEX('Yardi Report'!$A:$E,MATCH('Chart of Accounts'!$A348,'Yardi Report'!$A:$A,0),2)),"",INDEX('Yardi Report'!$A:$E,MATCH('Chart of Accounts'!$A348,'Yardi Report'!$A:$A,0),2))</f>
        <v/>
      </c>
      <c r="C342">
        <f>IF(A342="","",MAX($C$1:C341)+1)</f>
        <v/>
      </c>
      <c r="E342">
        <f>A342&amp;" "&amp;B342</f>
        <v/>
      </c>
      <c r="G342">
        <f>+G341+1</f>
        <v/>
      </c>
    </row>
    <row r="343">
      <c r="A343">
        <f>IF(ISNA(INDEX('Yardi Report'!$A:$E,MATCH('Chart of Accounts'!$A349,'Yardi Report'!$A:$A,0),1)),"",INDEX('Yardi Report'!$A:$E,MATCH('Chart of Accounts'!$A349,'Yardi Report'!$A:$A,0),1))</f>
        <v/>
      </c>
      <c r="B343">
        <f>IF(ISNA(INDEX('Yardi Report'!$A:$E,MATCH('Chart of Accounts'!$A349,'Yardi Report'!$A:$A,0),2)),"",INDEX('Yardi Report'!$A:$E,MATCH('Chart of Accounts'!$A349,'Yardi Report'!$A:$A,0),2))</f>
        <v/>
      </c>
      <c r="C343">
        <f>IF(A343="","",MAX($C$1:C342)+1)</f>
        <v/>
      </c>
      <c r="E343">
        <f>A343&amp;" "&amp;B343</f>
        <v/>
      </c>
      <c r="G343">
        <f>+G342+1</f>
        <v/>
      </c>
    </row>
    <row r="344">
      <c r="A344">
        <f>IF(ISNA(INDEX('Yardi Report'!$A:$E,MATCH('Chart of Accounts'!$A350,'Yardi Report'!$A:$A,0),1)),"",INDEX('Yardi Report'!$A:$E,MATCH('Chart of Accounts'!$A350,'Yardi Report'!$A:$A,0),1))</f>
        <v/>
      </c>
      <c r="B344">
        <f>IF(ISNA(INDEX('Yardi Report'!$A:$E,MATCH('Chart of Accounts'!$A350,'Yardi Report'!$A:$A,0),2)),"",INDEX('Yardi Report'!$A:$E,MATCH('Chart of Accounts'!$A350,'Yardi Report'!$A:$A,0),2))</f>
        <v/>
      </c>
      <c r="C344">
        <f>IF(A344="","",MAX($C$1:C343)+1)</f>
        <v/>
      </c>
      <c r="E344">
        <f>A344&amp;" "&amp;B344</f>
        <v/>
      </c>
      <c r="G344">
        <f>+G343+1</f>
        <v/>
      </c>
    </row>
    <row r="345">
      <c r="A345">
        <f>IF(ISNA(INDEX('Yardi Report'!$A:$E,MATCH('Chart of Accounts'!$A351,'Yardi Report'!$A:$A,0),1)),"",INDEX('Yardi Report'!$A:$E,MATCH('Chart of Accounts'!$A351,'Yardi Report'!$A:$A,0),1))</f>
        <v/>
      </c>
      <c r="B345">
        <f>IF(ISNA(INDEX('Yardi Report'!$A:$E,MATCH('Chart of Accounts'!$A351,'Yardi Report'!$A:$A,0),2)),"",INDEX('Yardi Report'!$A:$E,MATCH('Chart of Accounts'!$A351,'Yardi Report'!$A:$A,0),2))</f>
        <v/>
      </c>
      <c r="C345">
        <f>IF(A345="","",MAX($C$1:C344)+1)</f>
        <v/>
      </c>
      <c r="E345">
        <f>A345&amp;" "&amp;B345</f>
        <v/>
      </c>
      <c r="G345">
        <f>+G344+1</f>
        <v/>
      </c>
    </row>
    <row r="346">
      <c r="A346">
        <f>IF(ISNA(INDEX('Yardi Report'!$A:$E,MATCH('Chart of Accounts'!$A352,'Yardi Report'!$A:$A,0),1)),"",INDEX('Yardi Report'!$A:$E,MATCH('Chart of Accounts'!$A352,'Yardi Report'!$A:$A,0),1))</f>
        <v/>
      </c>
      <c r="B346">
        <f>IF(ISNA(INDEX('Yardi Report'!$A:$E,MATCH('Chart of Accounts'!$A352,'Yardi Report'!$A:$A,0),2)),"",INDEX('Yardi Report'!$A:$E,MATCH('Chart of Accounts'!$A352,'Yardi Report'!$A:$A,0),2))</f>
        <v/>
      </c>
      <c r="C346">
        <f>IF(A346="","",MAX($C$1:C345)+1)</f>
        <v/>
      </c>
      <c r="E346">
        <f>A346&amp;" "&amp;B346</f>
        <v/>
      </c>
      <c r="G346">
        <f>+G345+1</f>
        <v/>
      </c>
    </row>
    <row r="347">
      <c r="A347">
        <f>IF(ISNA(INDEX('Yardi Report'!$A:$E,MATCH('Chart of Accounts'!$A353,'Yardi Report'!$A:$A,0),1)),"",INDEX('Yardi Report'!$A:$E,MATCH('Chart of Accounts'!$A353,'Yardi Report'!$A:$A,0),1))</f>
        <v/>
      </c>
      <c r="B347">
        <f>IF(ISNA(INDEX('Yardi Report'!$A:$E,MATCH('Chart of Accounts'!$A353,'Yardi Report'!$A:$A,0),2)),"",INDEX('Yardi Report'!$A:$E,MATCH('Chart of Accounts'!$A353,'Yardi Report'!$A:$A,0),2))</f>
        <v/>
      </c>
      <c r="C347">
        <f>IF(A347="","",MAX($C$1:C346)+1)</f>
        <v/>
      </c>
      <c r="E347">
        <f>A347&amp;" "&amp;B347</f>
        <v/>
      </c>
      <c r="G347">
        <f>+G346+1</f>
        <v/>
      </c>
    </row>
    <row r="348">
      <c r="A348">
        <f>IF(ISNA(INDEX('Yardi Report'!$A:$E,MATCH('Chart of Accounts'!$A354,'Yardi Report'!$A:$A,0),1)),"",INDEX('Yardi Report'!$A:$E,MATCH('Chart of Accounts'!$A354,'Yardi Report'!$A:$A,0),1))</f>
        <v/>
      </c>
      <c r="B348">
        <f>IF(ISNA(INDEX('Yardi Report'!$A:$E,MATCH('Chart of Accounts'!$A354,'Yardi Report'!$A:$A,0),2)),"",INDEX('Yardi Report'!$A:$E,MATCH('Chart of Accounts'!$A354,'Yardi Report'!$A:$A,0),2))</f>
        <v/>
      </c>
      <c r="C348">
        <f>IF(A348="","",MAX($C$1:C347)+1)</f>
        <v/>
      </c>
      <c r="E348">
        <f>A348&amp;" "&amp;B348</f>
        <v/>
      </c>
      <c r="G348">
        <f>+G347+1</f>
        <v/>
      </c>
    </row>
    <row r="349">
      <c r="A349">
        <f>IF(ISNA(INDEX('Yardi Report'!$A:$E,MATCH('Chart of Accounts'!$A355,'Yardi Report'!$A:$A,0),1)),"",INDEX('Yardi Report'!$A:$E,MATCH('Chart of Accounts'!$A355,'Yardi Report'!$A:$A,0),1))</f>
        <v/>
      </c>
      <c r="B349">
        <f>IF(ISNA(INDEX('Yardi Report'!$A:$E,MATCH('Chart of Accounts'!$A355,'Yardi Report'!$A:$A,0),2)),"",INDEX('Yardi Report'!$A:$E,MATCH('Chart of Accounts'!$A355,'Yardi Report'!$A:$A,0),2))</f>
        <v/>
      </c>
      <c r="C349">
        <f>IF(A349="","",MAX($C$1:C348)+1)</f>
        <v/>
      </c>
      <c r="E349">
        <f>A349&amp;" "&amp;B349</f>
        <v/>
      </c>
      <c r="G349">
        <f>+G348+1</f>
        <v/>
      </c>
    </row>
    <row r="350">
      <c r="A350">
        <f>IF(ISNA(INDEX('Yardi Report'!$A:$E,MATCH('Chart of Accounts'!$A356,'Yardi Report'!$A:$A,0),1)),"",INDEX('Yardi Report'!$A:$E,MATCH('Chart of Accounts'!$A356,'Yardi Report'!$A:$A,0),1))</f>
        <v/>
      </c>
      <c r="B350">
        <f>IF(ISNA(INDEX('Yardi Report'!$A:$E,MATCH('Chart of Accounts'!$A356,'Yardi Report'!$A:$A,0),2)),"",INDEX('Yardi Report'!$A:$E,MATCH('Chart of Accounts'!$A356,'Yardi Report'!$A:$A,0),2))</f>
        <v/>
      </c>
      <c r="C350">
        <f>IF(A350="","",MAX($C$1:C349)+1)</f>
        <v/>
      </c>
      <c r="E350">
        <f>A350&amp;" "&amp;B350</f>
        <v/>
      </c>
      <c r="G350">
        <f>+G349+1</f>
        <v/>
      </c>
    </row>
    <row r="351">
      <c r="A351">
        <f>IF(ISNA(INDEX('Yardi Report'!$A:$E,MATCH('Chart of Accounts'!$A357,'Yardi Report'!$A:$A,0),1)),"",INDEX('Yardi Report'!$A:$E,MATCH('Chart of Accounts'!$A357,'Yardi Report'!$A:$A,0),1))</f>
        <v/>
      </c>
      <c r="B351">
        <f>IF(ISNA(INDEX('Yardi Report'!$A:$E,MATCH('Chart of Accounts'!$A357,'Yardi Report'!$A:$A,0),2)),"",INDEX('Yardi Report'!$A:$E,MATCH('Chart of Accounts'!$A357,'Yardi Report'!$A:$A,0),2))</f>
        <v/>
      </c>
      <c r="C351">
        <f>IF(A351="","",MAX($C$1:C350)+1)</f>
        <v/>
      </c>
      <c r="E351">
        <f>A351&amp;" "&amp;B351</f>
        <v/>
      </c>
      <c r="G351">
        <f>+G350+1</f>
        <v/>
      </c>
    </row>
    <row r="352">
      <c r="A352">
        <f>IF(ISNA(INDEX('Yardi Report'!$A:$E,MATCH('Chart of Accounts'!$A358,'Yardi Report'!$A:$A,0),1)),"",INDEX('Yardi Report'!$A:$E,MATCH('Chart of Accounts'!$A358,'Yardi Report'!$A:$A,0),1))</f>
        <v/>
      </c>
      <c r="B352">
        <f>IF(ISNA(INDEX('Yardi Report'!$A:$E,MATCH('Chart of Accounts'!$A358,'Yardi Report'!$A:$A,0),2)),"",INDEX('Yardi Report'!$A:$E,MATCH('Chart of Accounts'!$A358,'Yardi Report'!$A:$A,0),2))</f>
        <v/>
      </c>
      <c r="C352">
        <f>IF(A352="","",MAX($C$1:C351)+1)</f>
        <v/>
      </c>
      <c r="E352">
        <f>A352&amp;" "&amp;B352</f>
        <v/>
      </c>
      <c r="G352">
        <f>+G351+1</f>
        <v/>
      </c>
    </row>
    <row r="353">
      <c r="A353">
        <f>IF(ISNA(INDEX('Yardi Report'!$A:$E,MATCH('Chart of Accounts'!$A359,'Yardi Report'!$A:$A,0),1)),"",INDEX('Yardi Report'!$A:$E,MATCH('Chart of Accounts'!$A359,'Yardi Report'!$A:$A,0),1))</f>
        <v/>
      </c>
      <c r="B353">
        <f>IF(ISNA(INDEX('Yardi Report'!$A:$E,MATCH('Chart of Accounts'!$A359,'Yardi Report'!$A:$A,0),2)),"",INDEX('Yardi Report'!$A:$E,MATCH('Chart of Accounts'!$A359,'Yardi Report'!$A:$A,0),2))</f>
        <v/>
      </c>
      <c r="C353">
        <f>IF(A353="","",MAX($C$1:C352)+1)</f>
        <v/>
      </c>
      <c r="E353">
        <f>A353&amp;" "&amp;B353</f>
        <v/>
      </c>
      <c r="G353">
        <f>+G352+1</f>
        <v/>
      </c>
    </row>
    <row r="354">
      <c r="A354">
        <f>IF(ISNA(INDEX('Yardi Report'!$A:$E,MATCH('Chart of Accounts'!$A360,'Yardi Report'!$A:$A,0),1)),"",INDEX('Yardi Report'!$A:$E,MATCH('Chart of Accounts'!$A360,'Yardi Report'!$A:$A,0),1))</f>
        <v/>
      </c>
      <c r="B354">
        <f>IF(ISNA(INDEX('Yardi Report'!$A:$E,MATCH('Chart of Accounts'!$A360,'Yardi Report'!$A:$A,0),2)),"",INDEX('Yardi Report'!$A:$E,MATCH('Chart of Accounts'!$A360,'Yardi Report'!$A:$A,0),2))</f>
        <v/>
      </c>
      <c r="C354">
        <f>IF(A354="","",MAX($C$1:C353)+1)</f>
        <v/>
      </c>
      <c r="E354">
        <f>A354&amp;" "&amp;B354</f>
        <v/>
      </c>
      <c r="G354">
        <f>+G353+1</f>
        <v/>
      </c>
    </row>
    <row r="355">
      <c r="A355">
        <f>IF(ISNA(INDEX('Yardi Report'!$A:$E,MATCH('Chart of Accounts'!$A361,'Yardi Report'!$A:$A,0),1)),"",INDEX('Yardi Report'!$A:$E,MATCH('Chart of Accounts'!$A361,'Yardi Report'!$A:$A,0),1))</f>
        <v/>
      </c>
      <c r="B355">
        <f>IF(ISNA(INDEX('Yardi Report'!$A:$E,MATCH('Chart of Accounts'!$A361,'Yardi Report'!$A:$A,0),2)),"",INDEX('Yardi Report'!$A:$E,MATCH('Chart of Accounts'!$A361,'Yardi Report'!$A:$A,0),2))</f>
        <v/>
      </c>
      <c r="C355">
        <f>IF(A355="","",MAX($C$1:C354)+1)</f>
        <v/>
      </c>
      <c r="E355">
        <f>A355&amp;" "&amp;B355</f>
        <v/>
      </c>
      <c r="G355">
        <f>+G354+1</f>
        <v/>
      </c>
    </row>
    <row r="356">
      <c r="A356">
        <f>IF(ISNA(INDEX('Yardi Report'!$A:$E,MATCH('Chart of Accounts'!$A362,'Yardi Report'!$A:$A,0),1)),"",INDEX('Yardi Report'!$A:$E,MATCH('Chart of Accounts'!$A362,'Yardi Report'!$A:$A,0),1))</f>
        <v/>
      </c>
      <c r="B356">
        <f>IF(ISNA(INDEX('Yardi Report'!$A:$E,MATCH('Chart of Accounts'!$A362,'Yardi Report'!$A:$A,0),2)),"",INDEX('Yardi Report'!$A:$E,MATCH('Chart of Accounts'!$A362,'Yardi Report'!$A:$A,0),2))</f>
        <v/>
      </c>
      <c r="C356">
        <f>IF(A356="","",MAX($C$1:C355)+1)</f>
        <v/>
      </c>
      <c r="E356">
        <f>A356&amp;" "&amp;B356</f>
        <v/>
      </c>
      <c r="G356">
        <f>+G355+1</f>
        <v/>
      </c>
    </row>
    <row r="357">
      <c r="A357">
        <f>IF(ISNA(INDEX('Yardi Report'!$A:$E,MATCH('Chart of Accounts'!$A363,'Yardi Report'!$A:$A,0),1)),"",INDEX('Yardi Report'!$A:$E,MATCH('Chart of Accounts'!$A363,'Yardi Report'!$A:$A,0),1))</f>
        <v/>
      </c>
      <c r="B357">
        <f>IF(ISNA(INDEX('Yardi Report'!$A:$E,MATCH('Chart of Accounts'!$A363,'Yardi Report'!$A:$A,0),2)),"",INDEX('Yardi Report'!$A:$E,MATCH('Chart of Accounts'!$A363,'Yardi Report'!$A:$A,0),2))</f>
        <v/>
      </c>
      <c r="C357">
        <f>IF(A357="","",MAX($C$1:C356)+1)</f>
        <v/>
      </c>
      <c r="E357">
        <f>A357&amp;" "&amp;B357</f>
        <v/>
      </c>
      <c r="G357">
        <f>+G356+1</f>
        <v/>
      </c>
    </row>
    <row r="358">
      <c r="A358">
        <f>IF(ISNA(INDEX('Yardi Report'!$A:$E,MATCH('Chart of Accounts'!$A364,'Yardi Report'!$A:$A,0),1)),"",INDEX('Yardi Report'!$A:$E,MATCH('Chart of Accounts'!$A364,'Yardi Report'!$A:$A,0),1))</f>
        <v/>
      </c>
      <c r="B358">
        <f>IF(ISNA(INDEX('Yardi Report'!$A:$E,MATCH('Chart of Accounts'!$A364,'Yardi Report'!$A:$A,0),2)),"",INDEX('Yardi Report'!$A:$E,MATCH('Chart of Accounts'!$A364,'Yardi Report'!$A:$A,0),2))</f>
        <v/>
      </c>
      <c r="C358">
        <f>IF(A358="","",MAX($C$1:C357)+1)</f>
        <v/>
      </c>
      <c r="E358">
        <f>A358&amp;" "&amp;B358</f>
        <v/>
      </c>
      <c r="G358">
        <f>+G357+1</f>
        <v/>
      </c>
    </row>
    <row r="359">
      <c r="A359">
        <f>IF(ISNA(INDEX('Yardi Report'!$A:$E,MATCH('Chart of Accounts'!$A365,'Yardi Report'!$A:$A,0),1)),"",INDEX('Yardi Report'!$A:$E,MATCH('Chart of Accounts'!$A365,'Yardi Report'!$A:$A,0),1))</f>
        <v/>
      </c>
      <c r="B359">
        <f>IF(ISNA(INDEX('Yardi Report'!$A:$E,MATCH('Chart of Accounts'!$A365,'Yardi Report'!$A:$A,0),2)),"",INDEX('Yardi Report'!$A:$E,MATCH('Chart of Accounts'!$A365,'Yardi Report'!$A:$A,0),2))</f>
        <v/>
      </c>
      <c r="C359">
        <f>IF(A359="","",MAX($C$1:C358)+1)</f>
        <v/>
      </c>
      <c r="E359">
        <f>A359&amp;" "&amp;B359</f>
        <v/>
      </c>
      <c r="G359">
        <f>+G358+1</f>
        <v/>
      </c>
    </row>
    <row r="360">
      <c r="A360">
        <f>IF(ISNA(INDEX('Yardi Report'!$A:$E,MATCH('Chart of Accounts'!$A366,'Yardi Report'!$A:$A,0),1)),"",INDEX('Yardi Report'!$A:$E,MATCH('Chart of Accounts'!$A366,'Yardi Report'!$A:$A,0),1))</f>
        <v/>
      </c>
      <c r="B360">
        <f>IF(ISNA(INDEX('Yardi Report'!$A:$E,MATCH('Chart of Accounts'!$A366,'Yardi Report'!$A:$A,0),2)),"",INDEX('Yardi Report'!$A:$E,MATCH('Chart of Accounts'!$A366,'Yardi Report'!$A:$A,0),2))</f>
        <v/>
      </c>
      <c r="C360">
        <f>IF(A360="","",MAX($C$1:C359)+1)</f>
        <v/>
      </c>
      <c r="E360">
        <f>A360&amp;" "&amp;B360</f>
        <v/>
      </c>
      <c r="G360">
        <f>+G359+1</f>
        <v/>
      </c>
    </row>
    <row r="361">
      <c r="A361">
        <f>IF(ISNA(INDEX('Yardi Report'!$A:$E,MATCH('Chart of Accounts'!$A367,'Yardi Report'!$A:$A,0),1)),"",INDEX('Yardi Report'!$A:$E,MATCH('Chart of Accounts'!$A367,'Yardi Report'!$A:$A,0),1))</f>
        <v/>
      </c>
      <c r="B361">
        <f>IF(ISNA(INDEX('Yardi Report'!$A:$E,MATCH('Chart of Accounts'!$A367,'Yardi Report'!$A:$A,0),2)),"",INDEX('Yardi Report'!$A:$E,MATCH('Chart of Accounts'!$A367,'Yardi Report'!$A:$A,0),2))</f>
        <v/>
      </c>
      <c r="C361">
        <f>IF(A361="","",MAX($C$1:C360)+1)</f>
        <v/>
      </c>
      <c r="E361">
        <f>A361&amp;" "&amp;B361</f>
        <v/>
      </c>
      <c r="G361">
        <f>+G360+1</f>
        <v/>
      </c>
    </row>
    <row r="362">
      <c r="A362">
        <f>IF(ISNA(INDEX('Yardi Report'!$A:$E,MATCH('Chart of Accounts'!$A368,'Yardi Report'!$A:$A,0),1)),"",INDEX('Yardi Report'!$A:$E,MATCH('Chart of Accounts'!$A368,'Yardi Report'!$A:$A,0),1))</f>
        <v/>
      </c>
      <c r="B362">
        <f>IF(ISNA(INDEX('Yardi Report'!$A:$E,MATCH('Chart of Accounts'!$A368,'Yardi Report'!$A:$A,0),2)),"",INDEX('Yardi Report'!$A:$E,MATCH('Chart of Accounts'!$A368,'Yardi Report'!$A:$A,0),2))</f>
        <v/>
      </c>
      <c r="C362">
        <f>IF(A362="","",MAX($C$1:C361)+1)</f>
        <v/>
      </c>
      <c r="E362">
        <f>A362&amp;" "&amp;B362</f>
        <v/>
      </c>
      <c r="G362">
        <f>+G361+1</f>
        <v/>
      </c>
    </row>
    <row r="363">
      <c r="A363">
        <f>IF(ISNA(INDEX('Yardi Report'!$A:$E,MATCH('Chart of Accounts'!$A369,'Yardi Report'!$A:$A,0),1)),"",INDEX('Yardi Report'!$A:$E,MATCH('Chart of Accounts'!$A369,'Yardi Report'!$A:$A,0),1))</f>
        <v/>
      </c>
      <c r="B363">
        <f>IF(ISNA(INDEX('Yardi Report'!$A:$E,MATCH('Chart of Accounts'!$A369,'Yardi Report'!$A:$A,0),2)),"",INDEX('Yardi Report'!$A:$E,MATCH('Chart of Accounts'!$A369,'Yardi Report'!$A:$A,0),2))</f>
        <v/>
      </c>
      <c r="C363">
        <f>IF(A363="","",MAX($C$1:C362)+1)</f>
        <v/>
      </c>
      <c r="E363">
        <f>A363&amp;" "&amp;B363</f>
        <v/>
      </c>
      <c r="G363">
        <f>+G362+1</f>
        <v/>
      </c>
    </row>
    <row r="364">
      <c r="A364">
        <f>IF(ISNA(INDEX('Yardi Report'!$A:$E,MATCH('Chart of Accounts'!$A370,'Yardi Report'!$A:$A,0),1)),"",INDEX('Yardi Report'!$A:$E,MATCH('Chart of Accounts'!$A370,'Yardi Report'!$A:$A,0),1))</f>
        <v/>
      </c>
      <c r="B364">
        <f>IF(ISNA(INDEX('Yardi Report'!$A:$E,MATCH('Chart of Accounts'!$A370,'Yardi Report'!$A:$A,0),2)),"",INDEX('Yardi Report'!$A:$E,MATCH('Chart of Accounts'!$A370,'Yardi Report'!$A:$A,0),2))</f>
        <v/>
      </c>
      <c r="C364">
        <f>IF(A364="","",MAX($C$1:C363)+1)</f>
        <v/>
      </c>
      <c r="E364">
        <f>A364&amp;" "&amp;B364</f>
        <v/>
      </c>
      <c r="G364">
        <f>+G363+1</f>
        <v/>
      </c>
    </row>
    <row r="365">
      <c r="A365">
        <f>IF(ISNA(INDEX('Yardi Report'!$A:$E,MATCH('Chart of Accounts'!$A371,'Yardi Report'!$A:$A,0),1)),"",INDEX('Yardi Report'!$A:$E,MATCH('Chart of Accounts'!$A371,'Yardi Report'!$A:$A,0),1))</f>
        <v/>
      </c>
      <c r="B365">
        <f>IF(ISNA(INDEX('Yardi Report'!$A:$E,MATCH('Chart of Accounts'!$A371,'Yardi Report'!$A:$A,0),2)),"",INDEX('Yardi Report'!$A:$E,MATCH('Chart of Accounts'!$A371,'Yardi Report'!$A:$A,0),2))</f>
        <v/>
      </c>
      <c r="C365">
        <f>IF(A365="","",MAX($C$1:C364)+1)</f>
        <v/>
      </c>
      <c r="E365">
        <f>A365&amp;" "&amp;B365</f>
        <v/>
      </c>
      <c r="G365">
        <f>+G364+1</f>
        <v/>
      </c>
    </row>
    <row r="366">
      <c r="A366">
        <f>IF(ISNA(INDEX('Yardi Report'!$A:$E,MATCH('Chart of Accounts'!$A372,'Yardi Report'!$A:$A,0),1)),"",INDEX('Yardi Report'!$A:$E,MATCH('Chart of Accounts'!$A372,'Yardi Report'!$A:$A,0),1))</f>
        <v/>
      </c>
      <c r="B366">
        <f>IF(ISNA(INDEX('Yardi Report'!$A:$E,MATCH('Chart of Accounts'!$A372,'Yardi Report'!$A:$A,0),2)),"",INDEX('Yardi Report'!$A:$E,MATCH('Chart of Accounts'!$A372,'Yardi Report'!$A:$A,0),2))</f>
        <v/>
      </c>
      <c r="C366">
        <f>IF(A366="","",MAX($C$1:C365)+1)</f>
        <v/>
      </c>
      <c r="E366">
        <f>A366&amp;" "&amp;B366</f>
        <v/>
      </c>
      <c r="G366">
        <f>+G365+1</f>
        <v/>
      </c>
    </row>
    <row r="367">
      <c r="A367">
        <f>IF(ISNA(INDEX('Yardi Report'!$A:$E,MATCH('Chart of Accounts'!$A373,'Yardi Report'!$A:$A,0),1)),"",INDEX('Yardi Report'!$A:$E,MATCH('Chart of Accounts'!$A373,'Yardi Report'!$A:$A,0),1))</f>
        <v/>
      </c>
      <c r="B367">
        <f>IF(ISNA(INDEX('Yardi Report'!$A:$E,MATCH('Chart of Accounts'!$A373,'Yardi Report'!$A:$A,0),2)),"",INDEX('Yardi Report'!$A:$E,MATCH('Chart of Accounts'!$A373,'Yardi Report'!$A:$A,0),2))</f>
        <v/>
      </c>
      <c r="C367">
        <f>IF(A367="","",MAX($C$1:C366)+1)</f>
        <v/>
      </c>
      <c r="E367">
        <f>A367&amp;" "&amp;B367</f>
        <v/>
      </c>
      <c r="G367">
        <f>+G366+1</f>
        <v/>
      </c>
    </row>
    <row r="368">
      <c r="A368">
        <f>IF(ISNA(INDEX('Yardi Report'!$A:$E,MATCH('Chart of Accounts'!$A374,'Yardi Report'!$A:$A,0),1)),"",INDEX('Yardi Report'!$A:$E,MATCH('Chart of Accounts'!$A374,'Yardi Report'!$A:$A,0),1))</f>
        <v/>
      </c>
      <c r="B368">
        <f>IF(ISNA(INDEX('Yardi Report'!$A:$E,MATCH('Chart of Accounts'!$A374,'Yardi Report'!$A:$A,0),2)),"",INDEX('Yardi Report'!$A:$E,MATCH('Chart of Accounts'!$A374,'Yardi Report'!$A:$A,0),2))</f>
        <v/>
      </c>
      <c r="C368">
        <f>IF(A368="","",MAX($C$1:C367)+1)</f>
        <v/>
      </c>
      <c r="E368">
        <f>A368&amp;" "&amp;B368</f>
        <v/>
      </c>
      <c r="G368">
        <f>+G367+1</f>
        <v/>
      </c>
    </row>
    <row r="369">
      <c r="A369">
        <f>IF(ISNA(INDEX('Yardi Report'!$A:$E,MATCH('Chart of Accounts'!$A375,'Yardi Report'!$A:$A,0),1)),"",INDEX('Yardi Report'!$A:$E,MATCH('Chart of Accounts'!$A375,'Yardi Report'!$A:$A,0),1))</f>
        <v/>
      </c>
      <c r="B369">
        <f>IF(ISNA(INDEX('Yardi Report'!$A:$E,MATCH('Chart of Accounts'!$A375,'Yardi Report'!$A:$A,0),2)),"",INDEX('Yardi Report'!$A:$E,MATCH('Chart of Accounts'!$A375,'Yardi Report'!$A:$A,0),2))</f>
        <v/>
      </c>
      <c r="C369">
        <f>IF(A369="","",MAX($C$1:C368)+1)</f>
        <v/>
      </c>
      <c r="E369">
        <f>A369&amp;" "&amp;B369</f>
        <v/>
      </c>
      <c r="G369">
        <f>+G368+1</f>
        <v/>
      </c>
    </row>
    <row r="370">
      <c r="A370">
        <f>IF(ISNA(INDEX('Yardi Report'!$A:$E,MATCH('Chart of Accounts'!$A376,'Yardi Report'!$A:$A,0),1)),"",INDEX('Yardi Report'!$A:$E,MATCH('Chart of Accounts'!$A376,'Yardi Report'!$A:$A,0),1))</f>
        <v/>
      </c>
      <c r="B370">
        <f>IF(ISNA(INDEX('Yardi Report'!$A:$E,MATCH('Chart of Accounts'!$A376,'Yardi Report'!$A:$A,0),2)),"",INDEX('Yardi Report'!$A:$E,MATCH('Chart of Accounts'!$A376,'Yardi Report'!$A:$A,0),2))</f>
        <v/>
      </c>
      <c r="C370">
        <f>IF(A370="","",MAX($C$1:C369)+1)</f>
        <v/>
      </c>
      <c r="E370">
        <f>A370&amp;" "&amp;B370</f>
        <v/>
      </c>
      <c r="G370">
        <f>+G369+1</f>
        <v/>
      </c>
    </row>
    <row r="371">
      <c r="A371">
        <f>IF(ISNA(INDEX('Yardi Report'!$A:$E,MATCH('Chart of Accounts'!$A377,'Yardi Report'!$A:$A,0),1)),"",INDEX('Yardi Report'!$A:$E,MATCH('Chart of Accounts'!$A377,'Yardi Report'!$A:$A,0),1))</f>
        <v/>
      </c>
      <c r="B371">
        <f>IF(ISNA(INDEX('Yardi Report'!$A:$E,MATCH('Chart of Accounts'!$A377,'Yardi Report'!$A:$A,0),2)),"",INDEX('Yardi Report'!$A:$E,MATCH('Chart of Accounts'!$A377,'Yardi Report'!$A:$A,0),2))</f>
        <v/>
      </c>
      <c r="C371">
        <f>IF(A371="","",MAX($C$1:C370)+1)</f>
        <v/>
      </c>
      <c r="E371">
        <f>A371&amp;" "&amp;B371</f>
        <v/>
      </c>
      <c r="G371">
        <f>+G370+1</f>
        <v/>
      </c>
    </row>
    <row r="372">
      <c r="A372">
        <f>IF(ISNA(INDEX('Yardi Report'!$A:$E,MATCH('Chart of Accounts'!$A378,'Yardi Report'!$A:$A,0),1)),"",INDEX('Yardi Report'!$A:$E,MATCH('Chart of Accounts'!$A378,'Yardi Report'!$A:$A,0),1))</f>
        <v/>
      </c>
      <c r="B372">
        <f>IF(ISNA(INDEX('Yardi Report'!$A:$E,MATCH('Chart of Accounts'!$A378,'Yardi Report'!$A:$A,0),2)),"",INDEX('Yardi Report'!$A:$E,MATCH('Chart of Accounts'!$A378,'Yardi Report'!$A:$A,0),2))</f>
        <v/>
      </c>
      <c r="C372">
        <f>IF(A372="","",MAX($C$1:C371)+1)</f>
        <v/>
      </c>
      <c r="E372">
        <f>A372&amp;" "&amp;B372</f>
        <v/>
      </c>
      <c r="G372">
        <f>+G371+1</f>
        <v/>
      </c>
    </row>
    <row r="373">
      <c r="A373">
        <f>IF(ISNA(INDEX('Yardi Report'!$A:$E,MATCH('Chart of Accounts'!$A379,'Yardi Report'!$A:$A,0),1)),"",INDEX('Yardi Report'!$A:$E,MATCH('Chart of Accounts'!$A379,'Yardi Report'!$A:$A,0),1))</f>
        <v/>
      </c>
      <c r="B373">
        <f>IF(ISNA(INDEX('Yardi Report'!$A:$E,MATCH('Chart of Accounts'!$A379,'Yardi Report'!$A:$A,0),2)),"",INDEX('Yardi Report'!$A:$E,MATCH('Chart of Accounts'!$A379,'Yardi Report'!$A:$A,0),2))</f>
        <v/>
      </c>
      <c r="C373">
        <f>IF(A373="","",MAX($C$1:C372)+1)</f>
        <v/>
      </c>
      <c r="E373">
        <f>A373&amp;" "&amp;B373</f>
        <v/>
      </c>
      <c r="G373">
        <f>+G372+1</f>
        <v/>
      </c>
    </row>
    <row r="374">
      <c r="A374">
        <f>IF(ISNA(INDEX('Yardi Report'!$A:$E,MATCH('Chart of Accounts'!$A380,'Yardi Report'!$A:$A,0),1)),"",INDEX('Yardi Report'!$A:$E,MATCH('Chart of Accounts'!$A380,'Yardi Report'!$A:$A,0),1))</f>
        <v/>
      </c>
      <c r="B374">
        <f>IF(ISNA(INDEX('Yardi Report'!$A:$E,MATCH('Chart of Accounts'!$A380,'Yardi Report'!$A:$A,0),2)),"",INDEX('Yardi Report'!$A:$E,MATCH('Chart of Accounts'!$A380,'Yardi Report'!$A:$A,0),2))</f>
        <v/>
      </c>
      <c r="C374">
        <f>IF(A374="","",MAX($C$1:C373)+1)</f>
        <v/>
      </c>
      <c r="E374">
        <f>A374&amp;" "&amp;B374</f>
        <v/>
      </c>
      <c r="G374">
        <f>+G373+1</f>
        <v/>
      </c>
    </row>
    <row r="375">
      <c r="A375">
        <f>IF(ISNA(INDEX('Yardi Report'!$A:$E,MATCH('Chart of Accounts'!$A381,'Yardi Report'!$A:$A,0),1)),"",INDEX('Yardi Report'!$A:$E,MATCH('Chart of Accounts'!$A381,'Yardi Report'!$A:$A,0),1))</f>
        <v/>
      </c>
      <c r="B375">
        <f>IF(ISNA(INDEX('Yardi Report'!$A:$E,MATCH('Chart of Accounts'!$A381,'Yardi Report'!$A:$A,0),2)),"",INDEX('Yardi Report'!$A:$E,MATCH('Chart of Accounts'!$A381,'Yardi Report'!$A:$A,0),2))</f>
        <v/>
      </c>
      <c r="C375">
        <f>IF(A375="","",MAX($C$1:C374)+1)</f>
        <v/>
      </c>
      <c r="E375">
        <f>A375&amp;" "&amp;B375</f>
        <v/>
      </c>
      <c r="G375">
        <f>+G374+1</f>
        <v/>
      </c>
    </row>
    <row r="376">
      <c r="A376">
        <f>IF(ISNA(INDEX('Yardi Report'!$A:$E,MATCH('Chart of Accounts'!$A382,'Yardi Report'!$A:$A,0),1)),"",INDEX('Yardi Report'!$A:$E,MATCH('Chart of Accounts'!$A382,'Yardi Report'!$A:$A,0),1))</f>
        <v/>
      </c>
      <c r="B376">
        <f>IF(ISNA(INDEX('Yardi Report'!$A:$E,MATCH('Chart of Accounts'!$A382,'Yardi Report'!$A:$A,0),2)),"",INDEX('Yardi Report'!$A:$E,MATCH('Chart of Accounts'!$A382,'Yardi Report'!$A:$A,0),2))</f>
        <v/>
      </c>
      <c r="C376">
        <f>IF(A376="","",MAX($C$1:C375)+1)</f>
        <v/>
      </c>
      <c r="E376">
        <f>A376&amp;" "&amp;B376</f>
        <v/>
      </c>
      <c r="G376">
        <f>+G375+1</f>
        <v/>
      </c>
    </row>
    <row r="377">
      <c r="A377">
        <f>IF(ISNA(INDEX('Yardi Report'!$A:$E,MATCH('Chart of Accounts'!$A383,'Yardi Report'!$A:$A,0),1)),"",INDEX('Yardi Report'!$A:$E,MATCH('Chart of Accounts'!$A383,'Yardi Report'!$A:$A,0),1))</f>
        <v/>
      </c>
      <c r="B377">
        <f>IF(ISNA(INDEX('Yardi Report'!$A:$E,MATCH('Chart of Accounts'!$A383,'Yardi Report'!$A:$A,0),2)),"",INDEX('Yardi Report'!$A:$E,MATCH('Chart of Accounts'!$A383,'Yardi Report'!$A:$A,0),2))</f>
        <v/>
      </c>
      <c r="C377">
        <f>IF(A377="","",MAX($C$1:C376)+1)</f>
        <v/>
      </c>
      <c r="E377">
        <f>A377&amp;" "&amp;B377</f>
        <v/>
      </c>
      <c r="G377">
        <f>+G376+1</f>
        <v/>
      </c>
    </row>
    <row r="378">
      <c r="A378">
        <f>IF(ISNA(INDEX('Yardi Report'!$A:$E,MATCH('Chart of Accounts'!$A384,'Yardi Report'!$A:$A,0),1)),"",INDEX('Yardi Report'!$A:$E,MATCH('Chart of Accounts'!$A384,'Yardi Report'!$A:$A,0),1))</f>
        <v/>
      </c>
      <c r="B378">
        <f>IF(ISNA(INDEX('Yardi Report'!$A:$E,MATCH('Chart of Accounts'!$A384,'Yardi Report'!$A:$A,0),2)),"",INDEX('Yardi Report'!$A:$E,MATCH('Chart of Accounts'!$A384,'Yardi Report'!$A:$A,0),2))</f>
        <v/>
      </c>
      <c r="C378">
        <f>IF(A378="","",MAX($C$1:C377)+1)</f>
        <v/>
      </c>
      <c r="E378">
        <f>A378&amp;" "&amp;B378</f>
        <v/>
      </c>
      <c r="G378">
        <f>+G377+1</f>
        <v/>
      </c>
    </row>
    <row r="379">
      <c r="A379">
        <f>IF(ISNA(INDEX('Yardi Report'!$A:$E,MATCH('Chart of Accounts'!$A385,'Yardi Report'!$A:$A,0),1)),"",INDEX('Yardi Report'!$A:$E,MATCH('Chart of Accounts'!$A385,'Yardi Report'!$A:$A,0),1))</f>
        <v/>
      </c>
      <c r="B379">
        <f>IF(ISNA(INDEX('Yardi Report'!$A:$E,MATCH('Chart of Accounts'!$A385,'Yardi Report'!$A:$A,0),2)),"",INDEX('Yardi Report'!$A:$E,MATCH('Chart of Accounts'!$A385,'Yardi Report'!$A:$A,0),2))</f>
        <v/>
      </c>
      <c r="C379">
        <f>IF(A379="","",MAX($C$1:C378)+1)</f>
        <v/>
      </c>
      <c r="E379">
        <f>A379&amp;" "&amp;B379</f>
        <v/>
      </c>
      <c r="G379">
        <f>+G378+1</f>
        <v/>
      </c>
    </row>
    <row r="380">
      <c r="A380">
        <f>IF(ISNA(INDEX('Yardi Report'!$A:$E,MATCH('Chart of Accounts'!$A386,'Yardi Report'!$A:$A,0),1)),"",INDEX('Yardi Report'!$A:$E,MATCH('Chart of Accounts'!$A386,'Yardi Report'!$A:$A,0),1))</f>
        <v/>
      </c>
      <c r="B380">
        <f>IF(ISNA(INDEX('Yardi Report'!$A:$E,MATCH('Chart of Accounts'!$A386,'Yardi Report'!$A:$A,0),2)),"",INDEX('Yardi Report'!$A:$E,MATCH('Chart of Accounts'!$A386,'Yardi Report'!$A:$A,0),2))</f>
        <v/>
      </c>
      <c r="C380">
        <f>IF(A380="","",MAX($C$1:C379)+1)</f>
        <v/>
      </c>
      <c r="E380">
        <f>A380&amp;" "&amp;B380</f>
        <v/>
      </c>
      <c r="G380">
        <f>+G379+1</f>
        <v/>
      </c>
    </row>
    <row r="381">
      <c r="A381">
        <f>IF(ISNA(INDEX('Yardi Report'!$A:$E,MATCH('Chart of Accounts'!$A387,'Yardi Report'!$A:$A,0),1)),"",INDEX('Yardi Report'!$A:$E,MATCH('Chart of Accounts'!$A387,'Yardi Report'!$A:$A,0),1))</f>
        <v/>
      </c>
      <c r="B381">
        <f>IF(ISNA(INDEX('Yardi Report'!$A:$E,MATCH('Chart of Accounts'!$A387,'Yardi Report'!$A:$A,0),2)),"",INDEX('Yardi Report'!$A:$E,MATCH('Chart of Accounts'!$A387,'Yardi Report'!$A:$A,0),2))</f>
        <v/>
      </c>
      <c r="C381">
        <f>IF(A381="","",MAX($C$1:C380)+1)</f>
        <v/>
      </c>
      <c r="E381">
        <f>A381&amp;" "&amp;B381</f>
        <v/>
      </c>
      <c r="G381">
        <f>+G380+1</f>
        <v/>
      </c>
    </row>
    <row r="382">
      <c r="A382">
        <f>IF(ISNA(INDEX('Yardi Report'!$A:$E,MATCH('Chart of Accounts'!$A388,'Yardi Report'!$A:$A,0),1)),"",INDEX('Yardi Report'!$A:$E,MATCH('Chart of Accounts'!$A388,'Yardi Report'!$A:$A,0),1))</f>
        <v/>
      </c>
      <c r="B382">
        <f>IF(ISNA(INDEX('Yardi Report'!$A:$E,MATCH('Chart of Accounts'!$A388,'Yardi Report'!$A:$A,0),2)),"",INDEX('Yardi Report'!$A:$E,MATCH('Chart of Accounts'!$A388,'Yardi Report'!$A:$A,0),2))</f>
        <v/>
      </c>
      <c r="C382">
        <f>IF(A382="","",MAX($C$1:C381)+1)</f>
        <v/>
      </c>
      <c r="E382">
        <f>A382&amp;" "&amp;B382</f>
        <v/>
      </c>
      <c r="G382">
        <f>+G381+1</f>
        <v/>
      </c>
    </row>
    <row r="383">
      <c r="A383">
        <f>IF(ISNA(INDEX('Yardi Report'!$A:$E,MATCH('Chart of Accounts'!$A389,'Yardi Report'!$A:$A,0),1)),"",INDEX('Yardi Report'!$A:$E,MATCH('Chart of Accounts'!$A389,'Yardi Report'!$A:$A,0),1))</f>
        <v/>
      </c>
      <c r="B383">
        <f>IF(ISNA(INDEX('Yardi Report'!$A:$E,MATCH('Chart of Accounts'!$A389,'Yardi Report'!$A:$A,0),2)),"",INDEX('Yardi Report'!$A:$E,MATCH('Chart of Accounts'!$A389,'Yardi Report'!$A:$A,0),2))</f>
        <v/>
      </c>
      <c r="C383">
        <f>IF(A383="","",MAX($C$1:C382)+1)</f>
        <v/>
      </c>
      <c r="E383">
        <f>A383&amp;" "&amp;B383</f>
        <v/>
      </c>
      <c r="G383">
        <f>+G382+1</f>
        <v/>
      </c>
    </row>
    <row r="384">
      <c r="A384">
        <f>IF(ISNA(INDEX('Yardi Report'!$A:$E,MATCH('Chart of Accounts'!$A390,'Yardi Report'!$A:$A,0),1)),"",INDEX('Yardi Report'!$A:$E,MATCH('Chart of Accounts'!$A390,'Yardi Report'!$A:$A,0),1))</f>
        <v/>
      </c>
      <c r="B384">
        <f>IF(ISNA(INDEX('Yardi Report'!$A:$E,MATCH('Chart of Accounts'!$A390,'Yardi Report'!$A:$A,0),2)),"",INDEX('Yardi Report'!$A:$E,MATCH('Chart of Accounts'!$A390,'Yardi Report'!$A:$A,0),2))</f>
        <v/>
      </c>
      <c r="C384">
        <f>IF(A384="","",MAX($C$1:C383)+1)</f>
        <v/>
      </c>
      <c r="E384">
        <f>A384&amp;" "&amp;B384</f>
        <v/>
      </c>
      <c r="G384">
        <f>+G383+1</f>
        <v/>
      </c>
    </row>
    <row r="385">
      <c r="A385">
        <f>IF(ISNA(INDEX('Yardi Report'!$A:$E,MATCH('Chart of Accounts'!$A391,'Yardi Report'!$A:$A,0),1)),"",INDEX('Yardi Report'!$A:$E,MATCH('Chart of Accounts'!$A391,'Yardi Report'!$A:$A,0),1))</f>
        <v/>
      </c>
      <c r="B385">
        <f>IF(ISNA(INDEX('Yardi Report'!$A:$E,MATCH('Chart of Accounts'!$A391,'Yardi Report'!$A:$A,0),2)),"",INDEX('Yardi Report'!$A:$E,MATCH('Chart of Accounts'!$A391,'Yardi Report'!$A:$A,0),2))</f>
        <v/>
      </c>
      <c r="C385">
        <f>IF(A385="","",MAX($C$1:C384)+1)</f>
        <v/>
      </c>
      <c r="E385">
        <f>A385&amp;" "&amp;B385</f>
        <v/>
      </c>
      <c r="G385">
        <f>+G384+1</f>
        <v/>
      </c>
    </row>
    <row r="386">
      <c r="A386">
        <f>IF(ISNA(INDEX('Yardi Report'!$A:$E,MATCH('Chart of Accounts'!$A392,'Yardi Report'!$A:$A,0),1)),"",INDEX('Yardi Report'!$A:$E,MATCH('Chart of Accounts'!$A392,'Yardi Report'!$A:$A,0),1))</f>
        <v/>
      </c>
      <c r="B386">
        <f>IF(ISNA(INDEX('Yardi Report'!$A:$E,MATCH('Chart of Accounts'!$A392,'Yardi Report'!$A:$A,0),2)),"",INDEX('Yardi Report'!$A:$E,MATCH('Chart of Accounts'!$A392,'Yardi Report'!$A:$A,0),2))</f>
        <v/>
      </c>
      <c r="C386">
        <f>IF(A386="","",MAX($C$1:C385)+1)</f>
        <v/>
      </c>
      <c r="E386">
        <f>A386&amp;" "&amp;B386</f>
        <v/>
      </c>
      <c r="G386">
        <f>+G385+1</f>
        <v/>
      </c>
    </row>
    <row r="387">
      <c r="A387">
        <f>IF(ISNA(INDEX('Yardi Report'!$A:$E,MATCH('Chart of Accounts'!$A393,'Yardi Report'!$A:$A,0),1)),"",INDEX('Yardi Report'!$A:$E,MATCH('Chart of Accounts'!$A393,'Yardi Report'!$A:$A,0),1))</f>
        <v/>
      </c>
      <c r="B387">
        <f>IF(ISNA(INDEX('Yardi Report'!$A:$E,MATCH('Chart of Accounts'!$A393,'Yardi Report'!$A:$A,0),2)),"",INDEX('Yardi Report'!$A:$E,MATCH('Chart of Accounts'!$A393,'Yardi Report'!$A:$A,0),2))</f>
        <v/>
      </c>
      <c r="C387">
        <f>IF(A387="","",MAX($C$1:C386)+1)</f>
        <v/>
      </c>
      <c r="E387">
        <f>A387&amp;" "&amp;B387</f>
        <v/>
      </c>
      <c r="G387">
        <f>+G386+1</f>
        <v/>
      </c>
    </row>
    <row r="388">
      <c r="A388">
        <f>IF(ISNA(INDEX('Yardi Report'!$A:$E,MATCH('Chart of Accounts'!$A394,'Yardi Report'!$A:$A,0),1)),"",INDEX('Yardi Report'!$A:$E,MATCH('Chart of Accounts'!$A394,'Yardi Report'!$A:$A,0),1))</f>
        <v/>
      </c>
      <c r="B388">
        <f>IF(ISNA(INDEX('Yardi Report'!$A:$E,MATCH('Chart of Accounts'!$A394,'Yardi Report'!$A:$A,0),2)),"",INDEX('Yardi Report'!$A:$E,MATCH('Chart of Accounts'!$A394,'Yardi Report'!$A:$A,0),2))</f>
        <v/>
      </c>
      <c r="C388">
        <f>IF(A388="","",MAX($C$1:C387)+1)</f>
        <v/>
      </c>
      <c r="E388">
        <f>A388&amp;" "&amp;B388</f>
        <v/>
      </c>
      <c r="G388">
        <f>+G387+1</f>
        <v/>
      </c>
    </row>
    <row r="389">
      <c r="A389">
        <f>IF(ISNA(INDEX('Yardi Report'!$A:$E,MATCH('Chart of Accounts'!$A395,'Yardi Report'!$A:$A,0),1)),"",INDEX('Yardi Report'!$A:$E,MATCH('Chart of Accounts'!$A395,'Yardi Report'!$A:$A,0),1))</f>
        <v/>
      </c>
      <c r="B389">
        <f>IF(ISNA(INDEX('Yardi Report'!$A:$E,MATCH('Chart of Accounts'!$A395,'Yardi Report'!$A:$A,0),2)),"",INDEX('Yardi Report'!$A:$E,MATCH('Chart of Accounts'!$A395,'Yardi Report'!$A:$A,0),2))</f>
        <v/>
      </c>
      <c r="C389">
        <f>IF(A389="","",MAX($C$1:C388)+1)</f>
        <v/>
      </c>
      <c r="E389">
        <f>A389&amp;" "&amp;B389</f>
        <v/>
      </c>
      <c r="G389">
        <f>+G388+1</f>
        <v/>
      </c>
    </row>
    <row r="390">
      <c r="A390">
        <f>IF(ISNA(INDEX('Yardi Report'!$A:$E,MATCH('Chart of Accounts'!$A396,'Yardi Report'!$A:$A,0),1)),"",INDEX('Yardi Report'!$A:$E,MATCH('Chart of Accounts'!$A396,'Yardi Report'!$A:$A,0),1))</f>
        <v/>
      </c>
      <c r="B390">
        <f>IF(ISNA(INDEX('Yardi Report'!$A:$E,MATCH('Chart of Accounts'!$A396,'Yardi Report'!$A:$A,0),2)),"",INDEX('Yardi Report'!$A:$E,MATCH('Chart of Accounts'!$A396,'Yardi Report'!$A:$A,0),2))</f>
        <v/>
      </c>
      <c r="C390">
        <f>IF(A390="","",MAX($C$1:C389)+1)</f>
        <v/>
      </c>
      <c r="E390">
        <f>A390&amp;" "&amp;B390</f>
        <v/>
      </c>
      <c r="G390">
        <f>+G389+1</f>
        <v/>
      </c>
    </row>
    <row r="391">
      <c r="A391">
        <f>IF(ISNA(INDEX('Yardi Report'!$A:$E,MATCH('Chart of Accounts'!$A397,'Yardi Report'!$A:$A,0),1)),"",INDEX('Yardi Report'!$A:$E,MATCH('Chart of Accounts'!$A397,'Yardi Report'!$A:$A,0),1))</f>
        <v/>
      </c>
      <c r="B391">
        <f>IF(ISNA(INDEX('Yardi Report'!$A:$E,MATCH('Chart of Accounts'!$A397,'Yardi Report'!$A:$A,0),2)),"",INDEX('Yardi Report'!$A:$E,MATCH('Chart of Accounts'!$A397,'Yardi Report'!$A:$A,0),2))</f>
        <v/>
      </c>
      <c r="C391">
        <f>IF(A391="","",MAX($C$1:C390)+1)</f>
        <v/>
      </c>
      <c r="E391">
        <f>A391&amp;" "&amp;B391</f>
        <v/>
      </c>
      <c r="G391">
        <f>+G390+1</f>
        <v/>
      </c>
    </row>
    <row r="392">
      <c r="A392">
        <f>IF(ISNA(INDEX('Yardi Report'!$A:$E,MATCH('Chart of Accounts'!$A398,'Yardi Report'!$A:$A,0),1)),"",INDEX('Yardi Report'!$A:$E,MATCH('Chart of Accounts'!$A398,'Yardi Report'!$A:$A,0),1))</f>
        <v/>
      </c>
      <c r="B392">
        <f>IF(ISNA(INDEX('Yardi Report'!$A:$E,MATCH('Chart of Accounts'!$A398,'Yardi Report'!$A:$A,0),2)),"",INDEX('Yardi Report'!$A:$E,MATCH('Chart of Accounts'!$A398,'Yardi Report'!$A:$A,0),2))</f>
        <v/>
      </c>
      <c r="C392">
        <f>IF(A392="","",MAX($C$1:C391)+1)</f>
        <v/>
      </c>
      <c r="E392">
        <f>A392&amp;" "&amp;B392</f>
        <v/>
      </c>
      <c r="G392">
        <f>+G391+1</f>
        <v/>
      </c>
    </row>
    <row r="393">
      <c r="A393">
        <f>IF(ISNA(INDEX('Yardi Report'!$A:$E,MATCH('Chart of Accounts'!$A399,'Yardi Report'!$A:$A,0),1)),"",INDEX('Yardi Report'!$A:$E,MATCH('Chart of Accounts'!$A399,'Yardi Report'!$A:$A,0),1))</f>
        <v/>
      </c>
      <c r="B393">
        <f>IF(ISNA(INDEX('Yardi Report'!$A:$E,MATCH('Chart of Accounts'!$A399,'Yardi Report'!$A:$A,0),2)),"",INDEX('Yardi Report'!$A:$E,MATCH('Chart of Accounts'!$A399,'Yardi Report'!$A:$A,0),2))</f>
        <v/>
      </c>
      <c r="C393">
        <f>IF(A393="","",MAX($C$1:C392)+1)</f>
        <v/>
      </c>
      <c r="E393">
        <f>A393&amp;" "&amp;B393</f>
        <v/>
      </c>
      <c r="G393">
        <f>+G392+1</f>
        <v/>
      </c>
    </row>
    <row r="394">
      <c r="A394">
        <f>IF(ISNA(INDEX('Yardi Report'!$A:$E,MATCH('Chart of Accounts'!$A400,'Yardi Report'!$A:$A,0),1)),"",INDEX('Yardi Report'!$A:$E,MATCH('Chart of Accounts'!$A400,'Yardi Report'!$A:$A,0),1))</f>
        <v/>
      </c>
      <c r="B394">
        <f>IF(ISNA(INDEX('Yardi Report'!$A:$E,MATCH('Chart of Accounts'!$A400,'Yardi Report'!$A:$A,0),2)),"",INDEX('Yardi Report'!$A:$E,MATCH('Chart of Accounts'!$A400,'Yardi Report'!$A:$A,0),2))</f>
        <v/>
      </c>
      <c r="C394">
        <f>IF(A394="","",MAX($C$1:C393)+1)</f>
        <v/>
      </c>
      <c r="E394">
        <f>A394&amp;" "&amp;B394</f>
        <v/>
      </c>
      <c r="G394">
        <f>+G393+1</f>
        <v/>
      </c>
    </row>
    <row r="395">
      <c r="A395">
        <f>IF(ISNA(INDEX('Yardi Report'!$A:$E,MATCH('Chart of Accounts'!$A401,'Yardi Report'!$A:$A,0),1)),"",INDEX('Yardi Report'!$A:$E,MATCH('Chart of Accounts'!$A401,'Yardi Report'!$A:$A,0),1))</f>
        <v/>
      </c>
      <c r="B395">
        <f>IF(ISNA(INDEX('Yardi Report'!$A:$E,MATCH('Chart of Accounts'!$A401,'Yardi Report'!$A:$A,0),2)),"",INDEX('Yardi Report'!$A:$E,MATCH('Chart of Accounts'!$A401,'Yardi Report'!$A:$A,0),2))</f>
        <v/>
      </c>
      <c r="C395">
        <f>IF(A395="","",MAX($C$1:C394)+1)</f>
        <v/>
      </c>
      <c r="E395">
        <f>A395&amp;" "&amp;B395</f>
        <v/>
      </c>
      <c r="G395">
        <f>+G394+1</f>
        <v/>
      </c>
    </row>
    <row r="396">
      <c r="A396">
        <f>IF(ISNA(INDEX('Yardi Report'!$A:$E,MATCH('Chart of Accounts'!$A402,'Yardi Report'!$A:$A,0),1)),"",INDEX('Yardi Report'!$A:$E,MATCH('Chart of Accounts'!$A402,'Yardi Report'!$A:$A,0),1))</f>
        <v/>
      </c>
      <c r="B396">
        <f>IF(ISNA(INDEX('Yardi Report'!$A:$E,MATCH('Chart of Accounts'!$A402,'Yardi Report'!$A:$A,0),2)),"",INDEX('Yardi Report'!$A:$E,MATCH('Chart of Accounts'!$A402,'Yardi Report'!$A:$A,0),2))</f>
        <v/>
      </c>
      <c r="C396">
        <f>IF(A396="","",MAX($C$1:C395)+1)</f>
        <v/>
      </c>
      <c r="E396">
        <f>A396&amp;" "&amp;B396</f>
        <v/>
      </c>
      <c r="G396">
        <f>+G395+1</f>
        <v/>
      </c>
    </row>
    <row r="397">
      <c r="A397">
        <f>IF(ISNA(INDEX('Yardi Report'!$A:$E,MATCH('Chart of Accounts'!$A403,'Yardi Report'!$A:$A,0),1)),"",INDEX('Yardi Report'!$A:$E,MATCH('Chart of Accounts'!$A403,'Yardi Report'!$A:$A,0),1))</f>
        <v/>
      </c>
      <c r="B397">
        <f>IF(ISNA(INDEX('Yardi Report'!$A:$E,MATCH('Chart of Accounts'!$A403,'Yardi Report'!$A:$A,0),2)),"",INDEX('Yardi Report'!$A:$E,MATCH('Chart of Accounts'!$A403,'Yardi Report'!$A:$A,0),2))</f>
        <v/>
      </c>
      <c r="C397">
        <f>IF(A397="","",MAX($C$1:C396)+1)</f>
        <v/>
      </c>
      <c r="E397">
        <f>A397&amp;" "&amp;B397</f>
        <v/>
      </c>
      <c r="G397">
        <f>+G396+1</f>
        <v/>
      </c>
    </row>
    <row r="398">
      <c r="A398">
        <f>IF(ISNA(INDEX('Yardi Report'!$A:$E,MATCH('Chart of Accounts'!$A404,'Yardi Report'!$A:$A,0),1)),"",INDEX('Yardi Report'!$A:$E,MATCH('Chart of Accounts'!$A404,'Yardi Report'!$A:$A,0),1))</f>
        <v/>
      </c>
      <c r="B398">
        <f>IF(ISNA(INDEX('Yardi Report'!$A:$E,MATCH('Chart of Accounts'!$A404,'Yardi Report'!$A:$A,0),2)),"",INDEX('Yardi Report'!$A:$E,MATCH('Chart of Accounts'!$A404,'Yardi Report'!$A:$A,0),2))</f>
        <v/>
      </c>
      <c r="C398">
        <f>IF(A398="","",MAX($C$1:C397)+1)</f>
        <v/>
      </c>
      <c r="E398">
        <f>A398&amp;" "&amp;B398</f>
        <v/>
      </c>
      <c r="G398">
        <f>+G397+1</f>
        <v/>
      </c>
    </row>
    <row r="399">
      <c r="A399">
        <f>IF(ISNA(INDEX('Yardi Report'!$A:$E,MATCH('Chart of Accounts'!$A405,'Yardi Report'!$A:$A,0),1)),"",INDEX('Yardi Report'!$A:$E,MATCH('Chart of Accounts'!$A405,'Yardi Report'!$A:$A,0),1))</f>
        <v/>
      </c>
      <c r="B399">
        <f>IF(ISNA(INDEX('Yardi Report'!$A:$E,MATCH('Chart of Accounts'!$A405,'Yardi Report'!$A:$A,0),2)),"",INDEX('Yardi Report'!$A:$E,MATCH('Chart of Accounts'!$A405,'Yardi Report'!$A:$A,0),2))</f>
        <v/>
      </c>
      <c r="C399">
        <f>IF(A399="","",MAX($C$1:C398)+1)</f>
        <v/>
      </c>
      <c r="E399">
        <f>A399&amp;" "&amp;B399</f>
        <v/>
      </c>
      <c r="G399">
        <f>+G398+1</f>
        <v/>
      </c>
    </row>
    <row r="400">
      <c r="A400">
        <f>IF(ISNA(INDEX('Yardi Report'!$A:$E,MATCH('Chart of Accounts'!$A406,'Yardi Report'!$A:$A,0),1)),"",INDEX('Yardi Report'!$A:$E,MATCH('Chart of Accounts'!$A406,'Yardi Report'!$A:$A,0),1))</f>
        <v/>
      </c>
      <c r="B400">
        <f>IF(ISNA(INDEX('Yardi Report'!$A:$E,MATCH('Chart of Accounts'!$A406,'Yardi Report'!$A:$A,0),2)),"",INDEX('Yardi Report'!$A:$E,MATCH('Chart of Accounts'!$A406,'Yardi Report'!$A:$A,0),2))</f>
        <v/>
      </c>
      <c r="C400">
        <f>IF(A400="","",MAX($C$1:C399)+1)</f>
        <v/>
      </c>
      <c r="E400">
        <f>A400&amp;" "&amp;B400</f>
        <v/>
      </c>
      <c r="G400">
        <f>+G399+1</f>
        <v/>
      </c>
    </row>
    <row r="401">
      <c r="A401">
        <f>IF(ISNA(INDEX('Yardi Report'!$A:$E,MATCH('Chart of Accounts'!$A407,'Yardi Report'!$A:$A,0),1)),"",INDEX('Yardi Report'!$A:$E,MATCH('Chart of Accounts'!$A407,'Yardi Report'!$A:$A,0),1))</f>
        <v/>
      </c>
      <c r="B401">
        <f>IF(ISNA(INDEX('Yardi Report'!$A:$E,MATCH('Chart of Accounts'!$A407,'Yardi Report'!$A:$A,0),2)),"",INDEX('Yardi Report'!$A:$E,MATCH('Chart of Accounts'!$A407,'Yardi Report'!$A:$A,0),2))</f>
        <v/>
      </c>
      <c r="C401">
        <f>IF(A401="","",MAX($C$1:C400)+1)</f>
        <v/>
      </c>
      <c r="E401">
        <f>A401&amp;" "&amp;B401</f>
        <v/>
      </c>
      <c r="G401">
        <f>+G400+1</f>
        <v/>
      </c>
    </row>
    <row r="402">
      <c r="A402">
        <f>IF(ISNA(INDEX('Yardi Report'!$A:$E,MATCH('Chart of Accounts'!$A408,'Yardi Report'!$A:$A,0),1)),"",INDEX('Yardi Report'!$A:$E,MATCH('Chart of Accounts'!$A408,'Yardi Report'!$A:$A,0),1))</f>
        <v/>
      </c>
      <c r="B402">
        <f>IF(ISNA(INDEX('Yardi Report'!$A:$E,MATCH('Chart of Accounts'!$A408,'Yardi Report'!$A:$A,0),2)),"",INDEX('Yardi Report'!$A:$E,MATCH('Chart of Accounts'!$A408,'Yardi Report'!$A:$A,0),2))</f>
        <v/>
      </c>
      <c r="C402">
        <f>IF(A402="","",MAX($C$1:C401)+1)</f>
        <v/>
      </c>
      <c r="E402">
        <f>A402&amp;" "&amp;B402</f>
        <v/>
      </c>
      <c r="G402">
        <f>+G401+1</f>
        <v/>
      </c>
    </row>
    <row r="403">
      <c r="A403">
        <f>IF(ISNA(INDEX('Yardi Report'!$A:$E,MATCH('Chart of Accounts'!$A409,'Yardi Report'!$A:$A,0),1)),"",INDEX('Yardi Report'!$A:$E,MATCH('Chart of Accounts'!$A409,'Yardi Report'!$A:$A,0),1))</f>
        <v/>
      </c>
      <c r="B403">
        <f>IF(ISNA(INDEX('Yardi Report'!$A:$E,MATCH('Chart of Accounts'!$A409,'Yardi Report'!$A:$A,0),2)),"",INDEX('Yardi Report'!$A:$E,MATCH('Chart of Accounts'!$A409,'Yardi Report'!$A:$A,0),2))</f>
        <v/>
      </c>
      <c r="C403">
        <f>IF(A403="","",MAX($C$1:C402)+1)</f>
        <v/>
      </c>
      <c r="E403">
        <f>A403&amp;" "&amp;B403</f>
        <v/>
      </c>
      <c r="G403">
        <f>+G402+1</f>
        <v/>
      </c>
    </row>
    <row r="404">
      <c r="A404">
        <f>IF(ISNA(INDEX('Yardi Report'!$A:$E,MATCH('Chart of Accounts'!$A410,'Yardi Report'!$A:$A,0),1)),"",INDEX('Yardi Report'!$A:$E,MATCH('Chart of Accounts'!$A410,'Yardi Report'!$A:$A,0),1))</f>
        <v/>
      </c>
      <c r="B404">
        <f>IF(ISNA(INDEX('Yardi Report'!$A:$E,MATCH('Chart of Accounts'!$A410,'Yardi Report'!$A:$A,0),2)),"",INDEX('Yardi Report'!$A:$E,MATCH('Chart of Accounts'!$A410,'Yardi Report'!$A:$A,0),2))</f>
        <v/>
      </c>
      <c r="C404">
        <f>IF(A404="","",MAX($C$1:C403)+1)</f>
        <v/>
      </c>
      <c r="E404">
        <f>A404&amp;" "&amp;B404</f>
        <v/>
      </c>
      <c r="G404">
        <f>+G403+1</f>
        <v/>
      </c>
    </row>
    <row r="405">
      <c r="A405">
        <f>IF(ISNA(INDEX('Yardi Report'!$A:$E,MATCH('Chart of Accounts'!$A411,'Yardi Report'!$A:$A,0),1)),"",INDEX('Yardi Report'!$A:$E,MATCH('Chart of Accounts'!$A411,'Yardi Report'!$A:$A,0),1))</f>
        <v/>
      </c>
      <c r="B405">
        <f>IF(ISNA(INDEX('Yardi Report'!$A:$E,MATCH('Chart of Accounts'!$A411,'Yardi Report'!$A:$A,0),2)),"",INDEX('Yardi Report'!$A:$E,MATCH('Chart of Accounts'!$A411,'Yardi Report'!$A:$A,0),2))</f>
        <v/>
      </c>
      <c r="C405">
        <f>IF(A405="","",MAX($C$1:C404)+1)</f>
        <v/>
      </c>
      <c r="E405">
        <f>A405&amp;" "&amp;B405</f>
        <v/>
      </c>
      <c r="G405">
        <f>+G404+1</f>
        <v/>
      </c>
    </row>
    <row r="406">
      <c r="A406">
        <f>IF(ISNA(INDEX('Yardi Report'!$A:$E,MATCH('Chart of Accounts'!$A412,'Yardi Report'!$A:$A,0),1)),"",INDEX('Yardi Report'!$A:$E,MATCH('Chart of Accounts'!$A412,'Yardi Report'!$A:$A,0),1))</f>
        <v/>
      </c>
      <c r="B406">
        <f>IF(ISNA(INDEX('Yardi Report'!$A:$E,MATCH('Chart of Accounts'!$A412,'Yardi Report'!$A:$A,0),2)),"",INDEX('Yardi Report'!$A:$E,MATCH('Chart of Accounts'!$A412,'Yardi Report'!$A:$A,0),2))</f>
        <v/>
      </c>
      <c r="C406">
        <f>IF(A406="","",MAX($C$1:C405)+1)</f>
        <v/>
      </c>
      <c r="E406">
        <f>A406&amp;" "&amp;B406</f>
        <v/>
      </c>
      <c r="G406">
        <f>+G405+1</f>
        <v/>
      </c>
    </row>
    <row r="407">
      <c r="A407">
        <f>IF(ISNA(INDEX('Yardi Report'!$A:$E,MATCH('Chart of Accounts'!$A413,'Yardi Report'!$A:$A,0),1)),"",INDEX('Yardi Report'!$A:$E,MATCH('Chart of Accounts'!$A413,'Yardi Report'!$A:$A,0),1))</f>
        <v/>
      </c>
      <c r="B407">
        <f>IF(ISNA(INDEX('Yardi Report'!$A:$E,MATCH('Chart of Accounts'!$A413,'Yardi Report'!$A:$A,0),2)),"",INDEX('Yardi Report'!$A:$E,MATCH('Chart of Accounts'!$A413,'Yardi Report'!$A:$A,0),2))</f>
        <v/>
      </c>
      <c r="C407">
        <f>IF(A407="","",MAX($C$1:C406)+1)</f>
        <v/>
      </c>
      <c r="E407">
        <f>A407&amp;" "&amp;B407</f>
        <v/>
      </c>
      <c r="G407">
        <f>+G406+1</f>
        <v/>
      </c>
    </row>
    <row r="408">
      <c r="A408">
        <f>IF(ISNA(INDEX('Yardi Report'!$A:$E,MATCH('Chart of Accounts'!$A414,'Yardi Report'!$A:$A,0),1)),"",INDEX('Yardi Report'!$A:$E,MATCH('Chart of Accounts'!$A414,'Yardi Report'!$A:$A,0),1))</f>
        <v/>
      </c>
      <c r="B408">
        <f>IF(ISNA(INDEX('Yardi Report'!$A:$E,MATCH('Chart of Accounts'!$A414,'Yardi Report'!$A:$A,0),2)),"",INDEX('Yardi Report'!$A:$E,MATCH('Chart of Accounts'!$A414,'Yardi Report'!$A:$A,0),2))</f>
        <v/>
      </c>
      <c r="C408">
        <f>IF(A408="","",MAX($C$1:C407)+1)</f>
        <v/>
      </c>
      <c r="E408">
        <f>A408&amp;" "&amp;B408</f>
        <v/>
      </c>
      <c r="G408">
        <f>+G407+1</f>
        <v/>
      </c>
    </row>
    <row r="409">
      <c r="A409">
        <f>IF(ISNA(INDEX('Yardi Report'!$A:$E,MATCH('Chart of Accounts'!$A415,'Yardi Report'!$A:$A,0),1)),"",INDEX('Yardi Report'!$A:$E,MATCH('Chart of Accounts'!$A415,'Yardi Report'!$A:$A,0),1))</f>
        <v/>
      </c>
      <c r="B409">
        <f>IF(ISNA(INDEX('Yardi Report'!$A:$E,MATCH('Chart of Accounts'!$A415,'Yardi Report'!$A:$A,0),2)),"",INDEX('Yardi Report'!$A:$E,MATCH('Chart of Accounts'!$A415,'Yardi Report'!$A:$A,0),2))</f>
        <v/>
      </c>
      <c r="C409">
        <f>IF(A409="","",MAX($C$1:C408)+1)</f>
        <v/>
      </c>
      <c r="E409">
        <f>A409&amp;" "&amp;B409</f>
        <v/>
      </c>
      <c r="G409">
        <f>+G408+1</f>
        <v/>
      </c>
    </row>
    <row r="410">
      <c r="A410">
        <f>IF(ISNA(INDEX('Yardi Report'!$A:$E,MATCH('Chart of Accounts'!$A416,'Yardi Report'!$A:$A,0),1)),"",INDEX('Yardi Report'!$A:$E,MATCH('Chart of Accounts'!$A416,'Yardi Report'!$A:$A,0),1))</f>
        <v/>
      </c>
      <c r="B410">
        <f>IF(ISNA(INDEX('Yardi Report'!$A:$E,MATCH('Chart of Accounts'!$A416,'Yardi Report'!$A:$A,0),2)),"",INDEX('Yardi Report'!$A:$E,MATCH('Chart of Accounts'!$A416,'Yardi Report'!$A:$A,0),2))</f>
        <v/>
      </c>
      <c r="C410">
        <f>IF(A410="","",MAX($C$1:C409)+1)</f>
        <v/>
      </c>
      <c r="E410">
        <f>A410&amp;" "&amp;B410</f>
        <v/>
      </c>
      <c r="G410">
        <f>+G409+1</f>
        <v/>
      </c>
    </row>
    <row r="411">
      <c r="A411">
        <f>IF(ISNA(INDEX('Yardi Report'!$A:$E,MATCH('Chart of Accounts'!$A417,'Yardi Report'!$A:$A,0),1)),"",INDEX('Yardi Report'!$A:$E,MATCH('Chart of Accounts'!$A417,'Yardi Report'!$A:$A,0),1))</f>
        <v/>
      </c>
      <c r="B411">
        <f>IF(ISNA(INDEX('Yardi Report'!$A:$E,MATCH('Chart of Accounts'!$A417,'Yardi Report'!$A:$A,0),2)),"",INDEX('Yardi Report'!$A:$E,MATCH('Chart of Accounts'!$A417,'Yardi Report'!$A:$A,0),2))</f>
        <v/>
      </c>
      <c r="C411">
        <f>IF(A411="","",MAX($C$1:C410)+1)</f>
        <v/>
      </c>
      <c r="E411">
        <f>A411&amp;" "&amp;B411</f>
        <v/>
      </c>
      <c r="G411">
        <f>+G410+1</f>
        <v/>
      </c>
    </row>
    <row r="412">
      <c r="A412">
        <f>IF(ISNA(INDEX('Yardi Report'!$A:$E,MATCH('Chart of Accounts'!$A418,'Yardi Report'!$A:$A,0),1)),"",INDEX('Yardi Report'!$A:$E,MATCH('Chart of Accounts'!$A418,'Yardi Report'!$A:$A,0),1))</f>
        <v/>
      </c>
      <c r="B412">
        <f>IF(ISNA(INDEX('Yardi Report'!$A:$E,MATCH('Chart of Accounts'!$A418,'Yardi Report'!$A:$A,0),2)),"",INDEX('Yardi Report'!$A:$E,MATCH('Chart of Accounts'!$A418,'Yardi Report'!$A:$A,0),2))</f>
        <v/>
      </c>
      <c r="C412">
        <f>IF(A412="","",MAX($C$1:C411)+1)</f>
        <v/>
      </c>
      <c r="E412">
        <f>A412&amp;" "&amp;B412</f>
        <v/>
      </c>
      <c r="G412">
        <f>+G411+1</f>
        <v/>
      </c>
    </row>
    <row r="413">
      <c r="A413">
        <f>IF(ISNA(INDEX('Yardi Report'!$A:$E,MATCH('Chart of Accounts'!$A419,'Yardi Report'!$A:$A,0),1)),"",INDEX('Yardi Report'!$A:$E,MATCH('Chart of Accounts'!$A419,'Yardi Report'!$A:$A,0),1))</f>
        <v/>
      </c>
      <c r="B413">
        <f>IF(ISNA(INDEX('Yardi Report'!$A:$E,MATCH('Chart of Accounts'!$A419,'Yardi Report'!$A:$A,0),2)),"",INDEX('Yardi Report'!$A:$E,MATCH('Chart of Accounts'!$A419,'Yardi Report'!$A:$A,0),2))</f>
        <v/>
      </c>
      <c r="C413">
        <f>IF(A413="","",MAX($C$1:C412)+1)</f>
        <v/>
      </c>
      <c r="E413">
        <f>A413&amp;" "&amp;B413</f>
        <v/>
      </c>
      <c r="G413">
        <f>+G412+1</f>
        <v/>
      </c>
    </row>
    <row r="414">
      <c r="A414">
        <f>IF(ISNA(INDEX('Yardi Report'!$A:$E,MATCH('Chart of Accounts'!$A420,'Yardi Report'!$A:$A,0),1)),"",INDEX('Yardi Report'!$A:$E,MATCH('Chart of Accounts'!$A420,'Yardi Report'!$A:$A,0),1))</f>
        <v/>
      </c>
      <c r="B414">
        <f>IF(ISNA(INDEX('Yardi Report'!$A:$E,MATCH('Chart of Accounts'!$A420,'Yardi Report'!$A:$A,0),2)),"",INDEX('Yardi Report'!$A:$E,MATCH('Chart of Accounts'!$A420,'Yardi Report'!$A:$A,0),2))</f>
        <v/>
      </c>
      <c r="C414">
        <f>IF(A414="","",MAX($C$1:C413)+1)</f>
        <v/>
      </c>
      <c r="E414">
        <f>A414&amp;" "&amp;B414</f>
        <v/>
      </c>
      <c r="G414">
        <f>+G413+1</f>
        <v/>
      </c>
    </row>
    <row r="415">
      <c r="A415">
        <f>IF(ISNA(INDEX('Yardi Report'!$A:$E,MATCH('Chart of Accounts'!$A421,'Yardi Report'!$A:$A,0),1)),"",INDEX('Yardi Report'!$A:$E,MATCH('Chart of Accounts'!$A421,'Yardi Report'!$A:$A,0),1))</f>
        <v/>
      </c>
      <c r="B415">
        <f>IF(ISNA(INDEX('Yardi Report'!$A:$E,MATCH('Chart of Accounts'!$A421,'Yardi Report'!$A:$A,0),2)),"",INDEX('Yardi Report'!$A:$E,MATCH('Chart of Accounts'!$A421,'Yardi Report'!$A:$A,0),2))</f>
        <v/>
      </c>
      <c r="C415">
        <f>IF(A415="","",MAX($C$1:C414)+1)</f>
        <v/>
      </c>
      <c r="E415">
        <f>A415&amp;" "&amp;B415</f>
        <v/>
      </c>
      <c r="G415">
        <f>+G414+1</f>
        <v/>
      </c>
    </row>
    <row r="416">
      <c r="A416">
        <f>IF(ISNA(INDEX('Yardi Report'!$A:$E,MATCH('Chart of Accounts'!$A422,'Yardi Report'!$A:$A,0),1)),"",INDEX('Yardi Report'!$A:$E,MATCH('Chart of Accounts'!$A422,'Yardi Report'!$A:$A,0),1))</f>
        <v/>
      </c>
      <c r="B416">
        <f>IF(ISNA(INDEX('Yardi Report'!$A:$E,MATCH('Chart of Accounts'!$A422,'Yardi Report'!$A:$A,0),2)),"",INDEX('Yardi Report'!$A:$E,MATCH('Chart of Accounts'!$A422,'Yardi Report'!$A:$A,0),2))</f>
        <v/>
      </c>
      <c r="C416">
        <f>IF(A416="","",MAX($C$1:C415)+1)</f>
        <v/>
      </c>
      <c r="E416">
        <f>A416&amp;" "&amp;B416</f>
        <v/>
      </c>
      <c r="G416">
        <f>+G415+1</f>
        <v/>
      </c>
    </row>
    <row r="417">
      <c r="A417">
        <f>IF(ISNA(INDEX('Yardi Report'!$A:$E,MATCH('Chart of Accounts'!$A423,'Yardi Report'!$A:$A,0),1)),"",INDEX('Yardi Report'!$A:$E,MATCH('Chart of Accounts'!$A423,'Yardi Report'!$A:$A,0),1))</f>
        <v/>
      </c>
      <c r="B417">
        <f>IF(ISNA(INDEX('Yardi Report'!$A:$E,MATCH('Chart of Accounts'!$A423,'Yardi Report'!$A:$A,0),2)),"",INDEX('Yardi Report'!$A:$E,MATCH('Chart of Accounts'!$A423,'Yardi Report'!$A:$A,0),2))</f>
        <v/>
      </c>
      <c r="C417">
        <f>IF(A417="","",MAX($C$1:C416)+1)</f>
        <v/>
      </c>
      <c r="E417">
        <f>A417&amp;" "&amp;B417</f>
        <v/>
      </c>
      <c r="G417">
        <f>+G416+1</f>
        <v/>
      </c>
    </row>
    <row r="418">
      <c r="A418">
        <f>IF(ISNA(INDEX('Yardi Report'!$A:$E,MATCH('Chart of Accounts'!$A424,'Yardi Report'!$A:$A,0),1)),"",INDEX('Yardi Report'!$A:$E,MATCH('Chart of Accounts'!$A424,'Yardi Report'!$A:$A,0),1))</f>
        <v/>
      </c>
      <c r="B418">
        <f>IF(ISNA(INDEX('Yardi Report'!$A:$E,MATCH('Chart of Accounts'!$A424,'Yardi Report'!$A:$A,0),2)),"",INDEX('Yardi Report'!$A:$E,MATCH('Chart of Accounts'!$A424,'Yardi Report'!$A:$A,0),2))</f>
        <v/>
      </c>
      <c r="C418">
        <f>IF(A418="","",MAX($C$1:C417)+1)</f>
        <v/>
      </c>
      <c r="E418">
        <f>A418&amp;" "&amp;B418</f>
        <v/>
      </c>
      <c r="G418">
        <f>+G417+1</f>
        <v/>
      </c>
    </row>
    <row r="419">
      <c r="A419">
        <f>IF(ISNA(INDEX('Yardi Report'!$A:$E,MATCH('Chart of Accounts'!$A425,'Yardi Report'!$A:$A,0),1)),"",INDEX('Yardi Report'!$A:$E,MATCH('Chart of Accounts'!$A425,'Yardi Report'!$A:$A,0),1))</f>
        <v/>
      </c>
      <c r="B419">
        <f>IF(ISNA(INDEX('Yardi Report'!$A:$E,MATCH('Chart of Accounts'!$A425,'Yardi Report'!$A:$A,0),2)),"",INDEX('Yardi Report'!$A:$E,MATCH('Chart of Accounts'!$A425,'Yardi Report'!$A:$A,0),2))</f>
        <v/>
      </c>
      <c r="C419">
        <f>IF(A419="","",MAX($C$1:C418)+1)</f>
        <v/>
      </c>
      <c r="E419">
        <f>A419&amp;" "&amp;B419</f>
        <v/>
      </c>
      <c r="G419">
        <f>+G418+1</f>
        <v/>
      </c>
    </row>
    <row r="420">
      <c r="A420">
        <f>IF(ISNA(INDEX('Yardi Report'!$A:$E,MATCH('Chart of Accounts'!$A426,'Yardi Report'!$A:$A,0),1)),"",INDEX('Yardi Report'!$A:$E,MATCH('Chart of Accounts'!$A426,'Yardi Report'!$A:$A,0),1))</f>
        <v/>
      </c>
      <c r="B420">
        <f>IF(ISNA(INDEX('Yardi Report'!$A:$E,MATCH('Chart of Accounts'!$A426,'Yardi Report'!$A:$A,0),2)),"",INDEX('Yardi Report'!$A:$E,MATCH('Chart of Accounts'!$A426,'Yardi Report'!$A:$A,0),2))</f>
        <v/>
      </c>
      <c r="C420">
        <f>IF(A420="","",MAX($C$1:C419)+1)</f>
        <v/>
      </c>
      <c r="E420">
        <f>A420&amp;" "&amp;B420</f>
        <v/>
      </c>
      <c r="G420">
        <f>+G419+1</f>
        <v/>
      </c>
    </row>
    <row r="421">
      <c r="A421">
        <f>IF(ISNA(INDEX('Yardi Report'!$A:$E,MATCH('Chart of Accounts'!$A427,'Yardi Report'!$A:$A,0),1)),"",INDEX('Yardi Report'!$A:$E,MATCH('Chart of Accounts'!$A427,'Yardi Report'!$A:$A,0),1))</f>
        <v/>
      </c>
      <c r="B421">
        <f>IF(ISNA(INDEX('Yardi Report'!$A:$E,MATCH('Chart of Accounts'!$A427,'Yardi Report'!$A:$A,0),2)),"",INDEX('Yardi Report'!$A:$E,MATCH('Chart of Accounts'!$A427,'Yardi Report'!$A:$A,0),2))</f>
        <v/>
      </c>
      <c r="C421">
        <f>IF(A421="","",MAX($C$1:C420)+1)</f>
        <v/>
      </c>
      <c r="E421">
        <f>A421&amp;" "&amp;B421</f>
        <v/>
      </c>
      <c r="G421">
        <f>+G420+1</f>
        <v/>
      </c>
    </row>
    <row r="422">
      <c r="A422">
        <f>IF(ISNA(INDEX('Yardi Report'!$A:$E,MATCH('Chart of Accounts'!$A428,'Yardi Report'!$A:$A,0),1)),"",INDEX('Yardi Report'!$A:$E,MATCH('Chart of Accounts'!$A428,'Yardi Report'!$A:$A,0),1))</f>
        <v/>
      </c>
      <c r="B422">
        <f>IF(ISNA(INDEX('Yardi Report'!$A:$E,MATCH('Chart of Accounts'!$A428,'Yardi Report'!$A:$A,0),2)),"",INDEX('Yardi Report'!$A:$E,MATCH('Chart of Accounts'!$A428,'Yardi Report'!$A:$A,0),2))</f>
        <v/>
      </c>
      <c r="C422">
        <f>IF(A422="","",MAX($C$1:C421)+1)</f>
        <v/>
      </c>
      <c r="E422">
        <f>A422&amp;" "&amp;B422</f>
        <v/>
      </c>
      <c r="G422">
        <f>+G421+1</f>
        <v/>
      </c>
    </row>
    <row r="423">
      <c r="A423">
        <f>IF(ISNA(INDEX('Yardi Report'!$A:$E,MATCH('Chart of Accounts'!$A429,'Yardi Report'!$A:$A,0),1)),"",INDEX('Yardi Report'!$A:$E,MATCH('Chart of Accounts'!$A429,'Yardi Report'!$A:$A,0),1))</f>
        <v/>
      </c>
      <c r="B423">
        <f>IF(ISNA(INDEX('Yardi Report'!$A:$E,MATCH('Chart of Accounts'!$A429,'Yardi Report'!$A:$A,0),2)),"",INDEX('Yardi Report'!$A:$E,MATCH('Chart of Accounts'!$A429,'Yardi Report'!$A:$A,0),2))</f>
        <v/>
      </c>
      <c r="C423">
        <f>IF(A423="","",MAX($C$1:C422)+1)</f>
        <v/>
      </c>
      <c r="E423">
        <f>A423&amp;" "&amp;B423</f>
        <v/>
      </c>
      <c r="G423">
        <f>+G422+1</f>
        <v/>
      </c>
    </row>
    <row r="424">
      <c r="A424">
        <f>IF(ISNA(INDEX('Yardi Report'!$A:$E,MATCH('Chart of Accounts'!$A430,'Yardi Report'!$A:$A,0),1)),"",INDEX('Yardi Report'!$A:$E,MATCH('Chart of Accounts'!$A430,'Yardi Report'!$A:$A,0),1))</f>
        <v/>
      </c>
      <c r="B424">
        <f>IF(ISNA(INDEX('Yardi Report'!$A:$E,MATCH('Chart of Accounts'!$A430,'Yardi Report'!$A:$A,0),2)),"",INDEX('Yardi Report'!$A:$E,MATCH('Chart of Accounts'!$A430,'Yardi Report'!$A:$A,0),2))</f>
        <v/>
      </c>
      <c r="C424">
        <f>IF(A424="","",MAX($C$1:C423)+1)</f>
        <v/>
      </c>
      <c r="E424">
        <f>A424&amp;" "&amp;B424</f>
        <v/>
      </c>
      <c r="G424">
        <f>+G423+1</f>
        <v/>
      </c>
    </row>
    <row r="425">
      <c r="A425">
        <f>IF(ISNA(INDEX('Yardi Report'!$A:$E,MATCH('Chart of Accounts'!$A431,'Yardi Report'!$A:$A,0),1)),"",INDEX('Yardi Report'!$A:$E,MATCH('Chart of Accounts'!$A431,'Yardi Report'!$A:$A,0),1))</f>
        <v/>
      </c>
      <c r="B425">
        <f>IF(ISNA(INDEX('Yardi Report'!$A:$E,MATCH('Chart of Accounts'!$A431,'Yardi Report'!$A:$A,0),2)),"",INDEX('Yardi Report'!$A:$E,MATCH('Chart of Accounts'!$A431,'Yardi Report'!$A:$A,0),2))</f>
        <v/>
      </c>
      <c r="C425">
        <f>IF(A425="","",MAX($C$1:C424)+1)</f>
        <v/>
      </c>
      <c r="E425">
        <f>A425&amp;" "&amp;B425</f>
        <v/>
      </c>
      <c r="G425">
        <f>+G424+1</f>
        <v/>
      </c>
    </row>
    <row r="426">
      <c r="A426">
        <f>IF(ISNA(INDEX('Yardi Report'!$A:$E,MATCH('Chart of Accounts'!$A432,'Yardi Report'!$A:$A,0),1)),"",INDEX('Yardi Report'!$A:$E,MATCH('Chart of Accounts'!$A432,'Yardi Report'!$A:$A,0),1))</f>
        <v/>
      </c>
      <c r="B426">
        <f>IF(ISNA(INDEX('Yardi Report'!$A:$E,MATCH('Chart of Accounts'!$A432,'Yardi Report'!$A:$A,0),2)),"",INDEX('Yardi Report'!$A:$E,MATCH('Chart of Accounts'!$A432,'Yardi Report'!$A:$A,0),2))</f>
        <v/>
      </c>
      <c r="C426">
        <f>IF(A426="","",MAX($C$1:C425)+1)</f>
        <v/>
      </c>
      <c r="E426">
        <f>A426&amp;" "&amp;B426</f>
        <v/>
      </c>
      <c r="G426">
        <f>+G425+1</f>
        <v/>
      </c>
    </row>
    <row r="427">
      <c r="A427">
        <f>IF(ISNA(INDEX('Yardi Report'!$A:$E,MATCH('Chart of Accounts'!$A433,'Yardi Report'!$A:$A,0),1)),"",INDEX('Yardi Report'!$A:$E,MATCH('Chart of Accounts'!$A433,'Yardi Report'!$A:$A,0),1))</f>
        <v/>
      </c>
      <c r="B427">
        <f>IF(ISNA(INDEX('Yardi Report'!$A:$E,MATCH('Chart of Accounts'!$A433,'Yardi Report'!$A:$A,0),2)),"",INDEX('Yardi Report'!$A:$E,MATCH('Chart of Accounts'!$A433,'Yardi Report'!$A:$A,0),2))</f>
        <v/>
      </c>
      <c r="C427">
        <f>IF(A427="","",MAX($C$1:C426)+1)</f>
        <v/>
      </c>
      <c r="E427">
        <f>A427&amp;" "&amp;B427</f>
        <v/>
      </c>
      <c r="G427">
        <f>+G426+1</f>
        <v/>
      </c>
    </row>
    <row r="428">
      <c r="A428">
        <f>IF(ISNA(INDEX('Yardi Report'!$A:$E,MATCH('Chart of Accounts'!$A434,'Yardi Report'!$A:$A,0),1)),"",INDEX('Yardi Report'!$A:$E,MATCH('Chart of Accounts'!$A434,'Yardi Report'!$A:$A,0),1))</f>
        <v/>
      </c>
      <c r="B428">
        <f>IF(ISNA(INDEX('Yardi Report'!$A:$E,MATCH('Chart of Accounts'!$A434,'Yardi Report'!$A:$A,0),2)),"",INDEX('Yardi Report'!$A:$E,MATCH('Chart of Accounts'!$A434,'Yardi Report'!$A:$A,0),2))</f>
        <v/>
      </c>
      <c r="C428">
        <f>IF(A428="","",MAX($C$1:C427)+1)</f>
        <v/>
      </c>
      <c r="E428">
        <f>A428&amp;" "&amp;B428</f>
        <v/>
      </c>
      <c r="G428">
        <f>+G427+1</f>
        <v/>
      </c>
    </row>
    <row r="429">
      <c r="A429">
        <f>IF(ISNA(INDEX('Yardi Report'!$A:$E,MATCH('Chart of Accounts'!$A435,'Yardi Report'!$A:$A,0),1)),"",INDEX('Yardi Report'!$A:$E,MATCH('Chart of Accounts'!$A435,'Yardi Report'!$A:$A,0),1))</f>
        <v/>
      </c>
      <c r="B429">
        <f>IF(ISNA(INDEX('Yardi Report'!$A:$E,MATCH('Chart of Accounts'!$A435,'Yardi Report'!$A:$A,0),2)),"",INDEX('Yardi Report'!$A:$E,MATCH('Chart of Accounts'!$A435,'Yardi Report'!$A:$A,0),2))</f>
        <v/>
      </c>
      <c r="C429">
        <f>IF(A429="","",MAX($C$1:C428)+1)</f>
        <v/>
      </c>
      <c r="E429">
        <f>A429&amp;" "&amp;B429</f>
        <v/>
      </c>
      <c r="G429">
        <f>+G428+1</f>
        <v/>
      </c>
    </row>
    <row r="430">
      <c r="A430">
        <f>IF(ISNA(INDEX('Yardi Report'!$A:$E,MATCH('Chart of Accounts'!$A436,'Yardi Report'!$A:$A,0),1)),"",INDEX('Yardi Report'!$A:$E,MATCH('Chart of Accounts'!$A436,'Yardi Report'!$A:$A,0),1))</f>
        <v/>
      </c>
      <c r="B430">
        <f>IF(ISNA(INDEX('Yardi Report'!$A:$E,MATCH('Chart of Accounts'!$A436,'Yardi Report'!$A:$A,0),2)),"",INDEX('Yardi Report'!$A:$E,MATCH('Chart of Accounts'!$A436,'Yardi Report'!$A:$A,0),2))</f>
        <v/>
      </c>
      <c r="C430">
        <f>IF(A430="","",MAX($C$1:C429)+1)</f>
        <v/>
      </c>
      <c r="E430">
        <f>A430&amp;" "&amp;B430</f>
        <v/>
      </c>
      <c r="G430">
        <f>+G429+1</f>
        <v/>
      </c>
    </row>
    <row r="431">
      <c r="A431">
        <f>IF(ISNA(INDEX('Yardi Report'!$A:$E,MATCH('Chart of Accounts'!$A437,'Yardi Report'!$A:$A,0),1)),"",INDEX('Yardi Report'!$A:$E,MATCH('Chart of Accounts'!$A437,'Yardi Report'!$A:$A,0),1))</f>
        <v/>
      </c>
      <c r="B431">
        <f>IF(ISNA(INDEX('Yardi Report'!$A:$E,MATCH('Chart of Accounts'!$A437,'Yardi Report'!$A:$A,0),2)),"",INDEX('Yardi Report'!$A:$E,MATCH('Chart of Accounts'!$A437,'Yardi Report'!$A:$A,0),2))</f>
        <v/>
      </c>
      <c r="C431">
        <f>IF(A431="","",MAX($C$1:C430)+1)</f>
        <v/>
      </c>
      <c r="E431">
        <f>A431&amp;" "&amp;B431</f>
        <v/>
      </c>
      <c r="G431">
        <f>+G430+1</f>
        <v/>
      </c>
    </row>
    <row r="432">
      <c r="A432">
        <f>IF(ISNA(INDEX('Yardi Report'!$A:$E,MATCH('Chart of Accounts'!$A438,'Yardi Report'!$A:$A,0),1)),"",INDEX('Yardi Report'!$A:$E,MATCH('Chart of Accounts'!$A438,'Yardi Report'!$A:$A,0),1))</f>
        <v/>
      </c>
      <c r="B432">
        <f>IF(ISNA(INDEX('Yardi Report'!$A:$E,MATCH('Chart of Accounts'!$A438,'Yardi Report'!$A:$A,0),2)),"",INDEX('Yardi Report'!$A:$E,MATCH('Chart of Accounts'!$A438,'Yardi Report'!$A:$A,0),2))</f>
        <v/>
      </c>
      <c r="C432">
        <f>IF(A432="","",MAX($C$1:C431)+1)</f>
        <v/>
      </c>
      <c r="E432">
        <f>A432&amp;" "&amp;B432</f>
        <v/>
      </c>
      <c r="G432">
        <f>+G431+1</f>
        <v/>
      </c>
    </row>
    <row r="433">
      <c r="A433">
        <f>IF(ISNA(INDEX('Yardi Report'!$A:$E,MATCH('Chart of Accounts'!$A439,'Yardi Report'!$A:$A,0),1)),"",INDEX('Yardi Report'!$A:$E,MATCH('Chart of Accounts'!$A439,'Yardi Report'!$A:$A,0),1))</f>
        <v/>
      </c>
      <c r="B433">
        <f>IF(ISNA(INDEX('Yardi Report'!$A:$E,MATCH('Chart of Accounts'!$A439,'Yardi Report'!$A:$A,0),2)),"",INDEX('Yardi Report'!$A:$E,MATCH('Chart of Accounts'!$A439,'Yardi Report'!$A:$A,0),2))</f>
        <v/>
      </c>
      <c r="C433">
        <f>IF(A433="","",MAX($C$1:C432)+1)</f>
        <v/>
      </c>
      <c r="E433">
        <f>A433&amp;" "&amp;B433</f>
        <v/>
      </c>
      <c r="G433">
        <f>+G432+1</f>
        <v/>
      </c>
    </row>
    <row r="434">
      <c r="A434">
        <f>IF(ISNA(INDEX('Yardi Report'!$A:$E,MATCH('Chart of Accounts'!$A440,'Yardi Report'!$A:$A,0),1)),"",INDEX('Yardi Report'!$A:$E,MATCH('Chart of Accounts'!$A440,'Yardi Report'!$A:$A,0),1))</f>
        <v/>
      </c>
      <c r="B434">
        <f>IF(ISNA(INDEX('Yardi Report'!$A:$E,MATCH('Chart of Accounts'!$A440,'Yardi Report'!$A:$A,0),2)),"",INDEX('Yardi Report'!$A:$E,MATCH('Chart of Accounts'!$A440,'Yardi Report'!$A:$A,0),2))</f>
        <v/>
      </c>
      <c r="C434">
        <f>IF(A434="","",MAX($C$1:C433)+1)</f>
        <v/>
      </c>
      <c r="E434">
        <f>A434&amp;" "&amp;B434</f>
        <v/>
      </c>
      <c r="G434">
        <f>+G433+1</f>
        <v/>
      </c>
    </row>
    <row r="435">
      <c r="A435">
        <f>IF(ISNA(INDEX('Yardi Report'!$A:$E,MATCH('Chart of Accounts'!$A441,'Yardi Report'!$A:$A,0),1)),"",INDEX('Yardi Report'!$A:$E,MATCH('Chart of Accounts'!$A441,'Yardi Report'!$A:$A,0),1))</f>
        <v/>
      </c>
      <c r="B435">
        <f>IF(ISNA(INDEX('Yardi Report'!$A:$E,MATCH('Chart of Accounts'!$A441,'Yardi Report'!$A:$A,0),2)),"",INDEX('Yardi Report'!$A:$E,MATCH('Chart of Accounts'!$A441,'Yardi Report'!$A:$A,0),2))</f>
        <v/>
      </c>
      <c r="C435">
        <f>IF(A435="","",MAX($C$1:C434)+1)</f>
        <v/>
      </c>
      <c r="E435">
        <f>A435&amp;" "&amp;B435</f>
        <v/>
      </c>
      <c r="G435">
        <f>+G434+1</f>
        <v/>
      </c>
    </row>
    <row r="436">
      <c r="A436">
        <f>IF(ISNA(INDEX('Yardi Report'!$A:$E,MATCH('Chart of Accounts'!$A442,'Yardi Report'!$A:$A,0),1)),"",INDEX('Yardi Report'!$A:$E,MATCH('Chart of Accounts'!$A442,'Yardi Report'!$A:$A,0),1))</f>
        <v/>
      </c>
      <c r="B436">
        <f>IF(ISNA(INDEX('Yardi Report'!$A:$E,MATCH('Chart of Accounts'!$A442,'Yardi Report'!$A:$A,0),2)),"",INDEX('Yardi Report'!$A:$E,MATCH('Chart of Accounts'!$A442,'Yardi Report'!$A:$A,0),2))</f>
        <v/>
      </c>
      <c r="C436">
        <f>IF(A436="","",MAX($C$1:C435)+1)</f>
        <v/>
      </c>
      <c r="E436">
        <f>A436&amp;" "&amp;B436</f>
        <v/>
      </c>
      <c r="G436">
        <f>+G435+1</f>
        <v/>
      </c>
    </row>
    <row r="437">
      <c r="A437">
        <f>IF(ISNA(INDEX('Yardi Report'!$A:$E,MATCH('Chart of Accounts'!$A443,'Yardi Report'!$A:$A,0),1)),"",INDEX('Yardi Report'!$A:$E,MATCH('Chart of Accounts'!$A443,'Yardi Report'!$A:$A,0),1))</f>
        <v/>
      </c>
      <c r="B437">
        <f>IF(ISNA(INDEX('Yardi Report'!$A:$E,MATCH('Chart of Accounts'!$A443,'Yardi Report'!$A:$A,0),2)),"",INDEX('Yardi Report'!$A:$E,MATCH('Chart of Accounts'!$A443,'Yardi Report'!$A:$A,0),2))</f>
        <v/>
      </c>
      <c r="C437">
        <f>IF(A437="","",MAX($C$1:C436)+1)</f>
        <v/>
      </c>
      <c r="E437">
        <f>A437&amp;" "&amp;B437</f>
        <v/>
      </c>
      <c r="G437">
        <f>+G436+1</f>
        <v/>
      </c>
    </row>
    <row r="438">
      <c r="A438">
        <f>IF(ISNA(INDEX('Yardi Report'!$A:$E,MATCH('Chart of Accounts'!$A444,'Yardi Report'!$A:$A,0),1)),"",INDEX('Yardi Report'!$A:$E,MATCH('Chart of Accounts'!$A444,'Yardi Report'!$A:$A,0),1))</f>
        <v/>
      </c>
      <c r="B438">
        <f>IF(ISNA(INDEX('Yardi Report'!$A:$E,MATCH('Chart of Accounts'!$A444,'Yardi Report'!$A:$A,0),2)),"",INDEX('Yardi Report'!$A:$E,MATCH('Chart of Accounts'!$A444,'Yardi Report'!$A:$A,0),2))</f>
        <v/>
      </c>
      <c r="C438">
        <f>IF(A438="","",MAX($C$1:C437)+1)</f>
        <v/>
      </c>
      <c r="E438">
        <f>A438&amp;" "&amp;B438</f>
        <v/>
      </c>
      <c r="G438">
        <f>+G437+1</f>
        <v/>
      </c>
    </row>
    <row r="439">
      <c r="A439">
        <f>IF(ISNA(INDEX('Yardi Report'!$A:$E,MATCH('Chart of Accounts'!$A445,'Yardi Report'!$A:$A,0),1)),"",INDEX('Yardi Report'!$A:$E,MATCH('Chart of Accounts'!$A445,'Yardi Report'!$A:$A,0),1))</f>
        <v/>
      </c>
      <c r="B439">
        <f>IF(ISNA(INDEX('Yardi Report'!$A:$E,MATCH('Chart of Accounts'!$A445,'Yardi Report'!$A:$A,0),2)),"",INDEX('Yardi Report'!$A:$E,MATCH('Chart of Accounts'!$A445,'Yardi Report'!$A:$A,0),2))</f>
        <v/>
      </c>
      <c r="C439">
        <f>IF(A439="","",MAX($C$1:C438)+1)</f>
        <v/>
      </c>
      <c r="E439">
        <f>A439&amp;" "&amp;B439</f>
        <v/>
      </c>
      <c r="G439">
        <f>+G438+1</f>
        <v/>
      </c>
    </row>
    <row r="440">
      <c r="A440">
        <f>IF(ISNA(INDEX('Yardi Report'!$A:$E,MATCH('Chart of Accounts'!$A446,'Yardi Report'!$A:$A,0),1)),"",INDEX('Yardi Report'!$A:$E,MATCH('Chart of Accounts'!$A446,'Yardi Report'!$A:$A,0),1))</f>
        <v/>
      </c>
      <c r="B440">
        <f>IF(ISNA(INDEX('Yardi Report'!$A:$E,MATCH('Chart of Accounts'!$A446,'Yardi Report'!$A:$A,0),2)),"",INDEX('Yardi Report'!$A:$E,MATCH('Chart of Accounts'!$A446,'Yardi Report'!$A:$A,0),2))</f>
        <v/>
      </c>
      <c r="C440">
        <f>IF(A440="","",MAX($C$1:C439)+1)</f>
        <v/>
      </c>
      <c r="E440">
        <f>A440&amp;" "&amp;B440</f>
        <v/>
      </c>
      <c r="G440">
        <f>+G439+1</f>
        <v/>
      </c>
    </row>
    <row r="441">
      <c r="A441">
        <f>IF(ISNA(INDEX('Yardi Report'!$A:$E,MATCH('Chart of Accounts'!$A447,'Yardi Report'!$A:$A,0),1)),"",INDEX('Yardi Report'!$A:$E,MATCH('Chart of Accounts'!$A447,'Yardi Report'!$A:$A,0),1))</f>
        <v/>
      </c>
      <c r="B441">
        <f>IF(ISNA(INDEX('Yardi Report'!$A:$E,MATCH('Chart of Accounts'!$A447,'Yardi Report'!$A:$A,0),2)),"",INDEX('Yardi Report'!$A:$E,MATCH('Chart of Accounts'!$A447,'Yardi Report'!$A:$A,0),2))</f>
        <v/>
      </c>
      <c r="C441">
        <f>IF(A441="","",MAX($C$1:C440)+1)</f>
        <v/>
      </c>
      <c r="E441">
        <f>A441&amp;" "&amp;B441</f>
        <v/>
      </c>
      <c r="G441">
        <f>+G440+1</f>
        <v/>
      </c>
    </row>
    <row r="442">
      <c r="A442">
        <f>IF(ISNA(INDEX('Yardi Report'!$A:$E,MATCH('Chart of Accounts'!$A448,'Yardi Report'!$A:$A,0),1)),"",INDEX('Yardi Report'!$A:$E,MATCH('Chart of Accounts'!$A448,'Yardi Report'!$A:$A,0),1))</f>
        <v/>
      </c>
      <c r="B442">
        <f>IF(ISNA(INDEX('Yardi Report'!$A:$E,MATCH('Chart of Accounts'!$A448,'Yardi Report'!$A:$A,0),2)),"",INDEX('Yardi Report'!$A:$E,MATCH('Chart of Accounts'!$A448,'Yardi Report'!$A:$A,0),2))</f>
        <v/>
      </c>
      <c r="C442">
        <f>IF(A442="","",MAX($C$1:C441)+1)</f>
        <v/>
      </c>
      <c r="E442">
        <f>A442&amp;" "&amp;B442</f>
        <v/>
      </c>
      <c r="G442">
        <f>+G441+1</f>
        <v/>
      </c>
    </row>
    <row r="443">
      <c r="A443">
        <f>IF(ISNA(INDEX('Yardi Report'!$A:$E,MATCH('Chart of Accounts'!$A449,'Yardi Report'!$A:$A,0),1)),"",INDEX('Yardi Report'!$A:$E,MATCH('Chart of Accounts'!$A449,'Yardi Report'!$A:$A,0),1))</f>
        <v/>
      </c>
      <c r="B443">
        <f>IF(ISNA(INDEX('Yardi Report'!$A:$E,MATCH('Chart of Accounts'!$A449,'Yardi Report'!$A:$A,0),2)),"",INDEX('Yardi Report'!$A:$E,MATCH('Chart of Accounts'!$A449,'Yardi Report'!$A:$A,0),2))</f>
        <v/>
      </c>
      <c r="C443">
        <f>IF(A443="","",MAX($C$1:C442)+1)</f>
        <v/>
      </c>
      <c r="E443">
        <f>A443&amp;" "&amp;B443</f>
        <v/>
      </c>
      <c r="G443">
        <f>+G442+1</f>
        <v/>
      </c>
    </row>
    <row r="444">
      <c r="A444">
        <f>IF(ISNA(INDEX('Yardi Report'!$A:$E,MATCH('Chart of Accounts'!$A450,'Yardi Report'!$A:$A,0),1)),"",INDEX('Yardi Report'!$A:$E,MATCH('Chart of Accounts'!$A450,'Yardi Report'!$A:$A,0),1))</f>
        <v/>
      </c>
      <c r="B444">
        <f>IF(ISNA(INDEX('Yardi Report'!$A:$E,MATCH('Chart of Accounts'!$A450,'Yardi Report'!$A:$A,0),2)),"",INDEX('Yardi Report'!$A:$E,MATCH('Chart of Accounts'!$A450,'Yardi Report'!$A:$A,0),2))</f>
        <v/>
      </c>
      <c r="C444">
        <f>IF(A444="","",MAX($C$1:C443)+1)</f>
        <v/>
      </c>
      <c r="E444">
        <f>A444&amp;" "&amp;B444</f>
        <v/>
      </c>
      <c r="G444">
        <f>+G443+1</f>
        <v/>
      </c>
    </row>
    <row r="445">
      <c r="A445">
        <f>IF(ISNA(INDEX('Yardi Report'!$A:$E,MATCH('Chart of Accounts'!$A451,'Yardi Report'!$A:$A,0),1)),"",INDEX('Yardi Report'!$A:$E,MATCH('Chart of Accounts'!$A451,'Yardi Report'!$A:$A,0),1))</f>
        <v/>
      </c>
      <c r="B445">
        <f>IF(ISNA(INDEX('Yardi Report'!$A:$E,MATCH('Chart of Accounts'!$A451,'Yardi Report'!$A:$A,0),2)),"",INDEX('Yardi Report'!$A:$E,MATCH('Chart of Accounts'!$A451,'Yardi Report'!$A:$A,0),2))</f>
        <v/>
      </c>
      <c r="C445">
        <f>IF(A445="","",MAX($C$1:C444)+1)</f>
        <v/>
      </c>
      <c r="E445">
        <f>A445&amp;" "&amp;B445</f>
        <v/>
      </c>
      <c r="G445">
        <f>+G444+1</f>
        <v/>
      </c>
    </row>
    <row r="446">
      <c r="A446">
        <f>IF(ISNA(INDEX('Yardi Report'!$A:$E,MATCH('Chart of Accounts'!$A452,'Yardi Report'!$A:$A,0),1)),"",INDEX('Yardi Report'!$A:$E,MATCH('Chart of Accounts'!$A452,'Yardi Report'!$A:$A,0),1))</f>
        <v/>
      </c>
      <c r="B446">
        <f>IF(ISNA(INDEX('Yardi Report'!$A:$E,MATCH('Chart of Accounts'!$A452,'Yardi Report'!$A:$A,0),2)),"",INDEX('Yardi Report'!$A:$E,MATCH('Chart of Accounts'!$A452,'Yardi Report'!$A:$A,0),2))</f>
        <v/>
      </c>
      <c r="C446">
        <f>IF(A446="","",MAX($C$1:C445)+1)</f>
        <v/>
      </c>
      <c r="E446">
        <f>A446&amp;" "&amp;B446</f>
        <v/>
      </c>
      <c r="G446">
        <f>+G445+1</f>
        <v/>
      </c>
    </row>
    <row r="447">
      <c r="A447">
        <f>IF(ISNA(INDEX('Yardi Report'!$A:$E,MATCH('Chart of Accounts'!$A453,'Yardi Report'!$A:$A,0),1)),"",INDEX('Yardi Report'!$A:$E,MATCH('Chart of Accounts'!$A453,'Yardi Report'!$A:$A,0),1))</f>
        <v/>
      </c>
      <c r="B447">
        <f>IF(ISNA(INDEX('Yardi Report'!$A:$E,MATCH('Chart of Accounts'!$A453,'Yardi Report'!$A:$A,0),2)),"",INDEX('Yardi Report'!$A:$E,MATCH('Chart of Accounts'!$A453,'Yardi Report'!$A:$A,0),2))</f>
        <v/>
      </c>
      <c r="C447">
        <f>IF(A447="","",MAX($C$1:C446)+1)</f>
        <v/>
      </c>
      <c r="E447">
        <f>A447&amp;" "&amp;B447</f>
        <v/>
      </c>
      <c r="G447">
        <f>+G446+1</f>
        <v/>
      </c>
    </row>
    <row r="448">
      <c r="A448">
        <f>IF(ISNA(INDEX('Yardi Report'!$A:$E,MATCH('Chart of Accounts'!$A454,'Yardi Report'!$A:$A,0),1)),"",INDEX('Yardi Report'!$A:$E,MATCH('Chart of Accounts'!$A454,'Yardi Report'!$A:$A,0),1))</f>
        <v/>
      </c>
      <c r="B448">
        <f>IF(ISNA(INDEX('Yardi Report'!$A:$E,MATCH('Chart of Accounts'!$A454,'Yardi Report'!$A:$A,0),2)),"",INDEX('Yardi Report'!$A:$E,MATCH('Chart of Accounts'!$A454,'Yardi Report'!$A:$A,0),2))</f>
        <v/>
      </c>
      <c r="C448">
        <f>IF(A448="","",MAX($C$1:C447)+1)</f>
        <v/>
      </c>
      <c r="E448">
        <f>A448&amp;" "&amp;B448</f>
        <v/>
      </c>
      <c r="G448">
        <f>+G447+1</f>
        <v/>
      </c>
    </row>
    <row r="449">
      <c r="A449">
        <f>IF(ISNA(INDEX('Yardi Report'!$A:$E,MATCH('Chart of Accounts'!$A455,'Yardi Report'!$A:$A,0),1)),"",INDEX('Yardi Report'!$A:$E,MATCH('Chart of Accounts'!$A455,'Yardi Report'!$A:$A,0),1))</f>
        <v/>
      </c>
      <c r="B449">
        <f>IF(ISNA(INDEX('Yardi Report'!$A:$E,MATCH('Chart of Accounts'!$A455,'Yardi Report'!$A:$A,0),2)),"",INDEX('Yardi Report'!$A:$E,MATCH('Chart of Accounts'!$A455,'Yardi Report'!$A:$A,0),2))</f>
        <v/>
      </c>
      <c r="C449">
        <f>IF(A449="","",MAX($C$1:C448)+1)</f>
        <v/>
      </c>
      <c r="E449">
        <f>A449&amp;" "&amp;B449</f>
        <v/>
      </c>
      <c r="G449">
        <f>+G448+1</f>
        <v/>
      </c>
    </row>
    <row r="450">
      <c r="A450">
        <f>IF(ISNA(INDEX('Yardi Report'!$A:$E,MATCH('Chart of Accounts'!$A456,'Yardi Report'!$A:$A,0),1)),"",INDEX('Yardi Report'!$A:$E,MATCH('Chart of Accounts'!$A456,'Yardi Report'!$A:$A,0),1))</f>
        <v/>
      </c>
      <c r="B450">
        <f>IF(ISNA(INDEX('Yardi Report'!$A:$E,MATCH('Chart of Accounts'!$A456,'Yardi Report'!$A:$A,0),2)),"",INDEX('Yardi Report'!$A:$E,MATCH('Chart of Accounts'!$A456,'Yardi Report'!$A:$A,0),2))</f>
        <v/>
      </c>
      <c r="C450">
        <f>IF(A450="","",MAX($C$1:C449)+1)</f>
        <v/>
      </c>
      <c r="E450">
        <f>A450&amp;" "&amp;B450</f>
        <v/>
      </c>
      <c r="G450">
        <f>+G449+1</f>
        <v/>
      </c>
    </row>
    <row r="451">
      <c r="A451">
        <f>IF(ISNA(INDEX('Yardi Report'!$A:$E,MATCH('Chart of Accounts'!$A457,'Yardi Report'!$A:$A,0),1)),"",INDEX('Yardi Report'!$A:$E,MATCH('Chart of Accounts'!$A457,'Yardi Report'!$A:$A,0),1))</f>
        <v/>
      </c>
      <c r="B451">
        <f>IF(ISNA(INDEX('Yardi Report'!$A:$E,MATCH('Chart of Accounts'!$A457,'Yardi Report'!$A:$A,0),2)),"",INDEX('Yardi Report'!$A:$E,MATCH('Chart of Accounts'!$A457,'Yardi Report'!$A:$A,0),2))</f>
        <v/>
      </c>
      <c r="C451">
        <f>IF(A451="","",MAX($C$1:C450)+1)</f>
        <v/>
      </c>
      <c r="E451">
        <f>A451&amp;" "&amp;B451</f>
        <v/>
      </c>
      <c r="G451">
        <f>+G450+1</f>
        <v/>
      </c>
    </row>
    <row r="452">
      <c r="A452">
        <f>IF(ISNA(INDEX('Yardi Report'!$A:$E,MATCH('Chart of Accounts'!$A458,'Yardi Report'!$A:$A,0),1)),"",INDEX('Yardi Report'!$A:$E,MATCH('Chart of Accounts'!$A458,'Yardi Report'!$A:$A,0),1))</f>
        <v/>
      </c>
      <c r="B452">
        <f>IF(ISNA(INDEX('Yardi Report'!$A:$E,MATCH('Chart of Accounts'!$A458,'Yardi Report'!$A:$A,0),2)),"",INDEX('Yardi Report'!$A:$E,MATCH('Chart of Accounts'!$A458,'Yardi Report'!$A:$A,0),2))</f>
        <v/>
      </c>
      <c r="C452">
        <f>IF(A452="","",MAX($C$1:C451)+1)</f>
        <v/>
      </c>
      <c r="E452">
        <f>A452&amp;" "&amp;B452</f>
        <v/>
      </c>
      <c r="G452">
        <f>+G451+1</f>
        <v/>
      </c>
    </row>
    <row r="453">
      <c r="A453">
        <f>IF(ISNA(INDEX('Yardi Report'!$A:$E,MATCH('Chart of Accounts'!$A459,'Yardi Report'!$A:$A,0),1)),"",INDEX('Yardi Report'!$A:$E,MATCH('Chart of Accounts'!$A459,'Yardi Report'!$A:$A,0),1))</f>
        <v/>
      </c>
      <c r="B453">
        <f>IF(ISNA(INDEX('Yardi Report'!$A:$E,MATCH('Chart of Accounts'!$A459,'Yardi Report'!$A:$A,0),2)),"",INDEX('Yardi Report'!$A:$E,MATCH('Chart of Accounts'!$A459,'Yardi Report'!$A:$A,0),2))</f>
        <v/>
      </c>
      <c r="C453">
        <f>IF(A453="","",MAX($C$1:C452)+1)</f>
        <v/>
      </c>
      <c r="E453">
        <f>A453&amp;" "&amp;B453</f>
        <v/>
      </c>
      <c r="G453">
        <f>+G452+1</f>
        <v/>
      </c>
    </row>
    <row r="454">
      <c r="A454">
        <f>IF(ISNA(INDEX('Yardi Report'!$A:$E,MATCH('Chart of Accounts'!$A460,'Yardi Report'!$A:$A,0),1)),"",INDEX('Yardi Report'!$A:$E,MATCH('Chart of Accounts'!$A460,'Yardi Report'!$A:$A,0),1))</f>
        <v/>
      </c>
      <c r="B454">
        <f>IF(ISNA(INDEX('Yardi Report'!$A:$E,MATCH('Chart of Accounts'!$A460,'Yardi Report'!$A:$A,0),2)),"",INDEX('Yardi Report'!$A:$E,MATCH('Chart of Accounts'!$A460,'Yardi Report'!$A:$A,0),2))</f>
        <v/>
      </c>
      <c r="C454">
        <f>IF(A454="","",MAX($C$1:C453)+1)</f>
        <v/>
      </c>
      <c r="E454">
        <f>A454&amp;" "&amp;B454</f>
        <v/>
      </c>
      <c r="G454">
        <f>+G453+1</f>
        <v/>
      </c>
    </row>
    <row r="455">
      <c r="A455">
        <f>IF(ISNA(INDEX('Yardi Report'!$A:$E,MATCH('Chart of Accounts'!$A461,'Yardi Report'!$A:$A,0),1)),"",INDEX('Yardi Report'!$A:$E,MATCH('Chart of Accounts'!$A461,'Yardi Report'!$A:$A,0),1))</f>
        <v/>
      </c>
      <c r="B455">
        <f>IF(ISNA(INDEX('Yardi Report'!$A:$E,MATCH('Chart of Accounts'!$A461,'Yardi Report'!$A:$A,0),2)),"",INDEX('Yardi Report'!$A:$E,MATCH('Chart of Accounts'!$A461,'Yardi Report'!$A:$A,0),2))</f>
        <v/>
      </c>
      <c r="C455">
        <f>IF(A455="","",MAX($C$1:C454)+1)</f>
        <v/>
      </c>
      <c r="E455">
        <f>A455&amp;" "&amp;B455</f>
        <v/>
      </c>
      <c r="G455">
        <f>+G454+1</f>
        <v/>
      </c>
    </row>
    <row r="456">
      <c r="A456">
        <f>IF(ISNA(INDEX('Yardi Report'!$A:$E,MATCH('Chart of Accounts'!$A462,'Yardi Report'!$A:$A,0),1)),"",INDEX('Yardi Report'!$A:$E,MATCH('Chart of Accounts'!$A462,'Yardi Report'!$A:$A,0),1))</f>
        <v/>
      </c>
      <c r="B456">
        <f>IF(ISNA(INDEX('Yardi Report'!$A:$E,MATCH('Chart of Accounts'!$A462,'Yardi Report'!$A:$A,0),2)),"",INDEX('Yardi Report'!$A:$E,MATCH('Chart of Accounts'!$A462,'Yardi Report'!$A:$A,0),2))</f>
        <v/>
      </c>
      <c r="C456">
        <f>IF(A456="","",MAX($C$1:C455)+1)</f>
        <v/>
      </c>
      <c r="E456">
        <f>A456&amp;" "&amp;B456</f>
        <v/>
      </c>
      <c r="G456">
        <f>+G455+1</f>
        <v/>
      </c>
    </row>
    <row r="457">
      <c r="A457">
        <f>IF(ISNA(INDEX('Yardi Report'!$A:$E,MATCH('Chart of Accounts'!$A463,'Yardi Report'!$A:$A,0),1)),"",INDEX('Yardi Report'!$A:$E,MATCH('Chart of Accounts'!$A463,'Yardi Report'!$A:$A,0),1))</f>
        <v/>
      </c>
      <c r="B457">
        <f>IF(ISNA(INDEX('Yardi Report'!$A:$E,MATCH('Chart of Accounts'!$A463,'Yardi Report'!$A:$A,0),2)),"",INDEX('Yardi Report'!$A:$E,MATCH('Chart of Accounts'!$A463,'Yardi Report'!$A:$A,0),2))</f>
        <v/>
      </c>
      <c r="C457">
        <f>IF(A457="","",MAX($C$1:C456)+1)</f>
        <v/>
      </c>
      <c r="E457">
        <f>A457&amp;" "&amp;B457</f>
        <v/>
      </c>
      <c r="G457">
        <f>+G456+1</f>
        <v/>
      </c>
    </row>
    <row r="458">
      <c r="A458">
        <f>IF(ISNA(INDEX('Yardi Report'!$A:$E,MATCH('Chart of Accounts'!$A464,'Yardi Report'!$A:$A,0),1)),"",INDEX('Yardi Report'!$A:$E,MATCH('Chart of Accounts'!$A464,'Yardi Report'!$A:$A,0),1))</f>
        <v/>
      </c>
      <c r="B458">
        <f>IF(ISNA(INDEX('Yardi Report'!$A:$E,MATCH('Chart of Accounts'!$A464,'Yardi Report'!$A:$A,0),2)),"",INDEX('Yardi Report'!$A:$E,MATCH('Chart of Accounts'!$A464,'Yardi Report'!$A:$A,0),2))</f>
        <v/>
      </c>
      <c r="C458">
        <f>IF(A458="","",MAX($C$1:C457)+1)</f>
        <v/>
      </c>
      <c r="E458">
        <f>A458&amp;" "&amp;B458</f>
        <v/>
      </c>
      <c r="G458">
        <f>+G457+1</f>
        <v/>
      </c>
    </row>
    <row r="459">
      <c r="A459">
        <f>IF(ISNA(INDEX('Yardi Report'!$A:$E,MATCH('Chart of Accounts'!$A465,'Yardi Report'!$A:$A,0),1)),"",INDEX('Yardi Report'!$A:$E,MATCH('Chart of Accounts'!$A465,'Yardi Report'!$A:$A,0),1))</f>
        <v/>
      </c>
      <c r="B459">
        <f>IF(ISNA(INDEX('Yardi Report'!$A:$E,MATCH('Chart of Accounts'!$A465,'Yardi Report'!$A:$A,0),2)),"",INDEX('Yardi Report'!$A:$E,MATCH('Chart of Accounts'!$A465,'Yardi Report'!$A:$A,0),2))</f>
        <v/>
      </c>
      <c r="C459">
        <f>IF(A459="","",MAX($C$1:C458)+1)</f>
        <v/>
      </c>
      <c r="E459">
        <f>A459&amp;" "&amp;B459</f>
        <v/>
      </c>
      <c r="G459">
        <f>+G458+1</f>
        <v/>
      </c>
    </row>
    <row r="460">
      <c r="A460">
        <f>IF(ISNA(INDEX('Yardi Report'!$A:$E,MATCH('Chart of Accounts'!$A466,'Yardi Report'!$A:$A,0),1)),"",INDEX('Yardi Report'!$A:$E,MATCH('Chart of Accounts'!$A466,'Yardi Report'!$A:$A,0),1))</f>
        <v/>
      </c>
      <c r="B460">
        <f>IF(ISNA(INDEX('Yardi Report'!$A:$E,MATCH('Chart of Accounts'!$A466,'Yardi Report'!$A:$A,0),2)),"",INDEX('Yardi Report'!$A:$E,MATCH('Chart of Accounts'!$A466,'Yardi Report'!$A:$A,0),2))</f>
        <v/>
      </c>
      <c r="C460">
        <f>IF(A460="","",MAX($C$1:C459)+1)</f>
        <v/>
      </c>
      <c r="E460">
        <f>A460&amp;" "&amp;B460</f>
        <v/>
      </c>
      <c r="G460">
        <f>+G459+1</f>
        <v/>
      </c>
    </row>
    <row r="461">
      <c r="A461">
        <f>IF(ISNA(INDEX('Yardi Report'!$A:$E,MATCH('Chart of Accounts'!$A467,'Yardi Report'!$A:$A,0),1)),"",INDEX('Yardi Report'!$A:$E,MATCH('Chart of Accounts'!$A467,'Yardi Report'!$A:$A,0),1))</f>
        <v/>
      </c>
      <c r="B461">
        <f>IF(ISNA(INDEX('Yardi Report'!$A:$E,MATCH('Chart of Accounts'!$A467,'Yardi Report'!$A:$A,0),2)),"",INDEX('Yardi Report'!$A:$E,MATCH('Chart of Accounts'!$A467,'Yardi Report'!$A:$A,0),2))</f>
        <v/>
      </c>
      <c r="C461">
        <f>IF(A461="","",MAX($C$1:C460)+1)</f>
        <v/>
      </c>
      <c r="E461">
        <f>A461&amp;" "&amp;B461</f>
        <v/>
      </c>
      <c r="G461">
        <f>+G460+1</f>
        <v/>
      </c>
    </row>
    <row r="462">
      <c r="A462">
        <f>IF(ISNA(INDEX('Yardi Report'!$A:$E,MATCH('Chart of Accounts'!$A468,'Yardi Report'!$A:$A,0),1)),"",INDEX('Yardi Report'!$A:$E,MATCH('Chart of Accounts'!$A468,'Yardi Report'!$A:$A,0),1))</f>
        <v/>
      </c>
      <c r="B462">
        <f>IF(ISNA(INDEX('Yardi Report'!$A:$E,MATCH('Chart of Accounts'!$A468,'Yardi Report'!$A:$A,0),2)),"",INDEX('Yardi Report'!$A:$E,MATCH('Chart of Accounts'!$A468,'Yardi Report'!$A:$A,0),2))</f>
        <v/>
      </c>
      <c r="C462">
        <f>IF(A462="","",MAX($C$1:C461)+1)</f>
        <v/>
      </c>
      <c r="E462">
        <f>A462&amp;" "&amp;B462</f>
        <v/>
      </c>
      <c r="G462">
        <f>+G461+1</f>
        <v/>
      </c>
    </row>
    <row r="463">
      <c r="A463">
        <f>IF(ISNA(INDEX('Yardi Report'!$A:$E,MATCH('Chart of Accounts'!$A469,'Yardi Report'!$A:$A,0),1)),"",INDEX('Yardi Report'!$A:$E,MATCH('Chart of Accounts'!$A469,'Yardi Report'!$A:$A,0),1))</f>
        <v/>
      </c>
      <c r="B463">
        <f>IF(ISNA(INDEX('Yardi Report'!$A:$E,MATCH('Chart of Accounts'!$A469,'Yardi Report'!$A:$A,0),2)),"",INDEX('Yardi Report'!$A:$E,MATCH('Chart of Accounts'!$A469,'Yardi Report'!$A:$A,0),2))</f>
        <v/>
      </c>
      <c r="C463">
        <f>IF(A463="","",MAX($C$1:C462)+1)</f>
        <v/>
      </c>
      <c r="E463">
        <f>A463&amp;" "&amp;B463</f>
        <v/>
      </c>
      <c r="G463">
        <f>+G462+1</f>
        <v/>
      </c>
    </row>
    <row r="464">
      <c r="A464">
        <f>IF(ISNA(INDEX('Yardi Report'!$A:$E,MATCH('Chart of Accounts'!$A470,'Yardi Report'!$A:$A,0),1)),"",INDEX('Yardi Report'!$A:$E,MATCH('Chart of Accounts'!$A470,'Yardi Report'!$A:$A,0),1))</f>
        <v/>
      </c>
      <c r="B464">
        <f>IF(ISNA(INDEX('Yardi Report'!$A:$E,MATCH('Chart of Accounts'!$A470,'Yardi Report'!$A:$A,0),2)),"",INDEX('Yardi Report'!$A:$E,MATCH('Chart of Accounts'!$A470,'Yardi Report'!$A:$A,0),2))</f>
        <v/>
      </c>
      <c r="C464">
        <f>IF(A464="","",MAX($C$1:C463)+1)</f>
        <v/>
      </c>
      <c r="E464">
        <f>A464&amp;" "&amp;B464</f>
        <v/>
      </c>
      <c r="G464">
        <f>+G463+1</f>
        <v/>
      </c>
    </row>
    <row r="465">
      <c r="A465">
        <f>IF(ISNA(INDEX('Yardi Report'!$A:$E,MATCH('Chart of Accounts'!$A471,'Yardi Report'!$A:$A,0),1)),"",INDEX('Yardi Report'!$A:$E,MATCH('Chart of Accounts'!$A471,'Yardi Report'!$A:$A,0),1))</f>
        <v/>
      </c>
      <c r="B465">
        <f>IF(ISNA(INDEX('Yardi Report'!$A:$E,MATCH('Chart of Accounts'!$A471,'Yardi Report'!$A:$A,0),2)),"",INDEX('Yardi Report'!$A:$E,MATCH('Chart of Accounts'!$A471,'Yardi Report'!$A:$A,0),2))</f>
        <v/>
      </c>
      <c r="C465">
        <f>IF(A465="","",MAX($C$1:C464)+1)</f>
        <v/>
      </c>
      <c r="E465">
        <f>A465&amp;" "&amp;B465</f>
        <v/>
      </c>
      <c r="G465">
        <f>+G464+1</f>
        <v/>
      </c>
    </row>
    <row r="466">
      <c r="A466">
        <f>IF(ISNA(INDEX('Yardi Report'!$A:$E,MATCH('Chart of Accounts'!$A472,'Yardi Report'!$A:$A,0),1)),"",INDEX('Yardi Report'!$A:$E,MATCH('Chart of Accounts'!$A472,'Yardi Report'!$A:$A,0),1))</f>
        <v/>
      </c>
      <c r="B466">
        <f>IF(ISNA(INDEX('Yardi Report'!$A:$E,MATCH('Chart of Accounts'!$A472,'Yardi Report'!$A:$A,0),2)),"",INDEX('Yardi Report'!$A:$E,MATCH('Chart of Accounts'!$A472,'Yardi Report'!$A:$A,0),2))</f>
        <v/>
      </c>
      <c r="C466">
        <f>IF(A466="","",MAX($C$1:C465)+1)</f>
        <v/>
      </c>
      <c r="E466">
        <f>A466&amp;" "&amp;B466</f>
        <v/>
      </c>
      <c r="G466">
        <f>+G465+1</f>
        <v/>
      </c>
    </row>
    <row r="467">
      <c r="A467">
        <f>IF(ISNA(INDEX('Yardi Report'!$A:$E,MATCH('Chart of Accounts'!$A473,'Yardi Report'!$A:$A,0),1)),"",INDEX('Yardi Report'!$A:$E,MATCH('Chart of Accounts'!$A473,'Yardi Report'!$A:$A,0),1))</f>
        <v/>
      </c>
      <c r="B467">
        <f>IF(ISNA(INDEX('Yardi Report'!$A:$E,MATCH('Chart of Accounts'!$A473,'Yardi Report'!$A:$A,0),2)),"",INDEX('Yardi Report'!$A:$E,MATCH('Chart of Accounts'!$A473,'Yardi Report'!$A:$A,0),2))</f>
        <v/>
      </c>
      <c r="C467">
        <f>IF(A467="","",MAX($C$1:C466)+1)</f>
        <v/>
      </c>
      <c r="E467">
        <f>A467&amp;" "&amp;B467</f>
        <v/>
      </c>
      <c r="G467">
        <f>+G466+1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Rhondora Mendoza</dc:creator>
  <dcterms:created xmlns:dcterms="http://purl.org/dc/terms/" xmlns:xsi="http://www.w3.org/2001/XMLSchema-instance" xsi:type="dcterms:W3CDTF">2024-10-09T19:56:30Z</dcterms:created>
  <dcterms:modified xmlns:dcterms="http://purl.org/dc/terms/" xmlns:xsi="http://www.w3.org/2001/XMLSchema-instance" xsi:type="dcterms:W3CDTF">2025-11-19T20:46:08Z</dcterms:modified>
  <cp:lastModifiedBy>Rhondora Mendoza</cp:lastModifiedBy>
</cp:coreProperties>
</file>